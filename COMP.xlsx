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CENTRO DE MANDO\COMPARITY\"/>
    </mc:Choice>
  </mc:AlternateContent>
  <xr:revisionPtr revIDLastSave="0" documentId="13_ncr:1_{021F1273-B3C9-4E40-9D61-83B989310169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COMPARADOR" sheetId="1" state="hidden" r:id="rId1"/>
    <sheet name="Caracteristicas" sheetId="2" r:id="rId2"/>
    <sheet name="Imagen" sheetId="3" r:id="rId3"/>
    <sheet name="RENO CONT" sheetId="4" state="hidden" r:id="rId4"/>
    <sheet name="RENO FINAN" sheetId="5" state="hidden" r:id="rId5"/>
    <sheet name="PORT CONT" sheetId="6" state="hidden" r:id="rId6"/>
    <sheet name="PORTA FINAN" sheetId="7" state="hidden" r:id="rId7"/>
    <sheet name="VR CONT" sheetId="8" state="hidden" r:id="rId8"/>
    <sheet name="VR FINAN" sheetId="9" state="hidden" r:id="rId9"/>
    <sheet name="Imagen (2)" sheetId="10" state="hidden" r:id="rId10"/>
    <sheet name="Precio" sheetId="11" state="hidden" r:id="rId11"/>
    <sheet name="Hoja3" sheetId="12" state="hidden" r:id="rId12"/>
    <sheet name="link" sheetId="13" state="hidden" r:id="rId13"/>
  </sheets>
  <externalReferences>
    <externalReference r:id="rId14"/>
  </externalReferences>
  <definedNames>
    <definedName name="_xlnm._FilterDatabase" localSheetId="1" hidden="1">Caracteristicas!$A$1:$W$60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K2" i="4"/>
  <c r="J2" i="4"/>
  <c r="I2" i="4"/>
  <c r="H2" i="4"/>
  <c r="G2" i="4"/>
  <c r="F2" i="4"/>
  <c r="E2" i="4"/>
  <c r="D2" i="4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C72" i="2" a="1"/>
  <c r="C72" i="2" s="1"/>
  <c r="B72" i="2" a="1"/>
  <c r="B72" i="2" s="1"/>
  <c r="C71" i="2" a="1"/>
  <c r="C71" i="2" s="1"/>
  <c r="B71" i="2" a="1"/>
  <c r="B71" i="2" s="1"/>
  <c r="C70" i="2" a="1"/>
  <c r="C70" i="2" s="1"/>
  <c r="B70" i="2" a="1"/>
  <c r="B70" i="2" s="1"/>
  <c r="C69" i="2" a="1"/>
  <c r="C69" i="2" s="1"/>
  <c r="B69" i="2" a="1"/>
  <c r="B69" i="2" s="1"/>
  <c r="C68" i="2" a="1"/>
  <c r="C68" i="2" s="1"/>
  <c r="B68" i="2" a="1"/>
  <c r="B68" i="2" s="1"/>
  <c r="C67" i="2" a="1"/>
  <c r="C67" i="2" s="1"/>
  <c r="B67" i="2" a="1"/>
  <c r="B67" i="2" s="1"/>
  <c r="C66" i="2" a="1"/>
  <c r="C66" i="2" s="1"/>
  <c r="B66" i="2" a="1"/>
  <c r="B66" i="2" s="1"/>
  <c r="C65" i="2" a="1"/>
  <c r="C65" i="2" s="1"/>
  <c r="B65" i="2" a="1"/>
  <c r="B65" i="2" s="1"/>
  <c r="C64" i="2" a="1"/>
  <c r="C64" i="2" s="1"/>
  <c r="B64" i="2" a="1"/>
  <c r="B64" i="2" s="1"/>
  <c r="C63" i="2" a="1"/>
  <c r="C63" i="2" s="1"/>
  <c r="B63" i="2" a="1"/>
  <c r="B63" i="2" s="1"/>
  <c r="C62" i="2" a="1"/>
  <c r="C62" i="2" s="1"/>
  <c r="B62" i="2" a="1"/>
  <c r="B62" i="2" s="1"/>
  <c r="C61" i="2" a="1"/>
  <c r="C61" i="2" s="1"/>
  <c r="B61" i="2" a="1"/>
  <c r="B61" i="2" s="1"/>
  <c r="C60" i="2" a="1"/>
  <c r="C60" i="2" s="1"/>
  <c r="B60" i="2" a="1"/>
  <c r="B60" i="2" s="1"/>
  <c r="C59" i="2" a="1"/>
  <c r="C59" i="2" s="1"/>
  <c r="B59" i="2" a="1"/>
  <c r="B59" i="2" s="1"/>
  <c r="C58" i="2" a="1"/>
  <c r="C58" i="2" s="1"/>
  <c r="B58" i="2" a="1"/>
  <c r="B58" i="2" s="1"/>
  <c r="C57" i="2" a="1"/>
  <c r="C57" i="2" s="1"/>
  <c r="B57" i="2" a="1"/>
  <c r="B57" i="2" s="1"/>
  <c r="C56" i="2" a="1"/>
  <c r="C56" i="2" s="1"/>
  <c r="B56" i="2" a="1"/>
  <c r="B56" i="2" s="1"/>
  <c r="C55" i="2" a="1"/>
  <c r="C55" i="2" s="1"/>
  <c r="B55" i="2" a="1"/>
  <c r="B55" i="2" s="1"/>
  <c r="C54" i="2" a="1"/>
  <c r="C54" i="2" s="1"/>
  <c r="B54" i="2" a="1"/>
  <c r="B54" i="2" s="1"/>
  <c r="C53" i="2" a="1"/>
  <c r="C53" i="2" s="1"/>
  <c r="B53" i="2" a="1"/>
  <c r="B53" i="2" s="1"/>
  <c r="C52" i="2" a="1"/>
  <c r="C52" i="2" s="1"/>
  <c r="B52" i="2" a="1"/>
  <c r="B52" i="2" s="1"/>
  <c r="C51" i="2" a="1"/>
  <c r="C51" i="2"/>
  <c r="B51" i="2" a="1"/>
  <c r="B51" i="2" s="1"/>
  <c r="C50" i="2" a="1"/>
  <c r="C50" i="2" s="1"/>
  <c r="B50" i="2" a="1"/>
  <c r="B50" i="2" s="1"/>
  <c r="C49" i="2" a="1"/>
  <c r="C49" i="2" s="1"/>
  <c r="B49" i="2" a="1"/>
  <c r="B49" i="2" s="1"/>
  <c r="C48" i="2" a="1"/>
  <c r="C48" i="2" s="1"/>
  <c r="B48" i="2" a="1"/>
  <c r="B48" i="2" s="1"/>
  <c r="C47" i="2" a="1"/>
  <c r="C47" i="2" s="1"/>
  <c r="B47" i="2" a="1"/>
  <c r="B47" i="2" s="1"/>
  <c r="C46" i="2" a="1"/>
  <c r="C46" i="2" s="1"/>
  <c r="B46" i="2" a="1"/>
  <c r="B46" i="2" s="1"/>
  <c r="C45" i="2" a="1"/>
  <c r="C45" i="2" s="1"/>
  <c r="B45" i="2" a="1"/>
  <c r="B45" i="2" s="1"/>
  <c r="C44" i="2" a="1"/>
  <c r="C44" i="2" s="1"/>
  <c r="B44" i="2" a="1"/>
  <c r="B44" i="2" s="1"/>
  <c r="C43" i="2" a="1"/>
  <c r="C43" i="2" s="1"/>
  <c r="B43" i="2" a="1"/>
  <c r="B43" i="2" s="1"/>
  <c r="C42" i="2" a="1"/>
  <c r="C42" i="2" s="1"/>
  <c r="B42" i="2" a="1"/>
  <c r="B42" i="2" s="1"/>
  <c r="C41" i="2" a="1"/>
  <c r="C41" i="2" s="1"/>
  <c r="B41" i="2" a="1"/>
  <c r="B41" i="2" s="1"/>
  <c r="C40" i="2" a="1"/>
  <c r="C40" i="2" s="1"/>
  <c r="B40" i="2" a="1"/>
  <c r="B40" i="2" s="1"/>
  <c r="C39" i="2" a="1"/>
  <c r="C39" i="2" s="1"/>
  <c r="B39" i="2" a="1"/>
  <c r="B39" i="2" s="1"/>
  <c r="C38" i="2" a="1"/>
  <c r="C38" i="2" s="1"/>
  <c r="B38" i="2" a="1"/>
  <c r="B38" i="2" s="1"/>
  <c r="C37" i="2" a="1"/>
  <c r="C37" i="2" s="1"/>
  <c r="B37" i="2" a="1"/>
  <c r="B37" i="2" s="1"/>
  <c r="C36" i="2" a="1"/>
  <c r="C36" i="2" s="1"/>
  <c r="B36" i="2" a="1"/>
  <c r="B36" i="2" s="1"/>
  <c r="C35" i="2" a="1"/>
  <c r="C35" i="2" s="1"/>
  <c r="B35" i="2" a="1"/>
  <c r="B35" i="2" s="1"/>
  <c r="C34" i="2" a="1"/>
  <c r="C34" i="2" s="1"/>
  <c r="B34" i="2" a="1"/>
  <c r="B34" i="2"/>
  <c r="C33" i="2" a="1"/>
  <c r="C33" i="2" s="1"/>
  <c r="B33" i="2" a="1"/>
  <c r="B33" i="2" s="1"/>
  <c r="C32" i="2" a="1"/>
  <c r="C32" i="2" s="1"/>
  <c r="B32" i="2" a="1"/>
  <c r="B32" i="2" s="1"/>
  <c r="C31" i="2" a="1"/>
  <c r="C31" i="2" s="1"/>
  <c r="B31" i="2" a="1"/>
  <c r="B31" i="2" s="1"/>
  <c r="C30" i="2" a="1"/>
  <c r="C30" i="2" s="1"/>
  <c r="B30" i="2" a="1"/>
  <c r="B30" i="2" s="1"/>
  <c r="C29" i="2" a="1"/>
  <c r="C29" i="2" s="1"/>
  <c r="B29" i="2" a="1"/>
  <c r="B29" i="2" s="1"/>
  <c r="C28" i="2" a="1"/>
  <c r="C28" i="2" s="1"/>
  <c r="B28" i="2" a="1"/>
  <c r="B28" i="2" s="1"/>
  <c r="C27" i="2" a="1"/>
  <c r="C27" i="2" s="1"/>
  <c r="B27" i="2" a="1"/>
  <c r="B27" i="2" s="1"/>
  <c r="C26" i="2" a="1"/>
  <c r="C26" i="2" s="1"/>
  <c r="B26" i="2" a="1"/>
  <c r="B26" i="2" s="1"/>
  <c r="C25" i="2" a="1"/>
  <c r="C25" i="2" s="1"/>
  <c r="B25" i="2" a="1"/>
  <c r="B25" i="2" s="1"/>
  <c r="C24" i="2" a="1"/>
  <c r="C24" i="2" s="1"/>
  <c r="B24" i="2" a="1"/>
  <c r="B24" i="2" s="1"/>
  <c r="C23" i="2" a="1"/>
  <c r="C23" i="2" s="1"/>
  <c r="B23" i="2" a="1"/>
  <c r="B23" i="2" s="1"/>
  <c r="C22" i="2" a="1"/>
  <c r="C22" i="2" s="1"/>
  <c r="B22" i="2" a="1"/>
  <c r="B22" i="2" s="1"/>
  <c r="C21" i="2" a="1"/>
  <c r="C21" i="2" s="1"/>
  <c r="B21" i="2" a="1"/>
  <c r="B21" i="2" s="1"/>
  <c r="C20" i="2" a="1"/>
  <c r="C20" i="2" s="1"/>
  <c r="B20" i="2" a="1"/>
  <c r="B20" i="2" s="1"/>
  <c r="C19" i="2" a="1"/>
  <c r="C19" i="2" s="1"/>
  <c r="B19" i="2" a="1"/>
  <c r="B19" i="2" s="1"/>
  <c r="C18" i="2" a="1"/>
  <c r="C18" i="2" s="1"/>
  <c r="B18" i="2" a="1"/>
  <c r="B18" i="2" s="1"/>
  <c r="C17" i="2" a="1"/>
  <c r="C17" i="2" s="1"/>
  <c r="B17" i="2" a="1"/>
  <c r="B17" i="2" s="1"/>
  <c r="C16" i="2" a="1"/>
  <c r="C16" i="2" s="1"/>
  <c r="B16" i="2" a="1"/>
  <c r="B16" i="2" s="1"/>
  <c r="C15" i="2" a="1"/>
  <c r="C15" i="2" s="1"/>
  <c r="B15" i="2" a="1"/>
  <c r="B15" i="2" s="1"/>
  <c r="C14" i="2" a="1"/>
  <c r="C14" i="2" s="1"/>
  <c r="B14" i="2" a="1"/>
  <c r="B14" i="2" s="1"/>
  <c r="C13" i="2" a="1"/>
  <c r="C13" i="2" s="1"/>
  <c r="B13" i="2" a="1"/>
  <c r="B13" i="2" s="1"/>
  <c r="C12" i="2" a="1"/>
  <c r="C12" i="2" s="1"/>
  <c r="B12" i="2" a="1"/>
  <c r="B12" i="2" s="1"/>
  <c r="C11" i="2" a="1"/>
  <c r="C11" i="2" s="1"/>
  <c r="B11" i="2" a="1"/>
  <c r="B11" i="2" s="1"/>
  <c r="C10" i="2" a="1"/>
  <c r="C10" i="2" s="1"/>
  <c r="B10" i="2" a="1"/>
  <c r="B10" i="2" s="1"/>
  <c r="C9" i="2" a="1"/>
  <c r="C9" i="2" s="1"/>
  <c r="B9" i="2" a="1"/>
  <c r="B9" i="2" s="1"/>
  <c r="C8" i="2" a="1"/>
  <c r="C8" i="2" s="1"/>
  <c r="B8" i="2" a="1"/>
  <c r="B8" i="2" s="1"/>
  <c r="C7" i="2" a="1"/>
  <c r="C7" i="2" s="1"/>
  <c r="B7" i="2" a="1"/>
  <c r="B7" i="2" s="1"/>
  <c r="C6" i="2" a="1"/>
  <c r="C6" i="2" s="1"/>
  <c r="B6" i="2" a="1"/>
  <c r="B6" i="2" s="1"/>
  <c r="C5" i="2" a="1"/>
  <c r="C5" i="2" s="1"/>
  <c r="B5" i="2" a="1"/>
  <c r="B5" i="2" s="1"/>
  <c r="C4" i="2" a="1"/>
  <c r="C4" i="2" s="1"/>
  <c r="B4" i="2" a="1"/>
  <c r="B4" i="2" s="1"/>
  <c r="C3" i="2" a="1"/>
  <c r="C3" i="2" s="1"/>
  <c r="B3" i="2" a="1"/>
  <c r="B3" i="2" s="1"/>
  <c r="C2" i="2" a="1"/>
  <c r="C2" i="2" s="1"/>
  <c r="D29" i="1" a="1"/>
  <c r="D29" i="1" s="1"/>
  <c r="C29" i="1" a="1"/>
  <c r="C29" i="1" s="1"/>
  <c r="B29" i="1" a="1"/>
  <c r="B29" i="1" s="1"/>
  <c r="D28" i="1" a="1"/>
  <c r="D28" i="1" s="1"/>
  <c r="C28" i="1" a="1"/>
  <c r="C28" i="1" s="1"/>
  <c r="B28" i="1" a="1"/>
  <c r="B28" i="1" s="1"/>
  <c r="D27" i="1" a="1"/>
  <c r="D27" i="1" s="1"/>
  <c r="C27" i="1" a="1"/>
  <c r="C27" i="1" s="1"/>
  <c r="B27" i="1" a="1"/>
  <c r="B27" i="1"/>
  <c r="D26" i="1" a="1"/>
  <c r="D26" i="1" s="1"/>
  <c r="C26" i="1" a="1"/>
  <c r="C26" i="1" s="1"/>
  <c r="B26" i="1" a="1"/>
  <c r="B26" i="1" s="1"/>
  <c r="D25" i="1" a="1"/>
  <c r="D25" i="1" s="1"/>
  <c r="C25" i="1" a="1"/>
  <c r="C25" i="1" s="1"/>
  <c r="B25" i="1" a="1"/>
  <c r="B25" i="1" s="1"/>
  <c r="D24" i="1" a="1"/>
  <c r="D24" i="1" s="1"/>
  <c r="C24" i="1" a="1"/>
  <c r="C24" i="1" s="1"/>
  <c r="B24" i="1" a="1"/>
  <c r="B24" i="1" s="1"/>
  <c r="D23" i="1" a="1"/>
  <c r="D23" i="1" s="1"/>
  <c r="C23" i="1" a="1"/>
  <c r="C23" i="1" s="1"/>
  <c r="B23" i="1" a="1"/>
  <c r="B23" i="1" s="1"/>
  <c r="D22" i="1" a="1"/>
  <c r="D22" i="1"/>
  <c r="C22" i="1" a="1"/>
  <c r="C22" i="1" s="1"/>
  <c r="B22" i="1" a="1"/>
  <c r="B22" i="1" s="1"/>
  <c r="D21" i="1" a="1"/>
  <c r="D21" i="1" s="1"/>
  <c r="C21" i="1" a="1"/>
  <c r="C21" i="1" s="1"/>
  <c r="B21" i="1" a="1"/>
  <c r="B21" i="1"/>
  <c r="D20" i="1" a="1"/>
  <c r="D20" i="1" s="1"/>
  <c r="C20" i="1" a="1"/>
  <c r="C20" i="1" s="1"/>
  <c r="B20" i="1" a="1"/>
  <c r="B20" i="1" s="1"/>
  <c r="D19" i="1" a="1"/>
  <c r="D19" i="1" s="1"/>
  <c r="C19" i="1" a="1"/>
  <c r="C19" i="1" s="1"/>
  <c r="B19" i="1" a="1"/>
  <c r="B19" i="1" s="1"/>
  <c r="D18" i="1" a="1"/>
  <c r="D18" i="1" s="1"/>
  <c r="C18" i="1" a="1"/>
  <c r="C18" i="1" s="1"/>
  <c r="B18" i="1" a="1"/>
  <c r="B18" i="1" s="1"/>
  <c r="D17" i="1" a="1"/>
  <c r="D17" i="1" s="1"/>
  <c r="C17" i="1" a="1"/>
  <c r="C17" i="1" s="1"/>
  <c r="B17" i="1" a="1"/>
  <c r="B17" i="1" s="1"/>
  <c r="D16" i="1" a="1"/>
  <c r="D16" i="1" s="1"/>
  <c r="C16" i="1" a="1"/>
  <c r="C16" i="1" s="1"/>
  <c r="B16" i="1" a="1"/>
  <c r="B16" i="1" s="1"/>
  <c r="D15" i="1" a="1"/>
  <c r="D15" i="1" s="1"/>
  <c r="C15" i="1" a="1"/>
  <c r="C15" i="1" s="1"/>
  <c r="B15" i="1" a="1"/>
  <c r="B15" i="1" s="1"/>
  <c r="D14" i="1" a="1"/>
  <c r="D14" i="1" s="1"/>
  <c r="C14" i="1" a="1"/>
  <c r="C14" i="1" s="1"/>
  <c r="B14" i="1" a="1"/>
  <c r="B14" i="1" s="1"/>
  <c r="D13" i="1" a="1"/>
  <c r="D13" i="1" s="1"/>
  <c r="C13" i="1" a="1"/>
  <c r="C13" i="1" s="1"/>
  <c r="B13" i="1" a="1"/>
  <c r="B13" i="1" s="1"/>
  <c r="D12" i="1" a="1"/>
  <c r="D12" i="1" s="1"/>
  <c r="C12" i="1" a="1"/>
  <c r="C12" i="1" s="1"/>
  <c r="B12" i="1" a="1"/>
  <c r="B12" i="1" s="1"/>
  <c r="D11" i="1" a="1"/>
  <c r="D11" i="1" s="1"/>
  <c r="C11" i="1" a="1"/>
  <c r="C11" i="1" s="1"/>
  <c r="B11" i="1" a="1"/>
  <c r="B11" i="1" s="1"/>
  <c r="D9" i="1"/>
  <c r="C9" i="1"/>
  <c r="B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7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Antutu no confirmado en las fuentes consultadas para esta variante (Snapdragon 7 Gen 4). Verificar antes de publicar.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<sst xmlns="http://schemas.openxmlformats.org/spreadsheetml/2006/main" count="7498" uniqueCount="1322">
  <si>
    <t>📱 Comparativa de Celulares</t>
  </si>
  <si>
    <t>EQUIPO</t>
  </si>
  <si>
    <t>CATALOGO DE EQUIPOS</t>
  </si>
  <si>
    <t>CONTADO</t>
  </si>
  <si>
    <t>HONOR 400</t>
  </si>
  <si>
    <t>IMAGEN</t>
  </si>
  <si>
    <t>Cuota x 12 meses</t>
  </si>
  <si>
    <t>Pantalla</t>
  </si>
  <si>
    <t>Peso</t>
  </si>
  <si>
    <t>https://embed.studio.binkies3d.com/live3d/69e129b874c82e003663da95</t>
  </si>
  <si>
    <t>Resistencia</t>
  </si>
  <si>
    <t xml:space="preserve">Tasa de Refresco	</t>
  </si>
  <si>
    <t>Selecciona los celulares a comparar</t>
  </si>
  <si>
    <t>Procesador</t>
  </si>
  <si>
    <t>PLANES</t>
  </si>
  <si>
    <t>Antutu</t>
  </si>
  <si>
    <t>RAM</t>
  </si>
  <si>
    <t>Almacenamiento</t>
  </si>
  <si>
    <t>Ampliable</t>
  </si>
  <si>
    <t>Cámaras</t>
  </si>
  <si>
    <t xml:space="preserve">Estabilización Óptica	</t>
  </si>
  <si>
    <t>Grabación de Video</t>
  </si>
  <si>
    <t>Cámara Frontal</t>
  </si>
  <si>
    <t>Batería</t>
  </si>
  <si>
    <t>Celular 1</t>
  </si>
  <si>
    <t>Carga Rápida</t>
  </si>
  <si>
    <t>Carga Inalámbrica</t>
  </si>
  <si>
    <t xml:space="preserve">Bluetooth	</t>
  </si>
  <si>
    <t>NFC</t>
  </si>
  <si>
    <t>Huella</t>
  </si>
  <si>
    <t>Actualización</t>
  </si>
  <si>
    <t>HONOR X5B</t>
  </si>
  <si>
    <t>GAMA</t>
  </si>
  <si>
    <t>Celular 2</t>
  </si>
  <si>
    <t>Celular 3</t>
  </si>
  <si>
    <t>TÁCTICA</t>
  </si>
  <si>
    <t>HONOR 400 LITE</t>
  </si>
  <si>
    <t>MODELO</t>
  </si>
  <si>
    <t>https://embed.studio.binkies3d.com/live3d/69e129f8a8d031003791f1a7</t>
  </si>
  <si>
    <t>29.9 29.9R 31.40B 32.9 34.9 35.9 39.9 42.9 44.9 45.9 49.9</t>
  </si>
  <si>
    <t>53.9 54.9 59.9 63.9</t>
  </si>
  <si>
    <t>69.9 74.9 79.9</t>
  </si>
  <si>
    <t>89.9 94.9 99.9</t>
  </si>
  <si>
    <t>104.9 115.9 129.9</t>
  </si>
  <si>
    <t>PLAN BLACK</t>
  </si>
  <si>
    <t>Mid</t>
  </si>
  <si>
    <t>HONOR MAGIC 7 LITE 512GB</t>
  </si>
  <si>
    <t>https://embed.studio.binkies3d.com/live3d/69e12a7bc7300c00376148d6</t>
  </si>
  <si>
    <t>-</t>
  </si>
  <si>
    <t>SAMSUNG GXY A17 128GB</t>
  </si>
  <si>
    <t>Xiaomi Redmi 9</t>
  </si>
  <si>
    <t>6.56", HD+, TFT LCD (IPS)</t>
  </si>
  <si>
    <t>MOTOROLA G05 128GB</t>
  </si>
  <si>
    <t xml:space="preserve">194 g	</t>
  </si>
  <si>
    <t>90 Hz</t>
  </si>
  <si>
    <t>HONOR MAGIC 8 LITE 512GB 5G</t>
  </si>
  <si>
    <t>Helio G36 (12 nm)</t>
  </si>
  <si>
    <t>127K</t>
  </si>
  <si>
    <t>https://embed.studio.binkies3d.com/live3d/69e12ab0492f94003516cc8a</t>
  </si>
  <si>
    <t>SAMSUNG GXY A06 128GB</t>
  </si>
  <si>
    <t>4 GB (física) + hasta 4 GB (RAM Boost)</t>
  </si>
  <si>
    <t>128 GB</t>
  </si>
  <si>
    <t>Hasta 1Tb</t>
  </si>
  <si>
    <t>13 Mpx (ƒ/ 1.8) + 0.3 Mpx</t>
  </si>
  <si>
    <t>NO</t>
  </si>
  <si>
    <t>1080p@30fps</t>
  </si>
  <si>
    <t>Entry Smart</t>
  </si>
  <si>
    <t xml:space="preserve">5 Mpx	</t>
  </si>
  <si>
    <t>5200 mAh</t>
  </si>
  <si>
    <t>10.0W</t>
  </si>
  <si>
    <t>ZTE Blade A5 2020 32GB</t>
  </si>
  <si>
    <t>lateral</t>
  </si>
  <si>
    <t>Comparativa Detallada</t>
  </si>
  <si>
    <t>~2 años</t>
  </si>
  <si>
    <t>HONOR X5C</t>
  </si>
  <si>
    <t xml:space="preserve">Especificación	</t>
  </si>
  <si>
    <t>https://embed.studio.binkies3d.com/live3d/69e12ae6c7300c0037614948</t>
  </si>
  <si>
    <t>Xiaomi Redmi Note 10</t>
  </si>
  <si>
    <t>Xiaomi Redmi Note 10 5G</t>
  </si>
  <si>
    <t>Plan</t>
  </si>
  <si>
    <t>6.74", HD+, TFT LCD (IPS)</t>
  </si>
  <si>
    <t>https://embed.studio.binkies3d.com/live3d/69e12b6dc7300c00376149a0</t>
  </si>
  <si>
    <t>186 g</t>
  </si>
  <si>
    <t>High</t>
  </si>
  <si>
    <t>Helio G81 (12 nm)</t>
  </si>
  <si>
    <t>280K</t>
  </si>
  <si>
    <t>Xiaomi Redmi Note 10 Pro</t>
  </si>
  <si>
    <t>Contado</t>
  </si>
  <si>
    <t>50 Mpx	(ƒ/ 2.2) + 0.8 Mpx (QVGA)</t>
  </si>
  <si>
    <t>5260 mAh</t>
  </si>
  <si>
    <t>15.0W</t>
  </si>
  <si>
    <t>Premium</t>
  </si>
  <si>
    <t>HONOR X6C</t>
  </si>
  <si>
    <t>Samsung Galaxy S20 FE</t>
  </si>
  <si>
    <t>https://embed.studio.binkies3d.com/live3d/69e12b92c7300c00376149f6</t>
  </si>
  <si>
    <t>Xiaomi Redmi 9C</t>
  </si>
  <si>
    <t xml:space="preserve">199 g	</t>
  </si>
  <si>
    <t>HONOR X7C</t>
  </si>
  <si>
    <t>IP64</t>
  </si>
  <si>
    <t>120Hz</t>
  </si>
  <si>
    <t>https://embed.studio.binkies3d.com/live3d/69e12bf5492f94003516cd5f</t>
  </si>
  <si>
    <t>Helio G81 Ultra (12 nm)</t>
  </si>
  <si>
    <t>287K</t>
  </si>
  <si>
    <t>6 GB (física) + hasta 6 GB (RAM Boost)</t>
  </si>
  <si>
    <t>256 GB</t>
  </si>
  <si>
    <t>50 Mpx	(ƒ/ 1.8) + 2 Mpx	Retrato (ƒ/ 2.4)</t>
  </si>
  <si>
    <t>Samsung Galaxy A22 64GB</t>
  </si>
  <si>
    <t>5300 mAh</t>
  </si>
  <si>
    <t xml:space="preserve">35.0W	</t>
  </si>
  <si>
    <t>Samsung Galaxy A22</t>
  </si>
  <si>
    <t>HONOR X7D 256GB LTE</t>
  </si>
  <si>
    <t>https://embed.studio.binkies3d.com/live3d/69e12c1ca8d031003791f20b</t>
  </si>
  <si>
    <t>Samsung Galaxy A12 2021</t>
  </si>
  <si>
    <t>6.77", HD, LCD IPS</t>
  </si>
  <si>
    <t>196 g</t>
  </si>
  <si>
    <t>Snapdragon 685 (6 nm)</t>
  </si>
  <si>
    <t>321K</t>
  </si>
  <si>
    <t>8 GB (física) + hasta 8 GB (RAM Boost)</t>
  </si>
  <si>
    <t>108 Mpx (ƒ/ 1.8) + 2 Mpx Retrato (ƒ/ 2.4)</t>
  </si>
  <si>
    <t>8 Mpx</t>
  </si>
  <si>
    <t>6000 mAh</t>
  </si>
  <si>
    <t>35.0W</t>
  </si>
  <si>
    <t>HONOR X7D</t>
  </si>
  <si>
    <t>HONOR X8C 256GB</t>
  </si>
  <si>
    <t>Samsung Galaxy Z Flip 3</t>
  </si>
  <si>
    <t>https://embed.studio.binkies3d.com/live3d/69e12c4bc7300c0037614a81</t>
  </si>
  <si>
    <t>Motorola Moto Edge 20 Lite</t>
  </si>
  <si>
    <t>6.77", HD, TFT LCD</t>
  </si>
  <si>
    <t>208 g</t>
  </si>
  <si>
    <t xml:space="preserve">IP65	</t>
  </si>
  <si>
    <t>350K</t>
  </si>
  <si>
    <t>IPHONE 13 128GB</t>
  </si>
  <si>
    <t>https://embed.studio.binkies3d.com/live3d/69e12c8cc7300c0037614adf</t>
  </si>
  <si>
    <t>108 Mpx (ƒ/ 1.8) + 2 Mpx (ƒ/ 2.4)</t>
  </si>
  <si>
    <t>6500mAh</t>
  </si>
  <si>
    <t>Samsung Galaxy A52s</t>
  </si>
  <si>
    <t>IPHONE 15 128GB</t>
  </si>
  <si>
    <t>https://embed.studio.binkies3d.com/live3d/69e12ccac7300c0037614b7e</t>
  </si>
  <si>
    <t>Samsung Galaxy A22 5G</t>
  </si>
  <si>
    <t>6.77", FHD+, AMOLED</t>
  </si>
  <si>
    <t>174 g</t>
  </si>
  <si>
    <t>Xiaomi Redmi 10A</t>
  </si>
  <si>
    <t>IPHONE 16 128GB</t>
  </si>
  <si>
    <t>108 Mpx (ƒ/ 1.75) + 5 Mpx Retrato (ƒ/ 2.2)</t>
  </si>
  <si>
    <t>SI</t>
  </si>
  <si>
    <t>50 MP</t>
  </si>
  <si>
    <t>https://embed.studio.binkies3d.com/live3d/69e12d20a8d031003791f2ac</t>
  </si>
  <si>
    <t>5000 mAh</t>
  </si>
  <si>
    <t>Xiaomi Redmi Note 10S</t>
  </si>
  <si>
    <t>IPHONE 17 256GB</t>
  </si>
  <si>
    <t>https://embed.studio.binkies3d.com/live3d/69e12d45c7300c0037614bf1</t>
  </si>
  <si>
    <t>MOTOROLA EDGE 60 FUSION 256GB 5G</t>
  </si>
  <si>
    <t>https://embed.studio.binkies3d.com/live3d/69e12d77c7300c0037614c47</t>
  </si>
  <si>
    <t>Samsung Galaxy A52</t>
  </si>
  <si>
    <t>6.78", QHD, AMOLED</t>
  </si>
  <si>
    <t xml:space="preserve">189 g	</t>
  </si>
  <si>
    <t>120 Hz</t>
  </si>
  <si>
    <t>Snapdragon 6 Gen1 (4 nm)</t>
  </si>
  <si>
    <t>575K</t>
  </si>
  <si>
    <t>512 GB</t>
  </si>
  <si>
    <t>108 Mpx (ƒ/ 1.75) + 5 Mpx UGA (ƒ/ 2.2)</t>
  </si>
  <si>
    <t>4K</t>
  </si>
  <si>
    <t xml:space="preserve">16 Mpx	</t>
  </si>
  <si>
    <t>6600 mAh</t>
  </si>
  <si>
    <t xml:space="preserve">66.0W	</t>
  </si>
  <si>
    <t>Huawei Nova 8i</t>
  </si>
  <si>
    <t>MOTOROLA EDGE 70 FUSION 256GB 5G</t>
  </si>
  <si>
    <t>Hasta Enero 2031</t>
  </si>
  <si>
    <t>https://embed.studio.binkies3d.com/live3d/69e12dada8d031003791f2d7</t>
  </si>
  <si>
    <t>Xiaomi 11 Lite Ne 5G 128GB</t>
  </si>
  <si>
    <t>https://embed.studio.binkies3d.com/live3d/69e12ddc74c82e003663dbda</t>
  </si>
  <si>
    <t>Zte Blade V30</t>
  </si>
  <si>
    <t>6.79", QHD, AMOLED</t>
  </si>
  <si>
    <t>193 g</t>
  </si>
  <si>
    <t>IP68, IP69 y IP69K</t>
  </si>
  <si>
    <t>Apple Iphone 13 Mini 256GB</t>
  </si>
  <si>
    <t>Snapdragon 6 Gen 4 (4 nm)</t>
  </si>
  <si>
    <t>894K</t>
  </si>
  <si>
    <t>8300mAh</t>
  </si>
  <si>
    <t>Motorola Moto G06 256GB 4G</t>
  </si>
  <si>
    <t>https://embed.studio.binkies3d.com/live3d/69e12e0074c82e003663dc30</t>
  </si>
  <si>
    <t>Samsung Galaxy A03</t>
  </si>
  <si>
    <t>Oppo A54</t>
  </si>
  <si>
    <t>Motorola Moto G15</t>
  </si>
  <si>
    <t>https://embed.studio.binkies3d.com/live3d/69e12e20c7300c0037614ca6</t>
  </si>
  <si>
    <t>6.7", FHD, AMOLED</t>
  </si>
  <si>
    <t>171 g</t>
  </si>
  <si>
    <t>IP65</t>
  </si>
  <si>
    <t>Dimensity 7025  (6 nm)</t>
  </si>
  <si>
    <t>Motorola Moto G20</t>
  </si>
  <si>
    <t>470k</t>
  </si>
  <si>
    <t>5230 mAh</t>
  </si>
  <si>
    <t>33W</t>
  </si>
  <si>
    <t>Samsung Galaxy S26 256GB 5G</t>
  </si>
  <si>
    <t>https://embed.studio.binkies3d.com/live3d/69e12e3fa8d031003791f32c</t>
  </si>
  <si>
    <t>Xiaomi 11T 5G</t>
  </si>
  <si>
    <t>Samsung Galaxy S26 Plus 256GB 5G</t>
  </si>
  <si>
    <t>https://embed.studio.binkies3d.com/live3d/69e12e6da8d031003791f385</t>
  </si>
  <si>
    <t>6.55", QHD, AMOLED</t>
  </si>
  <si>
    <t>184 g</t>
  </si>
  <si>
    <t>IP66</t>
  </si>
  <si>
    <t>Snapdragon 7 Gen 3 (4 nm)</t>
  </si>
  <si>
    <t>845K</t>
  </si>
  <si>
    <t>12 GB (física) + hasta 12 GB (RAM Boost)</t>
  </si>
  <si>
    <t>512 GB UFS 3.1</t>
  </si>
  <si>
    <t>200 Mpx (ƒ/ 1.9) + 12 Mpx UGA + Macro (ƒ/ 2.2)</t>
  </si>
  <si>
    <t>Motorola Moto G31</t>
  </si>
  <si>
    <t>50 Mpx</t>
  </si>
  <si>
    <t>Hasta Mayo 2031</t>
  </si>
  <si>
    <t>Samsung Galaxy S26 Ultra 256GB 5G</t>
  </si>
  <si>
    <t>https://embed.studio.binkies3d.com/live3d/69e12e86c7300c0037614cff</t>
  </si>
  <si>
    <t>Low</t>
  </si>
  <si>
    <t>ZTE Blade A51 Lite 32GB</t>
  </si>
  <si>
    <t>OPPO A5 256GB 5G</t>
  </si>
  <si>
    <t>Apple iPhone SE 2022 64GB</t>
  </si>
  <si>
    <t>https://embed.studio.binkies3d.com/live3d/69e12831492f94003516cb26</t>
  </si>
  <si>
    <t>6.1", FHD, Oled</t>
  </si>
  <si>
    <t>Apple iPhone 14 Plus 512GB</t>
  </si>
  <si>
    <t>OPPO A5 256GB LTE</t>
  </si>
  <si>
    <t>IP68</t>
  </si>
  <si>
    <t>60 Hz</t>
  </si>
  <si>
    <t>A15 Bionic (5 nm)</t>
  </si>
  <si>
    <t>1256K</t>
  </si>
  <si>
    <t>4 GB</t>
  </si>
  <si>
    <t>OPPO A5 PRO 256GB</t>
  </si>
  <si>
    <t>128 GB NVMe</t>
  </si>
  <si>
    <t>https://embed.studio.binkies3d.com/live3d/69e128bc492f94003516cb89</t>
  </si>
  <si>
    <t>12 Mpx (ƒ/ 1.6) + 12 Mpx UGA (ƒ/ 2.4)</t>
  </si>
  <si>
    <t>12 Mpx</t>
  </si>
  <si>
    <t>3240 mAh</t>
  </si>
  <si>
    <t>20.0W</t>
  </si>
  <si>
    <t>Apple Iphone 14 Pro Max 512GB</t>
  </si>
  <si>
    <t>Hasta el 2028</t>
  </si>
  <si>
    <t>Motorola Moto G50 5G</t>
  </si>
  <si>
    <t>OPPO A6 PRO 256GB</t>
  </si>
  <si>
    <t>https://embed.studio.binkies3d.com/live3d/69e12945dd904d00377a06d8</t>
  </si>
  <si>
    <t>Samsung Galaxy A03 Core</t>
  </si>
  <si>
    <t>6.1", QHD, Oled</t>
  </si>
  <si>
    <t>A16 Bionic (4 nm)</t>
  </si>
  <si>
    <t>1470k</t>
  </si>
  <si>
    <t>6 GB</t>
  </si>
  <si>
    <t>48 Mpx (ƒ/ 1.6) + 12 Mpx UGA (ƒ/ 2.4)</t>
  </si>
  <si>
    <t>OPPO A6X 256GB 5G</t>
  </si>
  <si>
    <t>3349 mAh</t>
  </si>
  <si>
    <t>https://embed.studio.binkies3d.com/live3d/69e114f643ca7a0036ed5b71</t>
  </si>
  <si>
    <t xml:space="preserve">18.0W	</t>
  </si>
  <si>
    <t>Hasta el 2029</t>
  </si>
  <si>
    <t>Samsung Galaxy Z Fold 4 256GB</t>
  </si>
  <si>
    <t>OPPO RENO 14F 256GB 5G</t>
  </si>
  <si>
    <t>https://embed.studio.binkies3d.com/live3d/69e128e8dd904d00377a0669</t>
  </si>
  <si>
    <t>Honor X9</t>
  </si>
  <si>
    <t>A18 Bionic (3 nm)</t>
  </si>
  <si>
    <t>1586k</t>
  </si>
  <si>
    <t>8 GB</t>
  </si>
  <si>
    <t>Samsung Galaxy A06 128GB 4G</t>
  </si>
  <si>
    <t>48 Mpx (ƒ/ 1.6) + 12 Mpx UGA (ƒ/ 2.2)</t>
  </si>
  <si>
    <t>https://embed.studio.binkies3d.com/live3d/69e12ed774c82e003663dcd3</t>
  </si>
  <si>
    <t>Honor X7</t>
  </si>
  <si>
    <t>3561 mAh</t>
  </si>
  <si>
    <t>Hasta el 2030</t>
  </si>
  <si>
    <t>Samsung Galaxy A07 128GB 4G</t>
  </si>
  <si>
    <t>https://embed.studio.binkies3d.com/live3d/69e12efb74c82e003663dd2c</t>
  </si>
  <si>
    <t>Honor X8</t>
  </si>
  <si>
    <t>Samsung Galaxy A17 128GB 5G</t>
  </si>
  <si>
    <t>https://embed.studio.binkies3d.com/live3d/69e12f1374c82e003663dd6e</t>
  </si>
  <si>
    <t>6.3", QHD, Oled</t>
  </si>
  <si>
    <t>177 g</t>
  </si>
  <si>
    <t>A19 Bionic (3 nm)</t>
  </si>
  <si>
    <t>2084k</t>
  </si>
  <si>
    <t>256 GB NVMe</t>
  </si>
  <si>
    <t>4k</t>
  </si>
  <si>
    <t>18 Mpx</t>
  </si>
  <si>
    <t>3600 mAh</t>
  </si>
  <si>
    <t>Hasta el 2031</t>
  </si>
  <si>
    <t>IPHONE 17 PRO MAX 512GB</t>
  </si>
  <si>
    <t>Oppo A16</t>
  </si>
  <si>
    <t>Samsung Galaxy A16 256GB 4G</t>
  </si>
  <si>
    <t>https://embed.studio.binkies3d.com/live3d/69e12f2ca8d031003791f414</t>
  </si>
  <si>
    <t>Samsung Galaxy A26 256GB 5G</t>
  </si>
  <si>
    <t>Apple Iphone 13 Pro 512GB</t>
  </si>
  <si>
    <t>https://embed.studio.binkies3d.com/live3d/69e12f4874c82e003663ddc0</t>
  </si>
  <si>
    <t>6.9", QHD, Oled</t>
  </si>
  <si>
    <t>233 g</t>
  </si>
  <si>
    <t>A19 Pro (3 nm)</t>
  </si>
  <si>
    <t>2309k</t>
  </si>
  <si>
    <t>12 GB</t>
  </si>
  <si>
    <t>512 GB NVMe</t>
  </si>
  <si>
    <t>48 Mpx (ƒ/ 1.6) + 48 Mpx UGA (ƒ/ 2.2) + 48 Mpx Teleobjetivo (ƒ/ 2.8)</t>
  </si>
  <si>
    <t>4823 mAh</t>
  </si>
  <si>
    <t>40W</t>
  </si>
  <si>
    <t>SI, 25W</t>
  </si>
  <si>
    <t>FACEID</t>
  </si>
  <si>
    <t>Hasta Febrero 2033</t>
  </si>
  <si>
    <t>Samsung Galaxy A36 256GB 5G</t>
  </si>
  <si>
    <t>Apple iPhone 14 512GB</t>
  </si>
  <si>
    <t>https://embed.studio.binkies3d.com/live3d/69e12f5d74c82e003663de02</t>
  </si>
  <si>
    <t>6.72", HD+, LCD</t>
  </si>
  <si>
    <t>IP54</t>
  </si>
  <si>
    <t>Xiaomi Redmi 10C 64GB</t>
  </si>
  <si>
    <t>G81 Extreme (12 nm)</t>
  </si>
  <si>
    <t>262K</t>
  </si>
  <si>
    <t>4 GB (física) + hasta 8 GB (RAM Boost)</t>
  </si>
  <si>
    <t>128 GB  eMMC 5.1</t>
  </si>
  <si>
    <t>50 Mpx (ƒ/ 1.8) + Flicker Sensor</t>
  </si>
  <si>
    <t>Samsung Galaxy A37 256GB 5G</t>
  </si>
  <si>
    <t xml:space="preserve">8 Mpx	</t>
  </si>
  <si>
    <t>https://embed.studio.binkies3d.com/live3d/69e12f7674c82e003663de73</t>
  </si>
  <si>
    <t>Hasta Febrero 2028</t>
  </si>
  <si>
    <t>PLANES MT</t>
  </si>
  <si>
    <t>Honor 70 128GB</t>
  </si>
  <si>
    <t>Samsung Galaxy A56 256GB 5G</t>
  </si>
  <si>
    <t>https://embed.studio.binkies3d.com/live3d/69e12f8b74c82e003663deb3</t>
  </si>
  <si>
    <t>ZTE Blade A51</t>
  </si>
  <si>
    <t>50 Mpx (ƒ/ 1.8) + 0.3 Mpx</t>
  </si>
  <si>
    <t>7 años</t>
  </si>
  <si>
    <t>Samsung Galaxy A57 256GB 5G</t>
  </si>
  <si>
    <t>https://embed.studio.binkies3d.com/live3d/69e12fa974c82e003663df1c</t>
  </si>
  <si>
    <t>Zte Blade V30 Vita</t>
  </si>
  <si>
    <t>XIAOMI 15T</t>
  </si>
  <si>
    <t>https://embed.studio.binkies3d.com/live3d/69e12fc4492f94003516cec6</t>
  </si>
  <si>
    <t>ZTE Blade A31 Plus 32GB</t>
  </si>
  <si>
    <t>6.72", FHD+, LCD</t>
  </si>
  <si>
    <t>190 g</t>
  </si>
  <si>
    <t>288K</t>
  </si>
  <si>
    <t>256 GB  eMMC 5.1</t>
  </si>
  <si>
    <t>50 Mpx (ƒ/ 1.8) + 5 Mpx UGA (ƒ/ 2.4)</t>
  </si>
  <si>
    <t xml:space="preserve">20.0W	</t>
  </si>
  <si>
    <t>3 años</t>
  </si>
  <si>
    <t>Motorola Moto G17 256GB 4G</t>
  </si>
  <si>
    <t>XIAOMI 15T PRO</t>
  </si>
  <si>
    <t>https://embed.studio.binkies3d.com/live3d/69e12fe8492f94003516cf18</t>
  </si>
  <si>
    <t>Xiaomi Redmi Note 11 128GB 4G</t>
  </si>
  <si>
    <t>50 Mpx (ƒ/ 1.88) + 5 Mpx UGA (ƒ/ 2.2)</t>
  </si>
  <si>
    <t>Xiaomi Redmi 15 4G</t>
  </si>
  <si>
    <t>Samsung Galaxy A53</t>
  </si>
  <si>
    <t>https://embed.studio.binkies3d.com/live3d/69e12fff492f94003516cf6a</t>
  </si>
  <si>
    <t>32 Mpx</t>
  </si>
  <si>
    <t>MOTOROLA G56 256GB</t>
  </si>
  <si>
    <t>Apple iPhone 14 256GB</t>
  </si>
  <si>
    <t>Xiaomi Redmi 15C 256GB 4G</t>
  </si>
  <si>
    <t>https://embed.studio.binkies3d.com/live3d/69e1302274c82e003663df99</t>
  </si>
  <si>
    <t>200 g</t>
  </si>
  <si>
    <t>IP68, IP69K, MIL-STD-810H</t>
  </si>
  <si>
    <t>Dimensity 7060 (6 nm)</t>
  </si>
  <si>
    <t>475K</t>
  </si>
  <si>
    <t>8 GB (física)</t>
  </si>
  <si>
    <t>256 GB UFS 2.1</t>
  </si>
  <si>
    <t>Hasta 2Tb</t>
  </si>
  <si>
    <t>50 Mpx (ƒ/ 1.88) + 8 Mpx UGA (ƒ/ 2.2)</t>
  </si>
  <si>
    <t>33.0W</t>
  </si>
  <si>
    <t>Samsung Galaxy A23</t>
  </si>
  <si>
    <t>4 años</t>
  </si>
  <si>
    <t>XIAOMI REDMI A5 128GB</t>
  </si>
  <si>
    <t>MOTOROLA G77 256GB 5G</t>
  </si>
  <si>
    <t>https://embed.studio.binkies3d.com/live3d/69e1303fa8d031003791f45f</t>
  </si>
  <si>
    <t>Oppo Reno 6 lite</t>
  </si>
  <si>
    <t>6.78", FHD+, AMOLED</t>
  </si>
  <si>
    <t>182 g</t>
  </si>
  <si>
    <t>IP64 , MIL-STD-810H</t>
  </si>
  <si>
    <t>Xiaomi Redmi Note 14 5G</t>
  </si>
  <si>
    <t>Dimensity 6400 (4 nm)</t>
  </si>
  <si>
    <t>449K</t>
  </si>
  <si>
    <t>https://embed.studio.binkies3d.com/live3d/69e1307074c82e003663e011</t>
  </si>
  <si>
    <t>108 Mpx (ƒ/ 1.7) + 8 Mpx UGA (ƒ/ 2.2)</t>
  </si>
  <si>
    <t>Apple Iphone 14 Pro Max 256GB</t>
  </si>
  <si>
    <t>Xiaomi Redmi Note 14 Pro 5G</t>
  </si>
  <si>
    <t>https://embed.studio.binkies3d.com/live3d/69e1309374c82e003663e051</t>
  </si>
  <si>
    <t>6.67", QHD+, pOLED</t>
  </si>
  <si>
    <t>178 g</t>
  </si>
  <si>
    <t>Dimensity 7300 (4 nm)</t>
  </si>
  <si>
    <t>640K</t>
  </si>
  <si>
    <t>Xiaomi Redmi A2</t>
  </si>
  <si>
    <t>50 Mpx (ƒ/ 1.88) + 13 Mpx UGA (ƒ/ 2.2) + 5 Mpx Retrato</t>
  </si>
  <si>
    <t>68.0W</t>
  </si>
  <si>
    <t>Xiaomi Redmi Note 14 Pro Plus 5G</t>
  </si>
  <si>
    <t>https://embed.studio.binkies3d.com/live3d/69e130bc74c82e003663e0a6</t>
  </si>
  <si>
    <t>Samsung Galaxy S22</t>
  </si>
  <si>
    <t>Xiaomi Redmi Note 15 256GB 5G</t>
  </si>
  <si>
    <t>https://embed.studio.binkies3d.com/live3d/69e130dda8d031003791f4d0</t>
  </si>
  <si>
    <t>6.67", QHD+, AMOLED</t>
  </si>
  <si>
    <t>144 Hz</t>
  </si>
  <si>
    <t>Snapdragon 7s Gen 3 (4 nm)</t>
  </si>
  <si>
    <t>807k</t>
  </si>
  <si>
    <t>8 GB (física) + hasta 16 GB (RAM Boost)</t>
  </si>
  <si>
    <t>256 GB UFS 2.2</t>
  </si>
  <si>
    <t>50 Mpx (ƒ/ 1.8) + 13 Mpx UGA (ƒ/ 2.2)</t>
  </si>
  <si>
    <t>SI, 15W</t>
  </si>
  <si>
    <t>Samsung Galaxy S22 Plus</t>
  </si>
  <si>
    <t>Xiaomi Redmi Note 15 Pro 512GB 5G</t>
  </si>
  <si>
    <t>https://embed.studio.binkies3d.com/live3d/69e130fb492f94003516d00d</t>
  </si>
  <si>
    <t>6.67", HD+, LCD IPS</t>
  </si>
  <si>
    <t xml:space="preserve">193 g	</t>
  </si>
  <si>
    <t>IP65, MIL-STD-810H</t>
  </si>
  <si>
    <t>Samsung Galaxy A13</t>
  </si>
  <si>
    <t>Snapdragon 6s Gen1 (11 nm)</t>
  </si>
  <si>
    <t>405K</t>
  </si>
  <si>
    <t>Hasta 1TB</t>
  </si>
  <si>
    <t>50 Mpx	(ƒ/ 1.8) + 2 Mpx	(ƒ/ 2.4)</t>
  </si>
  <si>
    <t xml:space="preserve">45.0W	</t>
  </si>
  <si>
    <t>5 años</t>
  </si>
  <si>
    <t>Xiaomi Redmi Note 15 Pro Plus 512GB 5G</t>
  </si>
  <si>
    <t>https://embed.studio.binkies3d.com/live3d/69e131ddc7300c0037614da6</t>
  </si>
  <si>
    <t>Motorola Moto G51 5G</t>
  </si>
  <si>
    <t>Dimensity 6300 (6 nm)</t>
  </si>
  <si>
    <t>Zte Blade A35</t>
  </si>
  <si>
    <t>https://embed.studio.binkies3d.com/live3d/69e1320974c82e003663e48b</t>
  </si>
  <si>
    <t>Xiaomi Redmi Note 11 Pro 4G</t>
  </si>
  <si>
    <t>Zte Blade A36 64GB 4G</t>
  </si>
  <si>
    <t>https://embed.studio.binkies3d.com/live3d/69e1322cc7300c0037614deb</t>
  </si>
  <si>
    <t>Xiaomi Redmi Note 11S 128GB 4G</t>
  </si>
  <si>
    <t>Zte Blade A55</t>
  </si>
  <si>
    <t>ZTE Blade A56 Pro 128GB 4G</t>
  </si>
  <si>
    <t>https://embed.studio.binkies3d.com/live3d/69e132b0c7300c0037614e73</t>
  </si>
  <si>
    <t>Motorola Moto G22</t>
  </si>
  <si>
    <t>5800 mAh</t>
  </si>
  <si>
    <t>ZTE BLADE V70 256GB</t>
  </si>
  <si>
    <t>https://embed.studio.binkies3d.com/live3d/69e132dcc7300c0037614ebe</t>
  </si>
  <si>
    <t>Vivo Y55</t>
  </si>
  <si>
    <t>6.75", HD+, PLS</t>
  </si>
  <si>
    <t>212 g</t>
  </si>
  <si>
    <t>IP 64</t>
  </si>
  <si>
    <t>ZTE BLADE V70 MAX 256GB</t>
  </si>
  <si>
    <t>https://embed.studio.binkies3d.com/live3d/69e13301c7300c0037614f10</t>
  </si>
  <si>
    <t>Vivo Y22s 128GB</t>
  </si>
  <si>
    <t>6100 mAh</t>
  </si>
  <si>
    <t>ZTE NUBIA AIR 256GB 5G</t>
  </si>
  <si>
    <t>https://embed.studio.binkies3d.com/live3d/69e1331ec7300c0037614f57</t>
  </si>
  <si>
    <t>Vivo V21 5G</t>
  </si>
  <si>
    <t>ZTE NUBIA V80 MAX 256GB LTE</t>
  </si>
  <si>
    <t>https://embed.studio.binkies3d.com/live3d/69e13340492f94003516d301</t>
  </si>
  <si>
    <t>6.57", FHD+, AMOLED</t>
  </si>
  <si>
    <t>185 g</t>
  </si>
  <si>
    <t>Oppo A77</t>
  </si>
  <si>
    <t>IP69, MIL-STD-810H</t>
  </si>
  <si>
    <t>409K</t>
  </si>
  <si>
    <t>6500 mAh</t>
  </si>
  <si>
    <t>80.0W</t>
  </si>
  <si>
    <t>ZTE NUBIA V80 PRO 256GB LTE</t>
  </si>
  <si>
    <t>https://embed.studio.binkies3d.com/live3d/69e1336874c82e003663e51a</t>
  </si>
  <si>
    <t>Xiaomi 12 256GB 5G</t>
  </si>
  <si>
    <t>https://embed.studio.binkies3d.com/live3d/69eaa3746556ec00373c4694</t>
  </si>
  <si>
    <t>180 g</t>
  </si>
  <si>
    <t>IP68, IP69K</t>
  </si>
  <si>
    <t>Motorola Moto G53 5G</t>
  </si>
  <si>
    <t>256 GB UFS 3.1</t>
  </si>
  <si>
    <t>50 Mpx	(ƒ/ 1.8) + 2 Mpx	(ƒ/ 2.4) + 8 Mpx (ƒ/ 2.2)</t>
  </si>
  <si>
    <t>6 años</t>
  </si>
  <si>
    <t>Xiaomi Redmi A7 Pro 128GB 4G</t>
  </si>
  <si>
    <t>https://cdn-files.kimovil.com/default/0013/12/thumb_1211047_default_big.png</t>
  </si>
  <si>
    <t>Samsung Galaxy S21 FE 5G</t>
  </si>
  <si>
    <t>6.7", HD+, PLS</t>
  </si>
  <si>
    <t>Helio G85 (12 nm)</t>
  </si>
  <si>
    <t>225K</t>
  </si>
  <si>
    <t>4 GB (física) + hasta 4 GB (RAM Plus)</t>
  </si>
  <si>
    <t>128 GB eMMC 5.1</t>
  </si>
  <si>
    <t>1080p@60fps</t>
  </si>
  <si>
    <t xml:space="preserve">25.0W	</t>
  </si>
  <si>
    <t>Oppo Reno 7</t>
  </si>
  <si>
    <t>https://embed.studio.binkies3d.com/live3d/69eaa3ac6556ec00373c46d6</t>
  </si>
  <si>
    <t>Hasta Agosto 2028</t>
  </si>
  <si>
    <t>Xiaomi Redmi 10C 3+64GB</t>
  </si>
  <si>
    <t>https://embed.studio.binkies3d.com/live3d/69eaa41e6556ec00373c474b</t>
  </si>
  <si>
    <t>Helio G99 (6 nm)</t>
  </si>
  <si>
    <t>416K</t>
  </si>
  <si>
    <t>https://embed.studio.binkies3d.com/live3d/69eaa43950dfff0035ea3e84</t>
  </si>
  <si>
    <t>Samsung Galaxy S20 FE 5G</t>
  </si>
  <si>
    <t>Hasta Agosto 2031</t>
  </si>
  <si>
    <t>https://embed.studio.binkies3d.com/live3d/6a6e6f168f8d0500375cffc6</t>
  </si>
  <si>
    <t>Motorola Moto Edge 30 Fusion 5G</t>
  </si>
  <si>
    <t>6.7", FHD+, Super AMOLED</t>
  </si>
  <si>
    <t>Exynos 1330 (5 nm)</t>
  </si>
  <si>
    <t>419K</t>
  </si>
  <si>
    <t>8 GB (física) + hasta 8 GB (RAM Plus)</t>
  </si>
  <si>
    <t>https://embed.studio.binkies3d.com/live3d/6a6e6f4b534bb500360dc962</t>
  </si>
  <si>
    <t>50 Mpx	(ƒ/ 1.8) + 5 Mpx	UGA (ƒ/ 2.2) + 2 Mpx MACRO (ƒ/ 2.4)</t>
  </si>
  <si>
    <t xml:space="preserve">13 Mpx	</t>
  </si>
  <si>
    <t>Oppo A17 64GB</t>
  </si>
  <si>
    <t>Hasta Septiembre 2031</t>
  </si>
  <si>
    <t>Apple Iphone 15 Pro Max 512GB 5G</t>
  </si>
  <si>
    <t xml:space="preserve">200 g	</t>
  </si>
  <si>
    <t>Motorola Moto G85 256GB 5G</t>
  </si>
  <si>
    <t>388K</t>
  </si>
  <si>
    <t>https://embed.studio.binkies3d.com/live3d/6a6e6f7a534bb500360dc9d1</t>
  </si>
  <si>
    <t>Hasta 1.5Tb</t>
  </si>
  <si>
    <t>Samsung Galaxy Z Flip 4 128GB</t>
  </si>
  <si>
    <t>Hasta Noviembre 2030</t>
  </si>
  <si>
    <t>Vivo Y31 256GB 5G</t>
  </si>
  <si>
    <t>Samsung Galaxy Z Flip 4 256GB</t>
  </si>
  <si>
    <t>https://embed.studio.binkies3d.com/live3d/6a6e6f9b534bb500360dca13</t>
  </si>
  <si>
    <t>IP67</t>
  </si>
  <si>
    <t>Exynos 1380 (5 nm)</t>
  </si>
  <si>
    <t>574K</t>
  </si>
  <si>
    <t>6 GB (física) + hasta 6 GB (RAM Plus)</t>
  </si>
  <si>
    <t>50 Mpx	(ƒ/ 1.8) + 5 Mpx	UGA (ƒ/ 2.2) + 2 Mpx (ƒ/ 2.4)</t>
  </si>
  <si>
    <t>Hasta Marzo 2031</t>
  </si>
  <si>
    <t>Honor X7A</t>
  </si>
  <si>
    <t>Vivo V70 FE 256GB 5G</t>
  </si>
  <si>
    <t>https://embed.studio.binkies3d.com/live3d/6a6e6fbe8f8d0500375d012d</t>
  </si>
  <si>
    <t>Samsung Galaxy A04e 32GB</t>
  </si>
  <si>
    <t>195 g</t>
  </si>
  <si>
    <t>Snapdragon 6 Gen 3 (4 nm)</t>
  </si>
  <si>
    <t>550K</t>
  </si>
  <si>
    <t>128 GB UFS 2.2</t>
  </si>
  <si>
    <t>50 Mpx	(ƒ/ 1.8) + 8 Mpx	UGA (ƒ/ 2.2) + 8 Mpx MACRO (ƒ/ 2.4)</t>
  </si>
  <si>
    <t>5 Mpx</t>
  </si>
  <si>
    <t>45.0W</t>
  </si>
  <si>
    <t>Xiaomi Redmi Note 12</t>
  </si>
  <si>
    <t>Vivo Y11 128GB 5G</t>
  </si>
  <si>
    <t>https://embed.studio.binkies3d.com/live3d/6a6e6fe18f8d0500375d0192</t>
  </si>
  <si>
    <t>Zte Blade V40 Design</t>
  </si>
  <si>
    <t>Honor 600e 512GB 5G</t>
  </si>
  <si>
    <t>https://embed.studio.binkies3d.com/live3d/6a6e70108f8d0500375d02dd</t>
  </si>
  <si>
    <t>Exynos 1480 (4 nm)</t>
  </si>
  <si>
    <t>731K</t>
  </si>
  <si>
    <t>Samsung Galaxy A04 64GB</t>
  </si>
  <si>
    <t>50 Mpx	(ƒ/ 1.8) + 8 Mpx	UGA (ƒ/ 2.2) + 5 Mpx MACRO (ƒ/ 2.4)</t>
  </si>
  <si>
    <t xml:space="preserve">12 Mpx	</t>
  </si>
  <si>
    <t>Hasta Marzo 2032</t>
  </si>
  <si>
    <t>Honor X6D 256GB 5G</t>
  </si>
  <si>
    <t>https://embed.studio.binkies3d.com/live3d/6a6e7036534bb500360dcabe</t>
  </si>
  <si>
    <t>Honor X6</t>
  </si>
  <si>
    <t xml:space="preserve">197 g	</t>
  </si>
  <si>
    <t>Exynos 1580 (4 nm)</t>
  </si>
  <si>
    <t>841K</t>
  </si>
  <si>
    <t>Honor X7e Plus 256GB 5G</t>
  </si>
  <si>
    <t>50 Mpx	(ƒ/ 1.8) + 13 Mpx UGA (ƒ/ 2.2) + 5 Mpx MACRO (ƒ/ 2.4)</t>
  </si>
  <si>
    <t>Apple iPhone 14 Pro 128GB</t>
  </si>
  <si>
    <t>https://embed.studio.binkies3d.com/live3d/6a6e7089c6517e003644eeea</t>
  </si>
  <si>
    <t>Oppo Reno 16F 256GB 5G</t>
  </si>
  <si>
    <t>Samsung Galaxy S23 128GB</t>
  </si>
  <si>
    <t>https://embed.studio.binkies3d.com/live3d/6a6e70bac6517e003644ef4a</t>
  </si>
  <si>
    <t>6.7", FHD+, Super AMOLED+</t>
  </si>
  <si>
    <t>Exynos 1680 (4 nm)</t>
  </si>
  <si>
    <t>Samsung Galaxy S23 256GB</t>
  </si>
  <si>
    <t>1120K</t>
  </si>
  <si>
    <t>Honor 600 512GB 5G</t>
  </si>
  <si>
    <t>https://embed.studio.binkies3d.com/live3d/6a6e70f8c6517e003644ef79</t>
  </si>
  <si>
    <t>Samsung Galaxy Z Flip 5 256GB 5G</t>
  </si>
  <si>
    <t>Samsung Galaxy Z Flip 5 512GB 5G</t>
  </si>
  <si>
    <t>6.3", FHD+, Dynamic AMOLED 2X</t>
  </si>
  <si>
    <t>167 g</t>
  </si>
  <si>
    <t>Exynos 2600 (2 nm)</t>
  </si>
  <si>
    <t>2825K</t>
  </si>
  <si>
    <t>12 GB (física) + hasta 8 GB (RAM Plus)</t>
  </si>
  <si>
    <t>256 GB UFS 4.1</t>
  </si>
  <si>
    <t>50 Mpx	(ƒ/ 1.8) + 12 Mpx UGA (ƒ/ 2.2) + 12 Mpx Teleobjetivo (ƒ/ 2.4)</t>
  </si>
  <si>
    <t>8K</t>
  </si>
  <si>
    <t>4300 mAh</t>
  </si>
  <si>
    <t>Samsung Galaxy Z Fold 5 512GB 5G</t>
  </si>
  <si>
    <t>Motorola Moto G14</t>
  </si>
  <si>
    <t>6.7", WQHD+, Dynamic AMOLED 2X</t>
  </si>
  <si>
    <t>Xiaomi Redmi A1 32GB</t>
  </si>
  <si>
    <t>4900 mAh</t>
  </si>
  <si>
    <t>Motorola Moto E7i Power</t>
  </si>
  <si>
    <t>Motorola Moto E20</t>
  </si>
  <si>
    <t>6.9", WQHD+, Dynamic AMOLED 2X</t>
  </si>
  <si>
    <t>214 g</t>
  </si>
  <si>
    <t>Snapdragon 8 Elite Gen 5 (3 nm)</t>
  </si>
  <si>
    <t>4027K</t>
  </si>
  <si>
    <t>200 Mpx (ƒ/ 1.4) + 50 Mpx UGA (ƒ/ 1.9) + 10 Mpx Teleobjetivo (ƒ/ 2.4) + 10 Mpx Teleobjetivo (ƒ/ 2.9)</t>
  </si>
  <si>
    <t>Motorola Moto E22i</t>
  </si>
  <si>
    <t>60W</t>
  </si>
  <si>
    <t>Xiaomi Redmi A2 64GB</t>
  </si>
  <si>
    <t>6.88", HD+, LCD IPS</t>
  </si>
  <si>
    <t>Unisoc Tiger T615 (12 nm)</t>
  </si>
  <si>
    <t>308K</t>
  </si>
  <si>
    <t>Modelo</t>
  </si>
  <si>
    <t>32 Mpx	(ƒ/ 2.0) + 0.3 Mpx</t>
  </si>
  <si>
    <t>18W</t>
  </si>
  <si>
    <t>Apple Iphone 15 Plus 256GB 5G</t>
  </si>
  <si>
    <t>Cuota Inicial</t>
  </si>
  <si>
    <t>Cuota 1</t>
  </si>
  <si>
    <t>Cuota 2 a la 12</t>
  </si>
  <si>
    <t>Numero de cuotas</t>
  </si>
  <si>
    <t>Monto Total</t>
  </si>
  <si>
    <t>La cuota inicial definitiva se determinará al momento de realizar la evaluación comercial en OT</t>
  </si>
  <si>
    <t>Xiaomi Redmi 9A</t>
  </si>
  <si>
    <t>32 Mpx	(ƒ/ 2.0) + AUX (POSIBLE)</t>
  </si>
  <si>
    <t>Oppo A57 128GB</t>
  </si>
  <si>
    <t>Motorola Moto Edge 30 Neo 5G</t>
  </si>
  <si>
    <t>Motorola Moto G23</t>
  </si>
  <si>
    <t>Xiaomi Redmi 12C</t>
  </si>
  <si>
    <t xml:space="preserve">6.9", HD+, LCD IPS	</t>
  </si>
  <si>
    <t>205 g</t>
  </si>
  <si>
    <t>289K</t>
  </si>
  <si>
    <t>50 Mpx (ƒ/ 1.8) + 0.8 Mpx UGA (ƒ/ 2.2)</t>
  </si>
  <si>
    <t>Xiaomi Redmi Note 12s</t>
  </si>
  <si>
    <t xml:space="preserve">33.0W	</t>
  </si>
  <si>
    <t>Xiaomi Redmi 12C 128GB</t>
  </si>
  <si>
    <t>PK OPPO RENO12F HP 256GB ROJO</t>
  </si>
  <si>
    <t xml:space="preserve">6.9", FHD+, LCD IPS	</t>
  </si>
  <si>
    <t>224 g</t>
  </si>
  <si>
    <t>Snapdragon 685</t>
  </si>
  <si>
    <t>338K</t>
  </si>
  <si>
    <t>108 Mpx (ƒ/ 1.7) + 2 Mpx (ƒ/ 2.4) + 0.3 Mpx</t>
  </si>
  <si>
    <t>7000 mAh</t>
  </si>
  <si>
    <t>Samsung Galaxy A06 64GB 4G</t>
  </si>
  <si>
    <t>Honor 70 256GB</t>
  </si>
  <si>
    <t>Helio G100 Ultra (6 nm)</t>
  </si>
  <si>
    <t>108 Mpx (ƒ/ 1.7) + 2 Mpx (ƒ/ 2.4)</t>
  </si>
  <si>
    <t xml:space="preserve">20 Mpx	</t>
  </si>
  <si>
    <t>Samsung Galaxy S23 Plus 512GB</t>
  </si>
  <si>
    <t>Samsung Galaxy A54 5G</t>
  </si>
  <si>
    <t>6.83", FHD+, AMOLED</t>
  </si>
  <si>
    <t>204 g</t>
  </si>
  <si>
    <t>IP66, IP68, IP69, IP69K</t>
  </si>
  <si>
    <t>Dimensity 7400 Ultra (4 nm)</t>
  </si>
  <si>
    <t>780K</t>
  </si>
  <si>
    <t>512 GB UFS 2.2</t>
  </si>
  <si>
    <t>200 Mpx (ƒ/ 1.7) + 8 Mpx UGA (ƒ/ 2.8)</t>
  </si>
  <si>
    <t>6850 mAh</t>
  </si>
  <si>
    <t>Xiaomi 13T 256GB 5G</t>
  </si>
  <si>
    <t>Motorola Moto Edge 40 Neo 256GB 5G</t>
  </si>
  <si>
    <t>Motorola Razr 40 Ultra 5G</t>
  </si>
  <si>
    <t>207 g</t>
  </si>
  <si>
    <t>Snapdragon 7s Gen4 (4 nm)</t>
  </si>
  <si>
    <t>1047k</t>
  </si>
  <si>
    <t>200 Mpx (ƒ/ 1.7) + 8 Mpx UGA (ƒ/ 2.2) + 2 Mpx MACRO (ƒ/ 2.4)</t>
  </si>
  <si>
    <t>100W</t>
  </si>
  <si>
    <t>Samsung Galaxy A33</t>
  </si>
  <si>
    <t>Samsung Galaxy A34 5G</t>
  </si>
  <si>
    <t>6.67", FHD+, AMOLED</t>
  </si>
  <si>
    <t xml:space="preserve">196 g	</t>
  </si>
  <si>
    <t xml:space="preserve">IP54	</t>
  </si>
  <si>
    <t>Helio G99 Ultra (6 nm)</t>
  </si>
  <si>
    <t>450K</t>
  </si>
  <si>
    <t>108 Mpx (ƒ/ 1.7) + 2 Mpx (ƒ/ 2.4) + 2 Mpx MACRO (ƒ/ 2.4)</t>
  </si>
  <si>
    <t>1080p@30/60fps</t>
  </si>
  <si>
    <t>Apple iPhone 12 64GB</t>
  </si>
  <si>
    <t xml:space="preserve">5500 mAh	</t>
  </si>
  <si>
    <t>Samsung Galaxy S23 Plus 256GB</t>
  </si>
  <si>
    <t>420K</t>
  </si>
  <si>
    <t>200 Mpx (ƒ/ 1.65) + 8 Mpx UGA (ƒ/ 2.2) + 2 Mpx MACRO (ƒ/ 2.4)</t>
  </si>
  <si>
    <t>Hasta Enero 2029</t>
  </si>
  <si>
    <t>Honor Magic 5 Lite 5G</t>
  </si>
  <si>
    <t>Honor Magic 5 Lite 5G 256GB</t>
  </si>
  <si>
    <t>210 g</t>
  </si>
  <si>
    <t>SnapD. 7s Gen3 (4 nm)</t>
  </si>
  <si>
    <t>813K</t>
  </si>
  <si>
    <t>5110 mAh</t>
  </si>
  <si>
    <t>120W</t>
  </si>
  <si>
    <t>Vivo V25e</t>
  </si>
  <si>
    <t>6.83", UHD+, AMOLED</t>
  </si>
  <si>
    <t>Dimensity 8400 (4 nm)</t>
  </si>
  <si>
    <t>1821K</t>
  </si>
  <si>
    <t>512 GB UFS 4.1</t>
  </si>
  <si>
    <t>Oppo A78 256GB</t>
  </si>
  <si>
    <t>50 Mpx	(ƒ/ 1.7) + 50 Mpx Teleobjetivo (ƒ/ 1.9) + 12 Mpx UGA (ƒ/ 2.2)</t>
  </si>
  <si>
    <t>67W</t>
  </si>
  <si>
    <t>Liquidación</t>
  </si>
  <si>
    <t>Dimensity 9400+ (3 nm)</t>
  </si>
  <si>
    <t>2821K</t>
  </si>
  <si>
    <t>50 Mpx	(ƒ/ 1.6) + 50 Mpx Teleobjetivo (ƒ/ 3.0) + 12 Mpx UGA (ƒ/ 2.2)</t>
  </si>
  <si>
    <t>Honor 90 Lite 5G</t>
  </si>
  <si>
    <t>90W</t>
  </si>
  <si>
    <t>Apple Iphone 15 Pro 256GB 5G</t>
  </si>
  <si>
    <t xml:space="preserve">6.75", HD+, LCD IPS	</t>
  </si>
  <si>
    <t xml:space="preserve">192 g	</t>
  </si>
  <si>
    <t>Unisoc SC9863A1 (22 nm)</t>
  </si>
  <si>
    <t>154K</t>
  </si>
  <si>
    <t>2 GB (física) + hasta 4 GB (Dynamic RAM)</t>
  </si>
  <si>
    <t>64 GB</t>
  </si>
  <si>
    <t xml:space="preserve">8 Mpx + 0.8 Mpx	</t>
  </si>
  <si>
    <t xml:space="preserve">5000 mAh	</t>
  </si>
  <si>
    <t>Apple Iphone 16 Pro Max 512GB 5G</t>
  </si>
  <si>
    <t>≤2 años</t>
  </si>
  <si>
    <t>Apple iPhone 12 64GB SN</t>
  </si>
  <si>
    <t xml:space="preserve">6.75", FHD+, LCD IPS	</t>
  </si>
  <si>
    <t>194 g</t>
  </si>
  <si>
    <t>Unisoc T7200 (12 nm)</t>
  </si>
  <si>
    <t>240k</t>
  </si>
  <si>
    <t>4 GB (física) + hasta 8 GB (Dynamic RAM)</t>
  </si>
  <si>
    <t>Apple Iphone 13 128GB SN</t>
  </si>
  <si>
    <t>13 Mpx + 1 Mpx</t>
  </si>
  <si>
    <t>Apple Iphone 13 Mini 128GB SN</t>
  </si>
  <si>
    <t>Apple Iphone 13 Pro 256GB SN</t>
  </si>
  <si>
    <t>Apple Iphone 13 Pro Max 128GB SN</t>
  </si>
  <si>
    <t>50MP + 0.08MP</t>
  </si>
  <si>
    <t>8  Mpx</t>
  </si>
  <si>
    <t>Apple Iphone 13 Pro Max 256GB SN</t>
  </si>
  <si>
    <t xml:space="preserve">6.7", HD+, LCD IPS	</t>
  </si>
  <si>
    <t>Unisoc T606 (12 nm)</t>
  </si>
  <si>
    <t>245K</t>
  </si>
  <si>
    <t>8 GB (física) + hasta 12 GB (Dynamic RAM)</t>
  </si>
  <si>
    <t>108 Mpx (ƒ/ 1.8)</t>
  </si>
  <si>
    <t>22.5W</t>
  </si>
  <si>
    <t>Apple Iphone 14 128GB SN</t>
  </si>
  <si>
    <t>Apple Iphone 14 Plus 128GB SN</t>
  </si>
  <si>
    <t>4 GB (física) + hasta 10 GB (Dynamic RAM)</t>
  </si>
  <si>
    <t>Apple Iphone 14 Plus 256GB SN</t>
  </si>
  <si>
    <t>172 g</t>
  </si>
  <si>
    <t>IP68/IP69K</t>
  </si>
  <si>
    <t>Unisoc T8300 (6 nm)</t>
  </si>
  <si>
    <t>510k</t>
  </si>
  <si>
    <t>50 Mpx	(ƒ/ 1.6) + 2 Mpx	(ƒ/ 2.4) + 0.8 Mpx</t>
  </si>
  <si>
    <t>Apple Iphone 14 Pro 128GB SN</t>
  </si>
  <si>
    <t>Apple Iphone 14 Pro 256GB SN</t>
  </si>
  <si>
    <t xml:space="preserve">6.75", FHD, LCD IPS	</t>
  </si>
  <si>
    <t>Unisoc T7280 (12 nm)</t>
  </si>
  <si>
    <t>306K</t>
  </si>
  <si>
    <t>8 GB (física) + hasta 8 GB (Dynamic RAM)</t>
  </si>
  <si>
    <t>108 Mpx (ƒ/ 1.6) + 2 Mpx (ƒ/ 2.4) + 0.1 Mpx</t>
  </si>
  <si>
    <t>Apple Iphone 14 Pro Max 128GB SN</t>
  </si>
  <si>
    <t>Unisoc T7250 (12 nm)</t>
  </si>
  <si>
    <t>263K</t>
  </si>
  <si>
    <t>Apple Iphone 14 Pro Max 256GB SN</t>
  </si>
  <si>
    <t>256 GB UFS</t>
  </si>
  <si>
    <t>Samsung Galaxy S20 FE 5G SN</t>
  </si>
  <si>
    <t>6.75", FHD+, pOLED (3D curva)</t>
  </si>
  <si>
    <t>173 g</t>
  </si>
  <si>
    <t xml:space="preserve">IP52    </t>
  </si>
  <si>
    <t>Snapdragon 6s Gen 3 (6 nm)</t>
  </si>
  <si>
    <t>500K</t>
  </si>
  <si>
    <t>8 GB (física) + hasta 12 GB (RAM Boost)</t>
  </si>
  <si>
    <t>50 Mpx (ƒ/ 1.79) + 8 Mpx (ƒ/ 2.2)</t>
  </si>
  <si>
    <t>Samsung Galaxy S23 Plus 256GB SN</t>
  </si>
  <si>
    <t>30.0W</t>
  </si>
  <si>
    <t>Oppo Reno 10 256GB 5G</t>
  </si>
  <si>
    <t xml:space="preserve">6.68", FHD+, LCD IPS        </t>
  </si>
  <si>
    <t>209 g</t>
  </si>
  <si>
    <t>Snapdragon 4 Gen 2 (4 nm)</t>
  </si>
  <si>
    <t>470K</t>
  </si>
  <si>
    <t>6 GB (física)</t>
  </si>
  <si>
    <t>44.0W</t>
  </si>
  <si>
    <t>Oppo A58 256GB</t>
  </si>
  <si>
    <t>Xiaomi Redmi 13C 256GB 5G</t>
  </si>
  <si>
    <t>IP68, IP69</t>
  </si>
  <si>
    <t>Dimensity 7360 Turbo (4 nn)</t>
  </si>
  <si>
    <t>715K</t>
  </si>
  <si>
    <t>200 Mpx (ƒ/ 1.79) + 8 Mpx UGA (ƒ/ 2.2)</t>
  </si>
  <si>
    <t>90.0W</t>
  </si>
  <si>
    <t>Vivo V30 SE 5G</t>
  </si>
  <si>
    <t xml:space="preserve">6.74", HD+, LCD IPS        </t>
  </si>
  <si>
    <t>Dimensity 6300</t>
  </si>
  <si>
    <t>Samsung Galaxy S23 Ultra 512GB</t>
  </si>
  <si>
    <t>410K</t>
  </si>
  <si>
    <t>Hasta 2TB</t>
  </si>
  <si>
    <t>15W</t>
  </si>
  <si>
    <t>Apple Iphone SE 2022 128GB SN</t>
  </si>
  <si>
    <t>6.6", FHD+, AMOLED</t>
  </si>
  <si>
    <t>Apple Iphone SE 2022 64GB SN</t>
  </si>
  <si>
    <t>Dimensity 7100 (6 nn)</t>
  </si>
  <si>
    <t>1716K</t>
  </si>
  <si>
    <t>108 Mpx (ƒ/ 1.75) + 2 Mpx UGA (ƒ/ 2.2)</t>
  </si>
  <si>
    <t>6520 mAh</t>
  </si>
  <si>
    <t>Apple iPhone 11 64GB</t>
  </si>
  <si>
    <t>PCK APLIPH11BK64GB INC AIRPOD</t>
  </si>
  <si>
    <t>6.75", HD+, LCD IPS</t>
  </si>
  <si>
    <t>6 GB (física) + hasta 6 GB (RAM Turbo)</t>
  </si>
  <si>
    <t>50 Mpx (ƒ/ 2.0) + Auxiliar</t>
  </si>
  <si>
    <t>Samsung Galaxy S23 Ultra 256GB</t>
  </si>
  <si>
    <t>Zte Blade A53 Plus</t>
  </si>
  <si>
    <t>6.87", HD+, LCD IPS</t>
  </si>
  <si>
    <t>216.5 g</t>
  </si>
  <si>
    <t>IP68, IP69, IP69K</t>
  </si>
  <si>
    <t>Snapdragon 4 Gen 4 (4 nm)</t>
  </si>
  <si>
    <t>50 Mpx (ƒ/ 1.8) + 2 Mpx Auxiliar</t>
  </si>
  <si>
    <t>8100 mAh</t>
  </si>
  <si>
    <t>Samsung Galaxy A14 5G</t>
  </si>
  <si>
    <t>Motorola Moto Edge 40 5G</t>
  </si>
  <si>
    <t>IP69K</t>
  </si>
  <si>
    <t>Dimensity 7300 Energy (4 nm)</t>
  </si>
  <si>
    <t>50 Mpx (ƒ/ 1.8) + 8 Mpx UGA (ƒ/ 2.2) + 50 Mpx Teleobjetivo (ƒ/ 2.8)</t>
  </si>
  <si>
    <t>Motorola Moto G04</t>
  </si>
  <si>
    <t>6.57", QHD+, AMOLED</t>
  </si>
  <si>
    <t>Xiaomi Redmi 12 128GB 5G</t>
  </si>
  <si>
    <t>Snapdragon 7 Gen 4 (4 nm)</t>
  </si>
  <si>
    <t>1000K</t>
  </si>
  <si>
    <t>8 GB (física) + hasta 8 GB (RAM Turbo)</t>
  </si>
  <si>
    <t>Oppo Reno 7 256GB</t>
  </si>
  <si>
    <t>200 Mpx (ƒ/ 1.9) + 12 Mpx UGA (ƒ/ 2.2)</t>
  </si>
  <si>
    <t>6400 mAh</t>
  </si>
  <si>
    <t>Samsung Galaxy A24</t>
  </si>
  <si>
    <t>ZTE Redmagic 8S Pro 5G</t>
  </si>
  <si>
    <t>Motorola Moto G84 256GB 5G</t>
  </si>
  <si>
    <t>Samsung Galaxy A05 64GB</t>
  </si>
  <si>
    <t>Honor X6A Plus</t>
  </si>
  <si>
    <t>PK APLIPH13MDK INC CARG20WUSBC</t>
  </si>
  <si>
    <t>Zte Redmagic 9 Pro 5G</t>
  </si>
  <si>
    <t>PK APLIPH15BK INC CARG20WUSBC</t>
  </si>
  <si>
    <t>Samsung Galaxy A15 128GB 5G</t>
  </si>
  <si>
    <t>Samsung Galaxy Z Fold 4 512GB</t>
  </si>
  <si>
    <t>Samsung Galaxy Z Fold 5 256GB 5G</t>
  </si>
  <si>
    <t>Honor 90 5G</t>
  </si>
  <si>
    <t>PK HONOR905G ZFRL X3LJBLSPK</t>
  </si>
  <si>
    <t>Honor X6A</t>
  </si>
  <si>
    <t>Motorola Moto G04s</t>
  </si>
  <si>
    <t>Samsung Galaxy S23 FE 5G</t>
  </si>
  <si>
    <t>Motorola Moto G54 256GB 5G</t>
  </si>
  <si>
    <t>Oppo Reno 11 5G</t>
  </si>
  <si>
    <t>Apple Iphone 11 64GB SN</t>
  </si>
  <si>
    <t>Apple iPhone 12 128GB SN</t>
  </si>
  <si>
    <t>Samsung Galaxy A53 5G SN</t>
  </si>
  <si>
    <t>Oppo Reno 12F 5G</t>
  </si>
  <si>
    <t>Apple Iphone 15 Plus 128GB 5G</t>
  </si>
  <si>
    <t>Samsung Galaxy A55 5G</t>
  </si>
  <si>
    <t>Apple iPhone 11 128GB</t>
  </si>
  <si>
    <t>29.9 34.9 39.9 44.9 49.9</t>
  </si>
  <si>
    <t>53.9 54.9 59.9</t>
  </si>
  <si>
    <t>63.9 69.9 74.9 79.9</t>
  </si>
  <si>
    <t>Apple Iphone 15 Pro Max 256GB 5G</t>
  </si>
  <si>
    <t>Honor 200 Lite 256GB 5G</t>
  </si>
  <si>
    <t>Honor X7B</t>
  </si>
  <si>
    <t>Honor X8B</t>
  </si>
  <si>
    <t>Oppo A38 128GB</t>
  </si>
  <si>
    <t>Oppo Reno 11F 5G</t>
  </si>
  <si>
    <t>Samsung Galaxy A05s</t>
  </si>
  <si>
    <t>Samsung Galaxy A15 256GB</t>
  </si>
  <si>
    <t>Samsung Galaxy S24 Ultra 512GB 5G</t>
  </si>
  <si>
    <t>PK SGLXYS24ULT 512GB BK WATCH4</t>
  </si>
  <si>
    <t>Vivo Y28s 256GB 5G</t>
  </si>
  <si>
    <t>Xiaomi Redmi Note 13</t>
  </si>
  <si>
    <t>Xiaomi Redmi Note 13 Pro</t>
  </si>
  <si>
    <t>Samsung Galaxy S24 256GB 5G</t>
  </si>
  <si>
    <t>PK SGLXY S24 256GB BK WATCH4</t>
  </si>
  <si>
    <t>Samsung Galaxy S24 Plus 512GB 5G</t>
  </si>
  <si>
    <t>PK SGLXYS24PL 512GB BK WATCH4</t>
  </si>
  <si>
    <t>Xiaomi Redmi Note 13 Pro Plus 5G</t>
  </si>
  <si>
    <t>Xiaomi 14 Ultra 5G</t>
  </si>
  <si>
    <t>Xiaomi Redmi 13C</t>
  </si>
  <si>
    <t>ZTE Blade A54</t>
  </si>
  <si>
    <t>ZTE Blade V40 Vita</t>
  </si>
  <si>
    <t>ZTE Blade V50 Design</t>
  </si>
  <si>
    <t>ZTE Blade V50 Vita</t>
  </si>
  <si>
    <t>Zte Nubia Focus 5G</t>
  </si>
  <si>
    <t>Oppo A79 5G</t>
  </si>
  <si>
    <t>PK APLIPH14BL128GB APLCARG20WC</t>
  </si>
  <si>
    <t>Apple iPhone 14 Plus 256GB</t>
  </si>
  <si>
    <t>Apple iPhone 14 Pro 256GB</t>
  </si>
  <si>
    <t>Apple Iphone 14 Pro Max 128GB</t>
  </si>
  <si>
    <t>Apple Iphone 15 256GB 5G</t>
  </si>
  <si>
    <t>Apple Iphone 15 Pro 128GB 5G</t>
  </si>
  <si>
    <t>Apple Iphone 15 Pro 512GB 5G</t>
  </si>
  <si>
    <t>Apple Iphone 16 256GB 5G</t>
  </si>
  <si>
    <t>Apple Iphone 16 Pro 512GB 5G</t>
  </si>
  <si>
    <t>Pack</t>
  </si>
  <si>
    <t>PK OPPORENO14F SW BK 256GB</t>
  </si>
  <si>
    <t>Vivo V40 SE 5G</t>
  </si>
  <si>
    <t>Apple Iphone 16 Plus 256GB 5G</t>
  </si>
  <si>
    <t>Honor Magic 6 Lite 256GB 5G</t>
  </si>
  <si>
    <t>Samsung Galaxy A25 5G</t>
  </si>
  <si>
    <t>Motorola Moto G24 Power</t>
  </si>
  <si>
    <t>PKME HONX8CGR 256GB INC HCW21B</t>
  </si>
  <si>
    <t>PK MOTOEDGE50FUS256GB AZ AUDBT</t>
  </si>
  <si>
    <t>PK MOTOEDGE50FUS256GB RS AUDBT</t>
  </si>
  <si>
    <t>PK MOTOEDGE50FUS256GB VD AUDBT</t>
  </si>
  <si>
    <t>ZTE Redmagic 9S Pro 5G</t>
  </si>
  <si>
    <t>Motorola Moto Edge 50 Pro 5G</t>
  </si>
  <si>
    <t>Samsung Galaxy A35 5G</t>
  </si>
  <si>
    <t>Honor 200 256GB 5G</t>
  </si>
  <si>
    <t>Honor X9C Smart 256GB 5G</t>
  </si>
  <si>
    <t>Samsung Galaxy S24 FE 256GB 5G</t>
  </si>
  <si>
    <t>PK SGLXYA17128GB BK INC ALT</t>
  </si>
  <si>
    <t>PK XIAORN15256GB BK INC ALT</t>
  </si>
  <si>
    <t>Apple Iphone 16e 128GB 5G</t>
  </si>
  <si>
    <t>PKME IPH16EB 128GB INC 20W USB</t>
  </si>
  <si>
    <t>PK APPL IPH 16E B 128GB AP 4GN</t>
  </si>
  <si>
    <t>Xiaomi 17 Ultra 512GB 5G</t>
  </si>
  <si>
    <t>Samsung Fold 7</t>
  </si>
  <si>
    <t>Xiaomi Redmi A5 128GB</t>
  </si>
  <si>
    <t>PK SGLXYS26 BK 256GB INC BD4</t>
  </si>
  <si>
    <t>PK SGLXYS26UT BK 256GB INC BD4</t>
  </si>
  <si>
    <t>Apple Iphone 16 128GB 5G</t>
  </si>
  <si>
    <t>Apple Iphone 17 Pro Max 256GB 5G</t>
  </si>
  <si>
    <t>Apple Iphone 17 Pro 512GB 5G</t>
  </si>
  <si>
    <t>Honor X7D 256GB 5G</t>
  </si>
  <si>
    <t>Apple Iphone 17 Pro Max 512GB 5G</t>
  </si>
  <si>
    <t>Honor X8C 256GB 5G</t>
  </si>
  <si>
    <t>Oppo Reno 14F 256GB 5G</t>
  </si>
  <si>
    <t>Vivo Y31 512GB 5G</t>
  </si>
  <si>
    <t>Honor 400 Pro 512GB 5G</t>
  </si>
  <si>
    <t>Oppo A40 4G</t>
  </si>
  <si>
    <t>Honor Magic 8 Lite 512GB 5G</t>
  </si>
  <si>
    <t>PK AIPH16PRMXBK INC CAR20WUSBC</t>
  </si>
  <si>
    <t>PK H400 512GB MB INC ATTPB</t>
  </si>
  <si>
    <t>PK HONX8C 256GB BK INC ATTB</t>
  </si>
  <si>
    <t>PKME H400LT 256GB G INC ATTB</t>
  </si>
  <si>
    <t>PKME HONX7D 256GB AZ INC DSP</t>
  </si>
  <si>
    <t>PKME HOX7D256GB AZ INC AU OE V</t>
  </si>
  <si>
    <t>PKME MOTG56 256GB VD INC DSP</t>
  </si>
  <si>
    <t>PKME MOTG56256 PBK INC AU OE B</t>
  </si>
  <si>
    <t>PKME MOTG56AZ 256GB INC MBUDS</t>
  </si>
  <si>
    <t>PKME SGLXYA17 128GB BK INC DSP</t>
  </si>
  <si>
    <t>PK SGLXYA36 128GB BK INC ATTB</t>
  </si>
  <si>
    <t>PKME SGXYA17128 BK INC AU OE B</t>
  </si>
  <si>
    <t>PKME SGXYS24FE 128GB INC BD FE</t>
  </si>
  <si>
    <t>PKME SGXYS25UG 256GB INC BD FE</t>
  </si>
  <si>
    <t>PKME XIRN14 256GB BK INC ATTB</t>
  </si>
  <si>
    <t>PKME XIRN14256 MBK INC AU OE V</t>
  </si>
  <si>
    <t>PKME XIRN14 256GB MDBK INC DSP</t>
  </si>
  <si>
    <t>PK MOTE60F 256GB AZ INC ATTB</t>
  </si>
  <si>
    <t>PK MOTMG56 256GB BK INC ATTB</t>
  </si>
  <si>
    <t>PK SGLXYA26 128GB BK INC ATTB</t>
  </si>
  <si>
    <t>PK SGXYA56 256GB GR INC ATTB</t>
  </si>
  <si>
    <t>PK XRN14P 256GB MB INC ATTPB</t>
  </si>
  <si>
    <t>Oppo A6C 128GB 4G</t>
  </si>
  <si>
    <t>PK SGLXYA26128GB BK INC GP3</t>
  </si>
  <si>
    <t>Xiaomi 17T 512GB 5G</t>
  </si>
  <si>
    <t>Oppo A60 4G</t>
  </si>
  <si>
    <t>Vivo X300 Pro 512GB 5G</t>
  </si>
  <si>
    <t>ZTE Nubia Air 512GB 5G</t>
  </si>
  <si>
    <t>Honor 600 Pro 512GB 5G</t>
  </si>
  <si>
    <t>Xiaomi 17T Pro 512GB 5G</t>
  </si>
  <si>
    <t>Xiaomi 15T Pro 512GB 5G</t>
  </si>
  <si>
    <t>Honor X5D 128GB 4G</t>
  </si>
  <si>
    <t>Honor X8D 256GB 4G</t>
  </si>
  <si>
    <t>Motorola Moto G47 128GB 5G</t>
  </si>
  <si>
    <t>Motorola Moto Edge 70 Fusion 256GB 12 GB 5G</t>
  </si>
  <si>
    <t>Motorola Moto Signature 1TB 5G</t>
  </si>
  <si>
    <t>Honor X5c</t>
  </si>
  <si>
    <t>ZTE Nubia Neo3 256GB 5G</t>
  </si>
  <si>
    <t>Motorola Moto G86 Power 256GB 5G</t>
  </si>
  <si>
    <t>Vivo V50 Lite 256GB 5G</t>
  </si>
  <si>
    <t>Samsung Galaxy S25 128GB 5G</t>
  </si>
  <si>
    <t>Honor Magic 7 Pro 512GB 5G</t>
  </si>
  <si>
    <t>Apple Iphone 16 Pro 128GB 5G</t>
  </si>
  <si>
    <t>PK AP IPH 16PM BT 256GB APP 2G</t>
  </si>
  <si>
    <t>Motorola Moto G77 256GB 5G</t>
  </si>
  <si>
    <t>Vivo Y21 256GB 5G</t>
  </si>
  <si>
    <t>Apple Iphone 13 128GB</t>
  </si>
  <si>
    <t>PKIPH13 128GB STL INC AIRP2GN</t>
  </si>
  <si>
    <t>PKAPIPH13128GBMD INC AIRP2GEN</t>
  </si>
  <si>
    <t>PK APLIPH15 BK INC AIRPRO</t>
  </si>
  <si>
    <t>Apple Iphone 17 Pro 256GB 5G</t>
  </si>
  <si>
    <t>Zte Nubia Neo5 256GB 5G</t>
  </si>
  <si>
    <t>Honor X5B</t>
  </si>
  <si>
    <t>Motorola Moto E15</t>
  </si>
  <si>
    <t>PKME XIRMIA5 64GB BK INC MAH2</t>
  </si>
  <si>
    <t>Samsung Galaxy A07 64GB 4G</t>
  </si>
  <si>
    <t>Xiaomi Redmi A5 64GB</t>
  </si>
  <si>
    <t>Motorola Moto G06 128GB 4G</t>
  </si>
  <si>
    <t>Zte Blade V60 Design</t>
  </si>
  <si>
    <t>Samsung Galaxy A06 128GB 5G</t>
  </si>
  <si>
    <t>Xiaomi Redmi 13 256GB 4G</t>
  </si>
  <si>
    <t>ZTE Blade A75 256GB 5G</t>
  </si>
  <si>
    <t>Honor X5C Plus</t>
  </si>
  <si>
    <t>PKME SGXYA16 128GB BK INC MAH2</t>
  </si>
  <si>
    <t>Oppo A5X 128GB 4G</t>
  </si>
  <si>
    <t>Honor X6B 256GB 5G</t>
  </si>
  <si>
    <t>PKME HONX6B 256GB MBK INC MAH2</t>
  </si>
  <si>
    <t>Motorola Moto G35 256GB 5G</t>
  </si>
  <si>
    <t>Seminuevos</t>
  </si>
  <si>
    <t>ZTE Nubia Focus 2 256GB 5G</t>
  </si>
  <si>
    <t>Honor 200 512GB 5G</t>
  </si>
  <si>
    <t>Vivo Y29S 256GB 5G</t>
  </si>
  <si>
    <t>Motorola Moto Edge 50 Fusion 5G</t>
  </si>
  <si>
    <t>Oppo A6X 256GB 5G</t>
  </si>
  <si>
    <t>Motorola Moto G56 256GB 5G</t>
  </si>
  <si>
    <t>PKME XIARN14MB 256GB INC RB6AB</t>
  </si>
  <si>
    <t>Samsung Galaxy A26 128GB 5G</t>
  </si>
  <si>
    <t>Oppo A80 5G</t>
  </si>
  <si>
    <t>Honor 200 Pro 512GB 5G</t>
  </si>
  <si>
    <t>Vivo Y39 256GB 5G</t>
  </si>
  <si>
    <t>Oppo A5 256GB 5G</t>
  </si>
  <si>
    <t>Zte Nubia Air 256GB 5G</t>
  </si>
  <si>
    <t>PKME SGLXYA36B 128GB INC 25W</t>
  </si>
  <si>
    <t>Honor Magic 7 lite 512GB 5G</t>
  </si>
  <si>
    <t>Motorola Moto Edge 60 fusion 256GB 5G</t>
  </si>
  <si>
    <t>Oppo Reno 13F 512GB 5G</t>
  </si>
  <si>
    <t>Oppo A6 Pro 256GB 5G</t>
  </si>
  <si>
    <t>Motorola Moto Edge 60 512GB 5G</t>
  </si>
  <si>
    <t>Vivo V60 Lite 256GB 5G</t>
  </si>
  <si>
    <t>PKME SGLXYA56AG 256GB INC 25W</t>
  </si>
  <si>
    <t>Xiaomi 14T 512GB 5G</t>
  </si>
  <si>
    <t>Honor 400 512GB 5G</t>
  </si>
  <si>
    <t>Motorola Moto Edge 60 Pro 512GB 5G</t>
  </si>
  <si>
    <t>PKME IPH13MD 128GB INC 20W USB</t>
  </si>
  <si>
    <t>Samsung Galaxy S24 FE 128GB 5G</t>
  </si>
  <si>
    <t>PK APPL IPH 13 MD 128GB AP 4GN</t>
  </si>
  <si>
    <t>Apple iPhone 14 128GB</t>
  </si>
  <si>
    <t>Samsung Galaxy S25 FE 128GB 5G</t>
  </si>
  <si>
    <t>Apple Iphone 15 128GB 5G</t>
  </si>
  <si>
    <t>Samsung Galaxy S25 FE 256GB 5G</t>
  </si>
  <si>
    <t>Samsung Galaxy S25 Plus 256GB 5G</t>
  </si>
  <si>
    <t>Apple Iphone 17 256GB 5G</t>
  </si>
  <si>
    <t>Samsung ZFLIP 7</t>
  </si>
  <si>
    <t>Apple Iphone 16 Plus 128GB 5G</t>
  </si>
  <si>
    <t>Apple Iphone 17 512GB 5G</t>
  </si>
  <si>
    <t>Xiaomi Redmi 15 256GB 5G</t>
  </si>
  <si>
    <t>Motorola Moto Edge 70 fusion 256GB 5G</t>
  </si>
  <si>
    <t>Honor X5B Plus</t>
  </si>
  <si>
    <t>Motorola Moto Edge 70 512GB 5G</t>
  </si>
  <si>
    <t>Samsung Galaxy A16 128GB 5G</t>
  </si>
  <si>
    <t>Samsung Galaxy A27 128GB 5G</t>
  </si>
  <si>
    <t>Samsung Galaxy A57 512GB 5G</t>
  </si>
  <si>
    <t>Samsung Galaxy A27 256GB 5G</t>
  </si>
  <si>
    <t>ZTE Blade A76 256GB 5G</t>
  </si>
  <si>
    <t>Honor 400 Lite 256GB 5G</t>
  </si>
  <si>
    <t>Oppo Reno 14F 512GB 5G</t>
  </si>
  <si>
    <t>Xiaomi 15T 512GB 5G</t>
  </si>
  <si>
    <t>Samsung Galaxy S25 Ultra 256GB 5G</t>
  </si>
  <si>
    <t>Honor Magic 8 Pro 512GB 5G</t>
  </si>
  <si>
    <t>Zte Blade A57 Pro 128GB 4G</t>
  </si>
  <si>
    <t>Xiaomi Redmi 14c</t>
  </si>
  <si>
    <t>Honor 200 Smart 256GB 5G</t>
  </si>
  <si>
    <t>Oppo A5 Pro 256GB 5G</t>
  </si>
  <si>
    <t>Samsung Galaxy A36 128GB 5G</t>
  </si>
  <si>
    <t>Oppo Reno 13F 256GB 5G</t>
  </si>
  <si>
    <t>Samsung Galaxy S24 Ultra 256GB 5G</t>
  </si>
  <si>
    <t>Apple Iphone Air 256GB 5G</t>
  </si>
  <si>
    <t>Xiaomi 15 Ultra 512GB 5G</t>
  </si>
  <si>
    <t>Apple Iphone 16 Pro 256GB 5G</t>
  </si>
  <si>
    <t>Apple Iphone Air 512GB 5G</t>
  </si>
  <si>
    <t>Apple Iphone 16 Pro Max 256GB 5G</t>
  </si>
  <si>
    <t>Motorola Moto G67 256GB 5G</t>
  </si>
  <si>
    <t>Zte Nubia Neo2 5G</t>
  </si>
  <si>
    <t>Honor 600 Smart 256GB 5G</t>
  </si>
  <si>
    <t>Apple Iphone 15 128GB 5G SN</t>
  </si>
  <si>
    <t>Samsung Galaxy S24 Ultra 512GB 5G SN</t>
  </si>
  <si>
    <t>Samsung Galaxy S24 256GB 5G SN</t>
  </si>
  <si>
    <t>Apple Iphone 15 Pro Max 256GB 5G SN</t>
  </si>
  <si>
    <t>Samsung Galaxy S23 Ultra 512GB SN</t>
  </si>
  <si>
    <t>Samsung Galaxy S23 256GB SN</t>
  </si>
  <si>
    <t>PremiumPlus</t>
  </si>
  <si>
    <t>Outlet</t>
  </si>
  <si>
    <t>IMAGEN PARTE DELANTERA</t>
  </si>
  <si>
    <t>https://i.ebayimg.com/images/g/vOkAAOSwgkBnhgYQ/s-l1600.webp</t>
  </si>
  <si>
    <t>IMAGEN PARTE TRASERA</t>
  </si>
  <si>
    <t>https://i.ebayimg.com/images/g/87cAAOSwD1NnhgYT/s-l1600.webp</t>
  </si>
  <si>
    <t>HONOR X5B 128GB</t>
  </si>
  <si>
    <t>https://covercompany.com.uy/cdn/shop/files/2-5934_14201_4.jpg?v=1732820170</t>
  </si>
  <si>
    <t>https://covercompany.com.uy/cdn/shop/files/2-5934_14201_3.jpg?v=1732819982</t>
  </si>
  <si>
    <t>HONOR X6C 256GB</t>
  </si>
  <si>
    <t>https://www.peru-smart.com/wp-content/uploads/2025/07/CELU1107AZUL-256GB_1.jpg</t>
  </si>
  <si>
    <t>https://www.peru-smart.com/wp-content/uploads/2025/07/CELU1107AZUL-256GB_0.jpg</t>
  </si>
  <si>
    <t>HONOR X7C 256GB</t>
  </si>
  <si>
    <t>https://webstoreshops.com/cdn/shop/files/HONOR_X7C_White-3.jpg?v=1737559775&amp;width=800</t>
  </si>
  <si>
    <t>https://webstoreshops.com/cdn/shop/files/HONOR_X7C_White-2.jpg?v=1737559961&amp;width=800</t>
  </si>
  <si>
    <t>https://rimage.ripley.com.pe/home.ripley/Attachment/MKP/3539/PMP20000745981/full_image-1.jpeg</t>
  </si>
  <si>
    <t>https://soytechno.com/wp-content/uploads/2025/05/HONOR-X8C-ABR-LX3-CLOUD-PURPLE-3.jpg</t>
  </si>
  <si>
    <t>https://inverfin.com.py/cdn/shop/files/99991627492109_TEL.IPH.13.128.BLA_1.jpg?v=1725987794&amp;width=823</t>
  </si>
  <si>
    <t>https://me-tiendamexpress.s3.us-east-1.amazonaws.com/images/thumbs/0059161_celular-apple-iphone-13-128gb-blanco_600.jpeg</t>
  </si>
  <si>
    <t>https://m.media-amazon.com/images/I/71OVsSh822L._AC_SX569_.jpg</t>
  </si>
  <si>
    <t>https://m.media-amazon.com/images/I/81RrrX8vpIL._AC_SX569_.jpg</t>
  </si>
  <si>
    <t>MOTOROLA G15 256GB</t>
  </si>
  <si>
    <t>https://m.media-amazon.com/images/I/51daXYKSyOL._AC_SX679_.jpg</t>
  </si>
  <si>
    <t>https://m.media-amazon.com/images/I/619G60+TY-L._AC_SX679_.jpg</t>
  </si>
  <si>
    <t>https://bsimg.nl/images/motorola-moto-g56-5g-8gb-256gb-groen_1.png/n-s3tDVQ3aeoNxKSrJEA0et3_G8%3D/fit-in/771x1200/filters%3Aformat%28webp%29%3Aupscale%28%29</t>
  </si>
  <si>
    <t>https://bsimg.nl/images/motorola-moto-g56-5g-8gb-256gb-groen_2.png/kGRkER2wCFObuCEv4y-YAoPdVnc%3D/fit-in/771x1200/filters%3Aformat%28webp%29%3Aupscale%28%29</t>
  </si>
  <si>
    <t>https://cdn-files.kimovil.com/phone_front/0011/67/thumb_1066808_phone_front_big.jpg</t>
  </si>
  <si>
    <t>https://cdn-files.kimovil.com/default/0011/67/thumb_1066804_default_big.jpg</t>
  </si>
  <si>
    <t>https://www.maxmovil.com/media/catalog/product/cache/2c055c968235f5bf43b443aee4bb62c6/o/p/oppo_a5_5g_verde_2_.png</t>
  </si>
  <si>
    <t>https://www.ispotaba.com/wp-content/uploads/2025/07/Oppo-A5-Mist-White-Back.jpg</t>
  </si>
  <si>
    <t>https://www.maxmovil.com/media/catalog/product/cache/2c055c968235f5bf43b443aee4bb62c6/o/p/oppo_a5_pro_5g_verde_1_.png</t>
  </si>
  <si>
    <t>https://www.maxmovil.com/media/catalog/product/cache/2c055c968235f5bf43b443aee4bb62c6/o/p/oppo_a5_pro_5g_verde_4_.png</t>
  </si>
  <si>
    <t>https://www.maxmovil.com/media/catalog/product/cache/2c055c968235f5bf43b443aee4bb62c6/o/p/oppo_a5_4g_purpura_3_.png</t>
  </si>
  <si>
    <t>https://www.maxmovil.com/media/catalog/product/cache/2c055c968235f5bf43b443aee4bb62c6/o/p/oppo_a5_4g_purpura_4_.png</t>
  </si>
  <si>
    <t>https://www.ispotaba.com/wp-content/uploads/2025/08/OPPO-Reno14-F-5G-Blue-Green.jpg</t>
  </si>
  <si>
    <t>https://www.ispotaba.com/wp-content/uploads/2025/08/OPPO-Reno14-F-5G-Green-Fron-Screen.jpg</t>
  </si>
  <si>
    <t>https://tiendaonline.movistar.com.ar/media/catalog/product/cache/1d01ed3f1ecf95fcf479279f9ae509ad/s/a/samsung-a06-lightgreen-front_2.png</t>
  </si>
  <si>
    <t>https://images.samsung.com/is/image/samsung/p6pim/ar/sm-a065mzkearo/gallery/ar-galaxy-a06-sm-a065-sm-a065mzkearo-543428053?$Q90_684_547_JPG$</t>
  </si>
  <si>
    <t>SAMSUNG GXY A16 128GB 4G</t>
  </si>
  <si>
    <t>https://image.coolblue.nl/max/700xauto/products/2118753</t>
  </si>
  <si>
    <t>https://image.coolblue.nl/max/700xauto/products/2118759</t>
  </si>
  <si>
    <t>SAMSUNG GXY A26 128GB 5G</t>
  </si>
  <si>
    <t>https://image.coolblue.nl/max/700xauto/products/2144228</t>
  </si>
  <si>
    <t>https://image.coolblue.nl/max/700xauto/products/2144227</t>
  </si>
  <si>
    <t>SAMSUNG GXY A36 128GB 5G</t>
  </si>
  <si>
    <t>https://image.coolblue.nl/max/700xauto/products/2144291</t>
  </si>
  <si>
    <t>https://image.coolblue.nl/max/700xauto/products/2144288</t>
  </si>
  <si>
    <t>SAMSUNG GXY A56 256G 5G</t>
  </si>
  <si>
    <t>https://image.coolblue.nl/max/700xauto/products/2144339</t>
  </si>
  <si>
    <t>https://image.coolblue.nl/max/700xauto/products/2144334</t>
  </si>
  <si>
    <t>XIAOMI REDMI NOTE 14 256GB</t>
  </si>
  <si>
    <t>https://image.coolblue.nl/max/700xauto/products/2131450</t>
  </si>
  <si>
    <t>https://image.coolblue.nl/max/700xauto/products/2131445</t>
  </si>
  <si>
    <t>XIAOMI REDMI NOTE 14 PRO 256GB 4G</t>
  </si>
  <si>
    <t>https://image.coolblue.nl/max/700xauto/products/2131411</t>
  </si>
  <si>
    <t>https://image.coolblue.nl/max/700xauto/products/2131417</t>
  </si>
  <si>
    <t>ZTE BLADE A35 64GB</t>
  </si>
  <si>
    <t>https://www.pakmobizone.pk/wp-content/uploads/2024/11/ZTE-Blade-A35-Clover-Green-3-1024x1024.jpg</t>
  </si>
  <si>
    <t>https://www.pakmobizone.pk/wp-content/uploads/2024/11/ZTE-Blade-A35-Clover-Green-2-1024x1024.png</t>
  </si>
  <si>
    <t>ZTE BLADE A55 128GB</t>
  </si>
  <si>
    <t>https://compuciber.com/wp-content/uploads/2025/06/celular-zte-blade-a55-48-gb-128gb-colores-disponibles-negro-azul-3.jpg</t>
  </si>
  <si>
    <t>https://compuciber.com/wp-content/uploads/2025/06/celular-zte-blade-a55-48-gb-128gb-colores-disponibles-negro-azul-2.jpg</t>
  </si>
  <si>
    <t>ZTE BLADE A56 PRO 128GB</t>
  </si>
  <si>
    <t>https://miportal.entel.pe/static/081520251049044/images/Zte_Blade_A56_Pro_128GB_4G_Gris_Frontal_276x549.jpg</t>
  </si>
  <si>
    <t>https://miportal.entel.pe/static/081520251049044/images/Zte_Blade_A56_Pro_128GB_4G_Gris_Posterior_276x549.jpg</t>
  </si>
  <si>
    <t>https://www.efe.com.pe/media/catalog/product/z/t/ztev70d_5.jpg?quality=80&amp;bg-color=255,255,255&amp;fit=bounds&amp;height=&amp;width=&amp;canvas=:</t>
  </si>
  <si>
    <t>https://www.efe.com.pe/media/catalog/product/z/t/ztev70d_8.jpg?quality=80&amp;bg-color=255,255,255&amp;fit=bounds&amp;height=&amp;width=&amp;canvas=:</t>
  </si>
  <si>
    <t>https://i.ebayimg.com/images/g/enIAAOSwflhn92xU/s-l1600.webp</t>
  </si>
  <si>
    <t>https://i.ebayimg.com/images/g/dPcAAOSwbGpn92xU/s-l1600.webp</t>
  </si>
  <si>
    <t>https://www.honor.com/content/dam/honor/common/product-list/product-series/honor-400/honor-400-id-gold-back.png</t>
  </si>
  <si>
    <t>https://cdn-files.kimovil.com/phone_front/0011/82/thumb_1081106_phone_front_big.jpg</t>
  </si>
  <si>
    <t>SAMSUNG A07</t>
  </si>
  <si>
    <t>https://images.samsung.com/is/image/samsung/p6pim/pe/sm-a075mlvaltp/gallery/pe-galaxy-a07-sm-a075-sm-a075mlvaltp-549150357?$Q90_684_547_JPG$</t>
  </si>
  <si>
    <t>https://images.samsung.com/is/image/samsung/p6pim/pe/sm-a075mlvaltp/gallery/pe-galaxy-a07-sm-a075-sm-a075mlvaltp-549150354?$Q90_684_547_JPG$</t>
  </si>
  <si>
    <t>REDMI 15C</t>
  </si>
  <si>
    <t>https://www.peru-smart.com/wp-content/uploads/2025/08/CELU1116NEGRO-128GB_1.jpg</t>
  </si>
  <si>
    <t>https://www.peru-smart.com/wp-content/uploads/2025/08/CELU1116NEGRO-128GB_0.jpg</t>
  </si>
  <si>
    <t>https://cdn-files.kimovil.com/phone_front/0011/63/thumb_1062743_phone_front_big.jpg</t>
  </si>
  <si>
    <t>https://cdn-files.kimovil.com/default/0011/63/thumb_1062732_default_big.jpg</t>
  </si>
  <si>
    <t>XIAOMI REDMI NOTE 14 PRO+</t>
  </si>
  <si>
    <t>https://cdn-files.kimovil.com/phone_front/0010/83/thumb_982541_phone_front_big.jpg</t>
  </si>
  <si>
    <t>https://cdn-files.kimovil.com/default/0011/15/thumb_1014575_default_big.jpg</t>
  </si>
  <si>
    <t>https://cdn-files.kimovil.com/phone_front/0012/39/thumb_1138492_phone_front_big.jpg</t>
  </si>
  <si>
    <t>https://cdn-files.kimovil.com/default/0012/39/thumb_1138529_default_big.jpg</t>
  </si>
  <si>
    <t>https://cdn-files.kimovil.com/default/0012/39/thumb_1138592_default_big.jpg</t>
  </si>
  <si>
    <t>https://cdn-files.kimovil.com/phone_front/0011/65/thumb_1064761_phone_front_big.jpg</t>
  </si>
  <si>
    <t>https://cdn-files.kimovil.com/default/0011/69/thumb_1068745_default_big.jpg</t>
  </si>
  <si>
    <t>SAMSUNG A17</t>
  </si>
  <si>
    <t>https://cdn-files.kimovil.com/phone_front/0012/19/thumb_1118999_phone_front_big.jpg</t>
  </si>
  <si>
    <t>https://claroperupoc.vtexassets.com/arquivos/ids/2732537/SAMSUNG-GALAXY-A17-128GB-5G-03--1-.png?v=638977929439900000</t>
  </si>
  <si>
    <t>En precio, quiero que vaya dos segmentos: Contado y cuota x 12 meses. Tambien cuando el mouse pase por la imagen diga algo como "haz click para voltear la imagen".</t>
  </si>
  <si>
    <t>https://cdn-files.kimovil.com/phone_front/0009/21/thumb_820071_phone_front_big.jpg</t>
  </si>
  <si>
    <t>PRECIO AL CONTADO</t>
  </si>
  <si>
    <t>FINANCIADO</t>
  </si>
  <si>
    <t>CUOTA X 12 MESES</t>
  </si>
  <si>
    <t>https://cdn-files.kimovil.com/default/0009/21/thumb_820085_default_big.jpg</t>
  </si>
  <si>
    <t>https://cdn-files.kimovil.com/phone_front/0010/76/thumb_975708_phone_front_big.jpg</t>
  </si>
  <si>
    <t>https://cdn-files.kimovil.com/default/0010/76/thumb_975724_default_big.jpg</t>
  </si>
  <si>
    <t>OPPO A5 5G 256GB</t>
  </si>
  <si>
    <t xml:space="preserve">OPPO A5 4G 256GB </t>
  </si>
  <si>
    <t>https://cdn-files.kimovil.com/phone_front/0012/34/thumb_1133088_phone_front_big.jpg</t>
  </si>
  <si>
    <t>https://cdn-files.kimovil.com/default/0012/34/thumb_1133078_default_big.jpg</t>
  </si>
  <si>
    <t>https://cdn-files.kimovil.com/phone_front/0012/31/thumb_1130631_phone_front_big.png</t>
  </si>
  <si>
    <t>https://www.oppostore.pe/_next/image?url=https%3A%2F%2Fperu.oppostores.com%2F2-1761339109402.webp&amp;w=1920&amp;q=75</t>
  </si>
  <si>
    <t>XIAOMI REDMI 15 256GB LTE</t>
  </si>
  <si>
    <t>https://cdn-files.kimovil.com/phone_front/0012/18/thumb_1117990_phone_front_big.jpg</t>
  </si>
  <si>
    <t>https://cdn-files.kimovil.com/default/0012/18/thumb_1117995_default_big.jpg</t>
  </si>
  <si>
    <t>MOTOROLA G06 128GB LTE</t>
  </si>
  <si>
    <t>https://cdn-files.kimovil.com/phone_front/0012/34/thumb_1133317_phone_front_big.jpg</t>
  </si>
  <si>
    <t>https://cdn-files.kimovil.com/default/0012/34/thumb_1133326_default_big.jpg</t>
  </si>
  <si>
    <t>ZTE BLADE A36 64GB LTE</t>
  </si>
  <si>
    <t>https://cdn-files.kimovil.com/phone_front/0011/100/thumb_1099875_phone_front_big.jpg</t>
  </si>
  <si>
    <t>https://singerwebcdn.azureedge.net/resources/products/normal/ZTE-A36-2-64GB-GLD-03.webp</t>
  </si>
  <si>
    <t>https://cdn-files.kimovil.com/phone_front/0012/73/thumb_1172790_phone_front_big.jpg</t>
  </si>
  <si>
    <t>📱 Pantalla</t>
  </si>
  <si>
    <t>https://cdn-files.kimovil.com/default/0012/73/thumb_1172793_default_big.jpg</t>
  </si>
  <si>
    <t>6.78" AMOLED</t>
  </si>
  <si>
    <t>6.56" IPS LCD</t>
  </si>
  <si>
    <t>💧 Resistencia al Agua</t>
  </si>
  <si>
    <t>No</t>
  </si>
  <si>
    <t>XIAOMI REDMI NOTE 15 256GB LTE</t>
  </si>
  <si>
    <t>https://cdn-files.kimovil.com/phone_front/0012/71/thumb_1170287_phone_front_big.jpg</t>
  </si>
  <si>
    <t>🔄 Tasa de Refresco</t>
  </si>
  <si>
    <t>90Hz</t>
  </si>
  <si>
    <t>⚡ Procesador</t>
  </si>
  <si>
    <t>Snapdragon 6 Gen 1</t>
  </si>
  <si>
    <t>https://cdn-files.kimovil.com/default/0012/74/thumb_1173493_default_big.jpg</t>
  </si>
  <si>
    <t>Unisoc Tiger T606</t>
  </si>
  <si>
    <t>🧠 RAM</t>
  </si>
  <si>
    <t>8GB</t>
  </si>
  <si>
    <t>4GB</t>
  </si>
  <si>
    <t>💾 Almacenamiento</t>
  </si>
  <si>
    <t>512GB</t>
  </si>
  <si>
    <t>128GB</t>
  </si>
  <si>
    <t>256GB</t>
  </si>
  <si>
    <t>https://cdn-files.kimovil.com/phone_front/0012/28/thumb_1127187_phone_front_big.png</t>
  </si>
  <si>
    <t>📷 Cámaras Traseras</t>
  </si>
  <si>
    <t>3 cámaras traseras</t>
  </si>
  <si>
    <t>1 cámara trasera</t>
  </si>
  <si>
    <t>2 cámaras traseras</t>
  </si>
  <si>
    <t>📸 Cámara Principal</t>
  </si>
  <si>
    <t>108MP Principal</t>
  </si>
  <si>
    <t>50MP Principal</t>
  </si>
  <si>
    <t>📐 Cámara Ultra Gran Angular</t>
  </si>
  <si>
    <t>https://cdn-files.kimovil.com/default/0012/28/thumb_1127182_default_big.png</t>
  </si>
  <si>
    <t>5MP Ultra Gran Angular</t>
  </si>
  <si>
    <t>2MP Profundidad</t>
  </si>
  <si>
    <t>🔭 Cámara Teleobjetivo</t>
  </si>
  <si>
    <t>2MP Macro</t>
  </si>
  <si>
    <t>🔍 Cámara Macro</t>
  </si>
  <si>
    <t>XIAOMI REDMI NOTE 15 PRO 512GB 5G</t>
  </si>
  <si>
    <t>Sí</t>
  </si>
  <si>
    <t>https://cdn-files.kimovil.com/phone_front/0012/71/thumb_1170334_phone_front_big.jpg</t>
  </si>
  <si>
    <t>📹 Estabilización Óptica</t>
  </si>
  <si>
    <t>🎥 Grabación de Video</t>
  </si>
  <si>
    <t>4K a 30fps</t>
  </si>
  <si>
    <t>https://cdn-files.kimovil.com/default/0012/71/thumb_1170322_default_big.jpg</t>
  </si>
  <si>
    <t>1080p a 30fps</t>
  </si>
  <si>
    <t>🤳 Cámara Frontal</t>
  </si>
  <si>
    <t>16MP</t>
  </si>
  <si>
    <t>5MP</t>
  </si>
  <si>
    <t>🔋 Batería</t>
  </si>
  <si>
    <t>XIAOMI REDMI NOTE 15 PRO+ 512GB 5G</t>
  </si>
  <si>
    <t>https://cdn-files.kimovil.com/phone_front/0012/71/thumb_1170336_phone_front_big.jpg</t>
  </si>
  <si>
    <t>⚡ Carga Rápida</t>
  </si>
  <si>
    <t>66W con cable</t>
  </si>
  <si>
    <t>22.5W con cable</t>
  </si>
  <si>
    <t>🔌 Carga Inalámbrica</t>
  </si>
  <si>
    <t>📶 Bluetooth</t>
  </si>
  <si>
    <t>https://cdn-files.kimovil.com/default/0012/71/thumb_1170343_default_big.jpg</t>
  </si>
  <si>
    <t>Bluetooth 5.1</t>
  </si>
  <si>
    <t>Bluetooth 5.0</t>
  </si>
  <si>
    <t>🖥️ Sistema Operativo</t>
  </si>
  <si>
    <t>MagicOS 8.0 (Android 14)</t>
  </si>
  <si>
    <t>⚖️ Peso</t>
  </si>
  <si>
    <t>189g</t>
  </si>
  <si>
    <t>192g</t>
  </si>
  <si>
    <t>https://cdn-files.kimovil.com/phone_front/0012/71/thumb_1170286_phone_front_big.jpg</t>
  </si>
  <si>
    <t>194g</t>
  </si>
  <si>
    <t>https://miportal.entel.pe/static/010220261103474/images/Oppo_A6x_256GB_5G_Morado_Posterior_276x549.jpg</t>
  </si>
  <si>
    <t>https://miportal.entel.pe/static/010220261103474/images/ZTE_Nubia_Air_256GB_5G_Negro_Frontal_276x549.jpg</t>
  </si>
  <si>
    <t>https://miportal.entel.pe/static/010220261103474/images/ZTE_Nubia_Air_256GB_5G_Negro_Posterior_276x549.jpg</t>
  </si>
  <si>
    <t>HONOR X5C 128GB</t>
  </si>
  <si>
    <t>https://coolboxpe.vtexassets.com/arquivos/ids/515446-800-800?v=639033347686070000&amp;width=800&amp;height=800&amp;aspect=true</t>
  </si>
  <si>
    <t>https://coolboxpe.vtexassets.com/arquivos/ids/515447-800-800?v=639033347686070000&amp;width=800&amp;height=800&amp;aspect=true</t>
  </si>
  <si>
    <t>MOTOROLA G77 XT2621 256GB 5G</t>
  </si>
  <si>
    <t>https://cdn-files.kimovil.com/phone_front/0012/99/thumb_1198485_phone_front_big.jpg</t>
  </si>
  <si>
    <t>https://cdn-files.kimovil.com/default/0012/99/thumb_1198482_default_big.jpg</t>
  </si>
  <si>
    <t>MOTOROLA G17 XT2623 256GB LTE</t>
  </si>
  <si>
    <t>https://cdn-files.kimovil.com/phone_front/0012/99/thumb_1198008_phone_front_big.jpg</t>
  </si>
  <si>
    <t>https://cdn-files.kimovil.com/default/0012/99/thumb_1198015_default_big.jpg</t>
  </si>
  <si>
    <t>LAS ESPECIFICACIONES COMO EL PROCESADOR, BATERIA, RESISTENCIA, PANTALLA, ETC.
REVISA DESDE EL FONDO.
IPHONE 13
https://www.kimovil.com/es/donde-comprar-apple-iphone-13
HONOR X5B
https://www.kimovil.com/es/donde-comprar-honor-x5b
HONOR X6C
https://www.kimovil.com/es/donde-comprar-honor-x6b
HONOR X7C
https://www.honor.com/mx/phones/honor-7c/spec/
HONOR X8C
https://www.kimovil.com/es/donde-comprar-honor-x8c
MOTO G05
https://www.kimovil.com/es/donde-comprar-motorola-moto-g05
MOTO G15
https://www.kimovil.com/es/donde-comprar-motorola-moto-g15
MOTO G56
https://www.kimovil.com/es/donde-comprar-motorola-moto-g56-5g
OPPO A5 PRO
https://www.kimovil.com/es/donde-comprar-oppo-a5-pro-5g
RENO 14F
https://www.kimovil.com/es/donde-comprar-oppo-reno14-f
SAMSUNG A06
https://www.kimovil.com/es/donde-comprar-samsung-galaxy-a06
SAMSUNG A16
https://www.kimovil.com/es/donde-comprar-samsung-galaxy-a16-4g
SAMSUNG A26
https://www.kimovil.com/es/donde-comprar-samsung-galaxy-a26-5g
SAMSUNG A36
https://www.kimovil.com/es/donde-comprar-samsung-galaxy-a36
SAMSUNG A56
https://www.kimovil.com/es/donde-comprar-samsung-galaxy-a56
XIAOMI REDMI NOTE 14
https://www.kimovil.com/es/donde-comprar-xiaomi-redmi-note-14
XIAOMI REDMI NOTE 14 PRO 4G
https://www.kimovil.com/es/donde-comprar-xiaomi-redmi-note-14-pro-4g
ZTE BLADE A35
https://www.kimovil.com/es/donde-comprar-zte-blade-a35
ZTE BLADE A55
https://www.kimovil.com/es/donde-comprar-zte-blade-a55
ZTE BLADE A56 PRO
https://miportal.entel.pe/personas/producto/equipos/zte-blade-a56-pro/prod940041
ZTE BLADE V70
https://www.ztedevices.com/en/products/smartphones/blade/zte-blade-v70.html
ZTE BLADE V70 VITA
https://www.kimovil.com/es/donde-comprar-zte-blade-v70-vita</t>
  </si>
  <si>
    <t>SAMSUNG GXY A37 256GB 5G</t>
  </si>
  <si>
    <t>https://cdn-files.kimovil.com/phone_front/0013/21/thumb_1220366_phone_front_big.jpg</t>
  </si>
  <si>
    <t>https://cdn-files.kimovil.com/default/0013/21/thumb_1220368_default_big.jpg</t>
  </si>
  <si>
    <t>SAMSUNG GXY A57 256G 5G</t>
  </si>
  <si>
    <t>https://cdn-files.kimovil.com/phone_front/0013/21/thumb_1220378_phone_front_big.jpg</t>
  </si>
  <si>
    <t>https://media.falabella.com/falabellaPE/152701282_01/w=1500,h=1500,fit=cover</t>
  </si>
  <si>
    <t>https://cdn-files.kimovil.com/phone_front/0013/11/thumb_1210989_phone_front_big.jpg</t>
  </si>
  <si>
    <t>https://cdn-files.kimovil.com/default/0013/12/thumb_1211002_default_big.jpg</t>
  </si>
  <si>
    <t>https://media.falabella.com/falabellaCO/73505040_2/w=1500,h=1500,fit=cover</t>
  </si>
  <si>
    <t>https://coolboxpe.vtexassets.com/arquivos/ids/534506/celular-zte-nubia-v80-pro-5g-256gb-8gb-ram-negro_6.jpg?v=639092978190170000</t>
  </si>
  <si>
    <t>https://claroperupoc.vtexassets.com/arquivos/ids/2956850/ZTE-NUBIA-V80-MAX-256GB-NEGRO-04.jpg?v=639105733666730000</t>
  </si>
  <si>
    <t>https://claroperupoc.vtexassets.com/arquivos/ids/2956848/ZTE-NUBIA-V80-MAX-256GB-NEGRO-02.jpg?v=639105733666430000</t>
  </si>
  <si>
    <t>outlet</t>
  </si>
  <si>
    <t>Oppo Reno 16 256GB 5G</t>
  </si>
  <si>
    <t>Xiaomi Redmi Note 9 Pro</t>
  </si>
  <si>
    <t>VIVO Y21 256GB 5G</t>
  </si>
  <si>
    <t>6.74", HD+, IPS LCD</t>
  </si>
  <si>
    <t>IP65 + MIL-STD-810H</t>
  </si>
  <si>
    <t>microSD dedicada</t>
  </si>
  <si>
    <t>50 Mpx (ƒ/ 1.8)</t>
  </si>
  <si>
    <t>5 Mpx (ƒ/ 2.2)</t>
  </si>
  <si>
    <t>VIVO V60 LITE 256GB 5G</t>
  </si>
  <si>
    <t>Dimensity 7360 Turbo (4 nm)</t>
  </si>
  <si>
    <t>680K</t>
  </si>
  <si>
    <t>256 GB (UFS 3.1)</t>
  </si>
  <si>
    <t>50 Mpx (ƒ/ 1.8) + 8 Mpx (ƒ/ 2.2) UGA</t>
  </si>
  <si>
    <t>4K@30fps</t>
  </si>
  <si>
    <t>32 Mpx (ƒ/ 2.5)</t>
  </si>
  <si>
    <t>en pantalla (óptico)</t>
  </si>
  <si>
    <t>VIVO X300 PRO 512GB 5G</t>
  </si>
  <si>
    <t>6.78", 1.5K, LTPO AMOLED</t>
  </si>
  <si>
    <t>226 g</t>
  </si>
  <si>
    <t>IP68 / IP69</t>
  </si>
  <si>
    <t>Dimensity 9500 (3 nm)</t>
  </si>
  <si>
    <t>3.8M</t>
  </si>
  <si>
    <t>50 Mpx (ƒ/ 1.6) + 200 Mpx (ƒ/ 2.7) Tele 3.7x + 50 Mpx (ƒ/ 2.0) UGA</t>
  </si>
  <si>
    <t>8K@30fps</t>
  </si>
  <si>
    <t>50 Mpx (ƒ/ 2.0)</t>
  </si>
  <si>
    <t>6510 mAh</t>
  </si>
  <si>
    <t>SI, 40W</t>
  </si>
  <si>
    <t>en pantalla (ultrasónico)</t>
  </si>
  <si>
    <t>~4 años</t>
  </si>
  <si>
    <t>HONOR MAGIC 8 PRO 512GB 5G</t>
  </si>
  <si>
    <t>6.71", 1.5K, LTPO OLED</t>
  </si>
  <si>
    <t>219 g</t>
  </si>
  <si>
    <t>IP68 / IP69K</t>
  </si>
  <si>
    <t>4.0M</t>
  </si>
  <si>
    <t>50 Mpx (ƒ/ 1.6) + 200 Mpx (ƒ/ 2.6) Tele 3.7x + 50 Mpx (ƒ/ 2.0) UGA</t>
  </si>
  <si>
    <t>4K@120fps</t>
  </si>
  <si>
    <t>7100 mAh</t>
  </si>
  <si>
    <t>100.0W</t>
  </si>
  <si>
    <t>SI, 80W</t>
  </si>
  <si>
    <t>~5 años</t>
  </si>
  <si>
    <t>HONOR 600 SMART 256GB 5G</t>
  </si>
  <si>
    <t>6.87", HD+, IPS LCD</t>
  </si>
  <si>
    <t>216 g</t>
  </si>
  <si>
    <t>560K</t>
  </si>
  <si>
    <t>50 Mpx (ƒ/ 1.8) + auxiliar</t>
  </si>
  <si>
    <t>XIAOMI 17 ULTRA 512GB 5G</t>
  </si>
  <si>
    <t>6.9", 1.5K, LTPO AMOLED</t>
  </si>
  <si>
    <t>218 g</t>
  </si>
  <si>
    <t>16 GB</t>
  </si>
  <si>
    <t>512 GB (UFS 4.1)</t>
  </si>
  <si>
    <t>50 Mpx (ƒ/ 1.7) + 200 Mpx (ƒ/ 2.4) Tele 3.2x + 50 Mpx (ƒ/ 2.2) UGA</t>
  </si>
  <si>
    <t>50 Mpx (ƒ/ 2.2)</t>
  </si>
  <si>
    <t>SI, 50W</t>
  </si>
  <si>
    <t>XIAOMI 17T PRO 512GB 5G</t>
  </si>
  <si>
    <t>6.83", 1.5K, AMOLED</t>
  </si>
  <si>
    <t>144Hz</t>
  </si>
  <si>
    <t>50 Mpx (ƒ/ 1.7) + 50 Mpx (ƒ/ 3.0) Tele 5x + 12 Mpx (ƒ/ 2.2) UGA</t>
  </si>
  <si>
    <t>32 Mpx (ƒ/ 2.2)</t>
  </si>
  <si>
    <t>XIAOMI 17T 512GB 5G</t>
  </si>
  <si>
    <t>6.59", 1.5K, AMOLED</t>
  </si>
  <si>
    <t>Dimensity 8500 Ultra (4 nm)</t>
  </si>
  <si>
    <t>1.8M</t>
  </si>
  <si>
    <t>4K@60fps</t>
  </si>
  <si>
    <t>67.0W</t>
  </si>
  <si>
    <t>SAMSUNG GXY A27 128GB 5G</t>
  </si>
  <si>
    <t>790K</t>
  </si>
  <si>
    <t>microSD</t>
  </si>
  <si>
    <t>50 Mpx (ƒ/ 1.8) + 5 Mpx UGA + 2 Mpx Macro</t>
  </si>
  <si>
    <t>12 Mpx (ƒ/ 2.2)</t>
  </si>
  <si>
    <t>25.0W</t>
  </si>
  <si>
    <t>SAMSUNG GXY A27 256GB 5G</t>
  </si>
  <si>
    <t>SAMSUNG GXY S25 FE 256GB 5G</t>
  </si>
  <si>
    <t>6.7", FHD+, Dynamic LTPO AMOLED 2X</t>
  </si>
  <si>
    <t>Exynos 2400 (4 nm)</t>
  </si>
  <si>
    <t>1.7M</t>
  </si>
  <si>
    <t>50 Mpx (ƒ/ 1.8) + 8 Mpx (ƒ/ 2.4) Tele 3x + 12 Mpx (ƒ/ 2.2) UGA</t>
  </si>
  <si>
    <t>OPPO RENO 16 256GB 5G</t>
  </si>
  <si>
    <t>6.32", 1.5K, AMOLED</t>
  </si>
  <si>
    <t>189 g</t>
  </si>
  <si>
    <t>1.4M</t>
  </si>
  <si>
    <t>50 Mpx (ƒ/ 1.8) + 50 Mpx (ƒ/ 2.8) Tele 3.5x + 50 Mpx (ƒ/ 2.0) UGA</t>
  </si>
  <si>
    <t>6700 mAh</t>
  </si>
  <si>
    <t>~3 años</t>
  </si>
  <si>
    <t>OPPO A6C 128GB 4G</t>
  </si>
  <si>
    <t>6.75", HD+, IPS LCD</t>
  </si>
  <si>
    <t>215 g</t>
  </si>
  <si>
    <t>250K</t>
  </si>
  <si>
    <t>13 Mpx (ƒ/ 2.2)</t>
  </si>
  <si>
    <t>MOTOROLA EDGE 70 512GB 5G</t>
  </si>
  <si>
    <t>6.7", 1.5K, P-OLED</t>
  </si>
  <si>
    <t>159 g</t>
  </si>
  <si>
    <t>50 Mpx (ƒ/ 1.8) + 50 Mpx (ƒ/ 2.0) UGA</t>
  </si>
  <si>
    <t>4800 mAh</t>
  </si>
  <si>
    <t>IPHONE AIR 256GB</t>
  </si>
  <si>
    <t>6.5", LTPO Super Retina XDR OLED</t>
  </si>
  <si>
    <t>165 g</t>
  </si>
  <si>
    <t>Apple A19 Pro (3 nm)</t>
  </si>
  <si>
    <t>2.4M</t>
  </si>
  <si>
    <t>48 Mpx (ƒ/ 1.6)</t>
  </si>
  <si>
    <t>18 Mpx (ƒ/ 1.9)</t>
  </si>
  <si>
    <t>3149 mAh</t>
  </si>
  <si>
    <t>SI, 20W MagSafe</t>
  </si>
  <si>
    <t>Face ID</t>
  </si>
  <si>
    <t>~6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</si>
</sst>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"/>
  </numFmts>
  <fonts count="3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</font>
    <font>
      <b/>
      <sz val="11"/>
      <color rgb="FFFFFFFF"/>
      <name val="Barlow"/>
    </font>
    <font>
      <b/>
      <sz val="12"/>
      <color rgb="FF3F3F3F"/>
      <name val="Calibri"/>
      <family val="2"/>
    </font>
    <font>
      <u/>
      <sz val="11"/>
      <color theme="10"/>
      <name val="Calibri"/>
      <family val="2"/>
    </font>
    <font>
      <b/>
      <sz val="11"/>
      <color rgb="FFFFFFFF"/>
      <name val="Barlow"/>
    </font>
    <font>
      <sz val="11"/>
      <color rgb="FFFFC000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1"/>
      <color rgb="FFC00000"/>
      <name val="Calibri"/>
      <family val="2"/>
    </font>
    <font>
      <b/>
      <sz val="11"/>
      <color rgb="FF7030A0"/>
      <name val="Calibri"/>
      <family val="2"/>
    </font>
    <font>
      <b/>
      <sz val="11"/>
      <color rgb="FF1E4E79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rgb="FFFFFFFF"/>
      <name val="&quot;Arial Narrow&quot;"/>
    </font>
    <font>
      <sz val="11"/>
      <color rgb="FFFFFFFF"/>
      <name val="Arial"/>
      <family val="2"/>
    </font>
    <font>
      <b/>
      <sz val="12"/>
      <color rgb="FF000000"/>
      <name val="Barlow"/>
    </font>
    <font>
      <sz val="11"/>
      <color rgb="FF000000"/>
      <name val="&quot;Arial Narrow&quot;"/>
    </font>
    <font>
      <sz val="12"/>
      <color theme="1"/>
      <name val="Barlow"/>
    </font>
    <font>
      <sz val="12"/>
      <color rgb="FF000000"/>
      <name val="Barlow"/>
    </font>
    <font>
      <b/>
      <sz val="12"/>
      <color rgb="FFFFFFFF"/>
      <name val="Barlow"/>
    </font>
    <font>
      <sz val="12"/>
      <color rgb="FF000000"/>
      <name val="Calibri"/>
      <family val="2"/>
    </font>
    <font>
      <sz val="12"/>
      <color rgb="FFFF0000"/>
      <name val="Barlow"/>
    </font>
    <font>
      <sz val="12"/>
      <color rgb="FFFFFFFF"/>
      <name val="Barlow"/>
    </font>
    <font>
      <sz val="14"/>
      <color rgb="FF111827"/>
      <name val="Arial"/>
      <family val="2"/>
    </font>
    <font>
      <sz val="14"/>
      <color rgb="FF374151"/>
      <name val="Arial"/>
      <family val="2"/>
    </font>
    <font>
      <b/>
      <sz val="11"/>
      <color theme="0"/>
      <name val="Barlow"/>
    </font>
    <font>
      <b/>
      <sz val="10"/>
      <color theme="0"/>
      <name val="Barlow"/>
    </font>
    <font>
      <sz val="11"/>
      <color rgb="FFFFC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CC"/>
        <bgColor rgb="FF0000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  <fill>
      <patternFill patternType="solid">
        <fgColor rgb="FF0000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385623"/>
      </left>
      <right style="dotted">
        <color rgb="FF385623"/>
      </right>
      <top style="dotted">
        <color rgb="FF385623"/>
      </top>
      <bottom style="dotted">
        <color rgb="FF385623"/>
      </bottom>
      <diagonal/>
    </border>
    <border>
      <left/>
      <right/>
      <top style="dotted">
        <color rgb="FF385623"/>
      </top>
      <bottom style="dotted">
        <color rgb="FF385623"/>
      </bottom>
      <diagonal/>
    </border>
    <border>
      <left/>
      <right/>
      <top style="dotted">
        <color rgb="FF385623"/>
      </top>
      <bottom/>
      <diagonal/>
    </border>
    <border>
      <left style="thin">
        <color rgb="FFB4B3B2"/>
      </left>
      <right style="thin">
        <color rgb="FFB4B3B2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12"/>
    <xf numFmtId="0" fontId="1" fillId="0" borderId="12"/>
  </cellStyleXfs>
  <cellXfs count="79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7" fontId="5" fillId="0" borderId="0" xfId="0" applyNumberFormat="1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4" borderId="0" xfId="0" applyFont="1" applyFill="1" applyAlignment="1">
      <alignment horizontal="right"/>
    </xf>
    <xf numFmtId="0" fontId="21" fillId="4" borderId="0" xfId="0" applyFont="1" applyFill="1"/>
    <xf numFmtId="0" fontId="20" fillId="4" borderId="0" xfId="0" applyFont="1" applyFill="1"/>
    <xf numFmtId="0" fontId="5" fillId="0" borderId="0" xfId="0" applyFont="1" applyAlignment="1">
      <alignment horizontal="left"/>
    </xf>
    <xf numFmtId="0" fontId="7" fillId="2" borderId="8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2" fillId="5" borderId="8" xfId="0" applyFont="1" applyFill="1" applyBorder="1" applyAlignment="1">
      <alignment horizontal="center"/>
    </xf>
    <xf numFmtId="0" fontId="13" fillId="0" borderId="9" xfId="0" applyFont="1" applyBorder="1" applyAlignment="1">
      <alignment horizontal="left"/>
    </xf>
    <xf numFmtId="0" fontId="13" fillId="0" borderId="9" xfId="0" applyFont="1" applyBorder="1" applyAlignment="1">
      <alignment horizontal="center"/>
    </xf>
    <xf numFmtId="0" fontId="23" fillId="4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24" fillId="0" borderId="0" xfId="0" applyFont="1"/>
    <xf numFmtId="0" fontId="13" fillId="0" borderId="0" xfId="0" applyFont="1"/>
    <xf numFmtId="0" fontId="25" fillId="0" borderId="0" xfId="0" applyFont="1" applyAlignment="1">
      <alignment horizontal="left"/>
    </xf>
    <xf numFmtId="0" fontId="26" fillId="2" borderId="1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27" fillId="0" borderId="4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3" fillId="0" borderId="4" xfId="0" applyFont="1" applyBorder="1" applyAlignment="1">
      <alignment horizontal="center"/>
    </xf>
    <xf numFmtId="0" fontId="27" fillId="6" borderId="4" xfId="0" applyFont="1" applyFill="1" applyBorder="1" applyAlignment="1">
      <alignment horizontal="center"/>
    </xf>
    <xf numFmtId="0" fontId="22" fillId="5" borderId="8" xfId="0" applyFont="1" applyFill="1" applyBorder="1" applyAlignment="1">
      <alignment horizontal="left"/>
    </xf>
    <xf numFmtId="0" fontId="13" fillId="8" borderId="4" xfId="0" applyFont="1" applyFill="1" applyBorder="1" applyAlignment="1">
      <alignment horizontal="center"/>
    </xf>
    <xf numFmtId="0" fontId="27" fillId="7" borderId="4" xfId="0" applyFont="1" applyFill="1" applyBorder="1" applyAlignment="1">
      <alignment horizontal="center"/>
    </xf>
    <xf numFmtId="0" fontId="28" fillId="0" borderId="0" xfId="0" applyFont="1"/>
    <xf numFmtId="0" fontId="29" fillId="0" borderId="0" xfId="0" applyFont="1" applyAlignment="1">
      <alignment horizontal="left"/>
    </xf>
    <xf numFmtId="0" fontId="11" fillId="3" borderId="3" xfId="0" applyFont="1" applyFill="1" applyBorder="1" applyAlignment="1">
      <alignment horizontal="center"/>
    </xf>
    <xf numFmtId="0" fontId="27" fillId="4" borderId="4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27" fillId="0" borderId="11" xfId="0" applyFont="1" applyBorder="1" applyAlignment="1">
      <alignment horizontal="left"/>
    </xf>
    <xf numFmtId="0" fontId="13" fillId="4" borderId="4" xfId="0" applyFont="1" applyFill="1" applyBorder="1" applyAlignment="1">
      <alignment horizontal="left"/>
    </xf>
    <xf numFmtId="0" fontId="13" fillId="8" borderId="4" xfId="0" applyFont="1" applyFill="1" applyBorder="1" applyAlignment="1">
      <alignment horizontal="left"/>
    </xf>
    <xf numFmtId="0" fontId="30" fillId="4" borderId="12" xfId="0" applyFont="1" applyFill="1" applyBorder="1" applyAlignment="1">
      <alignment vertical="center" wrapText="1"/>
    </xf>
    <xf numFmtId="0" fontId="31" fillId="4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27" fillId="8" borderId="4" xfId="0" applyFont="1" applyFill="1" applyBorder="1" applyAlignment="1">
      <alignment horizontal="center"/>
    </xf>
    <xf numFmtId="0" fontId="2" fillId="0" borderId="0" xfId="0" applyFont="1"/>
    <xf numFmtId="0" fontId="32" fillId="9" borderId="13" xfId="1" applyFont="1" applyFill="1" applyBorder="1" applyAlignment="1">
      <alignment horizontal="center" vertical="center" wrapText="1"/>
    </xf>
    <xf numFmtId="0" fontId="33" fillId="9" borderId="13" xfId="1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35" fillId="0" borderId="15" xfId="2" applyFont="1" applyBorder="1" applyAlignment="1">
      <alignment horizontal="center" vertical="center"/>
    </xf>
    <xf numFmtId="2" fontId="36" fillId="0" borderId="15" xfId="0" applyNumberFormat="1" applyFont="1" applyBorder="1" applyAlignment="1">
      <alignment horizontal="center" vertical="center"/>
    </xf>
    <xf numFmtId="0" fontId="37" fillId="0" borderId="15" xfId="0" applyFont="1" applyBorder="1" applyAlignment="1">
      <alignment horizontal="center"/>
    </xf>
    <xf numFmtId="0" fontId="0" fillId="11" borderId="15" xfId="0" applyFill="1" applyBorder="1" applyAlignment="1">
      <alignment horizontal="center"/>
    </xf>
    <xf numFmtId="2" fontId="36" fillId="11" borderId="1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6" fillId="2" borderId="10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35 2 2 5 2 3 2 2" xfId="1" xr:uid="{9428B5AA-AB84-4E1C-918E-F4307CEDB0F1}"/>
    <cellStyle name="Normal 35 2 3 3 2 3 4 2 2" xfId="2" xr:uid="{C7984485-C6FF-4F38-B4BC-3080B98C1CB4}"/>
  </cellStyles>
  <dxfs count="301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theme="7" tint="0.399914548173467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Entel_Lista_de_precios_Terminales_Personas_21-08-2026-OneTouch_Tiendas_e_Islas.xlsm" TargetMode="External"/><Relationship Id="rId2" Type="http://schemas.openxmlformats.org/officeDocument/2006/relationships/externalLinkPath" Target="file:///C:\Users\HP\Downloads\Entel_Lista_de_precios_Terminales_Personas_21-08-2026-OneTouch_Tiendas_e_Islas.xlsm" TargetMode="External"/><Relationship Id="rId1" Type="http://schemas.openxmlformats.org/officeDocument/2006/relationships/externalLinkPath" Target="/Users/HP/Downloads/Entel_Lista_de_precios_Terminales_Personas_21-08-2026-OneTouch_Tiendas_e_Isl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nú_principal"/>
      <sheetName val="Inicio_venta en cuotas"/>
      <sheetName val="ACCESORIOS_OTF"/>
      <sheetName val="CALCULADORA OTF"/>
      <sheetName val="CALCULADORA ACC"/>
      <sheetName val="Base_Equipos"/>
      <sheetName val="ACTIVACIÓN DE LINEA_OTF"/>
      <sheetName val="PORTABILIDAD_OTF"/>
      <sheetName val="RENOVACION_OTF"/>
      <sheetName val="Inicio_ACCESORIOS"/>
      <sheetName val="Accesorios_entel_TP_TPF"/>
      <sheetName val="OPEN"/>
      <sheetName val="PREPAGO"/>
      <sheetName val="Inicio_pagounico"/>
      <sheetName val="VENTA PAGO UNICO SIN INT"/>
      <sheetName val="PORTA PAGO UNICO SIN INTER"/>
      <sheetName val="RENO CONTADO SIN FIN"/>
      <sheetName val="RENOVACION CONTADO OFERTA REGUL"/>
      <sheetName val="PORTA PAGO UNICO REGULAR"/>
      <sheetName val="VENTA PAGO UNICO REGU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E6" t="str">
            <v>Liquidación</v>
          </cell>
        </row>
        <row r="7">
          <cell r="E7" t="str">
            <v>Seminuevos</v>
          </cell>
        </row>
        <row r="8">
          <cell r="E8" t="str">
            <v>Outlet</v>
          </cell>
        </row>
        <row r="11">
          <cell r="E11" t="str">
            <v>PLANES</v>
          </cell>
        </row>
        <row r="12">
          <cell r="C12" t="str">
            <v>TÁCTICA</v>
          </cell>
          <cell r="D12" t="str">
            <v>MODELO</v>
          </cell>
          <cell r="E12" t="str">
            <v>29.9 29.9R 31.40B 32.9 34.9 35.9 39.9 42.9 44.9 45.9 49.9</v>
          </cell>
          <cell r="F12" t="str">
            <v>53.9 54.9 59.9 63.9</v>
          </cell>
          <cell r="G12" t="str">
            <v>69.9 74.9 79.9</v>
          </cell>
          <cell r="H12" t="str">
            <v>89.9 94.9 99.9</v>
          </cell>
          <cell r="I12" t="str">
            <v>104.9 115.9 129.9</v>
          </cell>
          <cell r="J12">
            <v>159.9</v>
          </cell>
          <cell r="K12">
            <v>199.9</v>
          </cell>
        </row>
        <row r="13">
          <cell r="C13" t="str">
            <v>-</v>
          </cell>
          <cell r="D13" t="str">
            <v>Xiaomi Redmi 9</v>
          </cell>
          <cell r="E13">
            <v>344</v>
          </cell>
          <cell r="F13">
            <v>344</v>
          </cell>
          <cell r="G13">
            <v>344</v>
          </cell>
          <cell r="H13">
            <v>344</v>
          </cell>
          <cell r="I13">
            <v>344</v>
          </cell>
          <cell r="J13">
            <v>344</v>
          </cell>
          <cell r="K13">
            <v>344</v>
          </cell>
        </row>
        <row r="14">
          <cell r="C14" t="str">
            <v>-</v>
          </cell>
          <cell r="D14" t="str">
            <v>Xiaomi Redmi 9A</v>
          </cell>
          <cell r="E14">
            <v>199</v>
          </cell>
          <cell r="F14">
            <v>199</v>
          </cell>
          <cell r="G14">
            <v>199</v>
          </cell>
          <cell r="H14">
            <v>199</v>
          </cell>
          <cell r="I14">
            <v>199</v>
          </cell>
          <cell r="J14">
            <v>199</v>
          </cell>
          <cell r="K14">
            <v>199</v>
          </cell>
        </row>
        <row r="15">
          <cell r="C15" t="str">
            <v>-</v>
          </cell>
          <cell r="D15" t="str">
            <v>Xiaomi Redmi A1 32GB</v>
          </cell>
          <cell r="E15">
            <v>233</v>
          </cell>
          <cell r="F15">
            <v>233</v>
          </cell>
          <cell r="G15">
            <v>233</v>
          </cell>
          <cell r="H15">
            <v>233</v>
          </cell>
          <cell r="I15">
            <v>233</v>
          </cell>
          <cell r="J15">
            <v>233</v>
          </cell>
          <cell r="K15">
            <v>233</v>
          </cell>
        </row>
        <row r="16">
          <cell r="C16" t="str">
            <v>-</v>
          </cell>
          <cell r="D16" t="str">
            <v>Samsung Galaxy A04e 32GB</v>
          </cell>
          <cell r="E16">
            <v>288</v>
          </cell>
          <cell r="F16">
            <v>288</v>
          </cell>
          <cell r="G16">
            <v>288</v>
          </cell>
          <cell r="H16">
            <v>288</v>
          </cell>
          <cell r="I16">
            <v>288</v>
          </cell>
          <cell r="J16">
            <v>288</v>
          </cell>
          <cell r="K16">
            <v>288</v>
          </cell>
        </row>
        <row r="17">
          <cell r="C17" t="str">
            <v>-</v>
          </cell>
          <cell r="D17" t="str">
            <v>ZTE Blade A5 2020 32GB</v>
          </cell>
          <cell r="E17">
            <v>377</v>
          </cell>
          <cell r="F17">
            <v>377</v>
          </cell>
          <cell r="G17">
            <v>377</v>
          </cell>
          <cell r="H17">
            <v>377</v>
          </cell>
          <cell r="I17">
            <v>377</v>
          </cell>
          <cell r="J17">
            <v>377</v>
          </cell>
          <cell r="K17">
            <v>377</v>
          </cell>
        </row>
        <row r="18">
          <cell r="C18" t="str">
            <v>-</v>
          </cell>
          <cell r="D18" t="str">
            <v>Samsung Galaxy A52</v>
          </cell>
          <cell r="E18">
            <v>833</v>
          </cell>
          <cell r="F18">
            <v>833</v>
          </cell>
          <cell r="G18">
            <v>833</v>
          </cell>
          <cell r="H18">
            <v>833</v>
          </cell>
          <cell r="I18">
            <v>833</v>
          </cell>
          <cell r="J18">
            <v>833</v>
          </cell>
          <cell r="K18">
            <v>833</v>
          </cell>
        </row>
        <row r="19">
          <cell r="C19" t="str">
            <v>-</v>
          </cell>
          <cell r="D19" t="str">
            <v>Motorola Moto E7i Power</v>
          </cell>
          <cell r="E19">
            <v>210</v>
          </cell>
          <cell r="F19">
            <v>210</v>
          </cell>
          <cell r="G19">
            <v>210</v>
          </cell>
          <cell r="H19">
            <v>210</v>
          </cell>
          <cell r="I19">
            <v>210</v>
          </cell>
          <cell r="J19">
            <v>210</v>
          </cell>
          <cell r="K19">
            <v>210</v>
          </cell>
        </row>
        <row r="20">
          <cell r="C20" t="str">
            <v>-</v>
          </cell>
          <cell r="D20" t="str">
            <v>Xiaomi Redmi Note 10</v>
          </cell>
          <cell r="E20">
            <v>922</v>
          </cell>
          <cell r="F20">
            <v>922</v>
          </cell>
          <cell r="G20">
            <v>922</v>
          </cell>
          <cell r="H20">
            <v>922</v>
          </cell>
          <cell r="I20">
            <v>922</v>
          </cell>
          <cell r="J20">
            <v>922</v>
          </cell>
          <cell r="K20">
            <v>922</v>
          </cell>
        </row>
        <row r="21">
          <cell r="C21" t="str">
            <v>-</v>
          </cell>
          <cell r="D21" t="str">
            <v>Xiaomi Redmi Note 10 5G</v>
          </cell>
          <cell r="E21">
            <v>455</v>
          </cell>
          <cell r="F21">
            <v>455</v>
          </cell>
          <cell r="G21">
            <v>455</v>
          </cell>
          <cell r="H21">
            <v>455</v>
          </cell>
          <cell r="I21">
            <v>455</v>
          </cell>
          <cell r="J21">
            <v>455</v>
          </cell>
          <cell r="K21">
            <v>455</v>
          </cell>
        </row>
        <row r="22">
          <cell r="C22" t="str">
            <v>-</v>
          </cell>
          <cell r="D22" t="str">
            <v>Xiaomi Redmi Note 10 Pro</v>
          </cell>
          <cell r="E22">
            <v>999</v>
          </cell>
          <cell r="F22">
            <v>999</v>
          </cell>
          <cell r="G22">
            <v>999</v>
          </cell>
          <cell r="H22">
            <v>999</v>
          </cell>
          <cell r="I22">
            <v>999</v>
          </cell>
          <cell r="J22">
            <v>999</v>
          </cell>
          <cell r="K22">
            <v>999</v>
          </cell>
        </row>
        <row r="23">
          <cell r="C23" t="str">
            <v>-</v>
          </cell>
          <cell r="D23" t="str">
            <v>Samsung Galaxy S20 FE</v>
          </cell>
          <cell r="E23">
            <v>1310</v>
          </cell>
          <cell r="F23">
            <v>1310</v>
          </cell>
          <cell r="G23">
            <v>1310</v>
          </cell>
          <cell r="H23">
            <v>1310</v>
          </cell>
          <cell r="I23">
            <v>1310</v>
          </cell>
          <cell r="J23">
            <v>1310</v>
          </cell>
          <cell r="K23">
            <v>1310</v>
          </cell>
        </row>
        <row r="24">
          <cell r="C24" t="str">
            <v>-</v>
          </cell>
          <cell r="D24" t="str">
            <v>Samsung Galaxy S21 FE 5G</v>
          </cell>
          <cell r="E24">
            <v>1666</v>
          </cell>
          <cell r="F24">
            <v>1666</v>
          </cell>
          <cell r="G24">
            <v>1666</v>
          </cell>
          <cell r="H24">
            <v>1666</v>
          </cell>
          <cell r="I24">
            <v>1666</v>
          </cell>
          <cell r="J24">
            <v>1666</v>
          </cell>
          <cell r="K24">
            <v>1666</v>
          </cell>
        </row>
        <row r="25">
          <cell r="C25" t="str">
            <v>-</v>
          </cell>
          <cell r="D25" t="str">
            <v>Motorola Moto G20</v>
          </cell>
          <cell r="E25">
            <v>277</v>
          </cell>
          <cell r="F25">
            <v>277</v>
          </cell>
          <cell r="G25">
            <v>277</v>
          </cell>
          <cell r="H25">
            <v>277</v>
          </cell>
          <cell r="I25">
            <v>277</v>
          </cell>
          <cell r="J25">
            <v>277</v>
          </cell>
          <cell r="K25">
            <v>277</v>
          </cell>
        </row>
        <row r="26">
          <cell r="C26" t="str">
            <v>-</v>
          </cell>
          <cell r="D26" t="str">
            <v>Xiaomi Redmi 9C</v>
          </cell>
          <cell r="E26">
            <v>277</v>
          </cell>
          <cell r="F26">
            <v>277</v>
          </cell>
          <cell r="G26">
            <v>277</v>
          </cell>
          <cell r="H26">
            <v>277</v>
          </cell>
          <cell r="I26">
            <v>277</v>
          </cell>
          <cell r="J26">
            <v>277</v>
          </cell>
          <cell r="K26">
            <v>277</v>
          </cell>
        </row>
        <row r="27">
          <cell r="C27" t="str">
            <v>-</v>
          </cell>
          <cell r="D27" t="str">
            <v>Xiaomi Redmi Note 10S</v>
          </cell>
          <cell r="E27">
            <v>666</v>
          </cell>
          <cell r="F27">
            <v>666</v>
          </cell>
          <cell r="G27">
            <v>666</v>
          </cell>
          <cell r="H27">
            <v>666</v>
          </cell>
          <cell r="I27">
            <v>666</v>
          </cell>
          <cell r="J27">
            <v>666</v>
          </cell>
          <cell r="K27">
            <v>666</v>
          </cell>
        </row>
        <row r="28">
          <cell r="C28" t="str">
            <v>-</v>
          </cell>
          <cell r="D28" t="str">
            <v>ZTE Blade A51</v>
          </cell>
          <cell r="E28">
            <v>210</v>
          </cell>
          <cell r="F28">
            <v>210</v>
          </cell>
          <cell r="G28">
            <v>210</v>
          </cell>
          <cell r="H28">
            <v>210</v>
          </cell>
          <cell r="I28">
            <v>210</v>
          </cell>
          <cell r="J28">
            <v>210</v>
          </cell>
          <cell r="K28">
            <v>210</v>
          </cell>
        </row>
        <row r="29">
          <cell r="C29" t="str">
            <v>-</v>
          </cell>
          <cell r="D29" t="str">
            <v>Zte Blade V30 Vita</v>
          </cell>
          <cell r="E29">
            <v>288</v>
          </cell>
          <cell r="F29">
            <v>288</v>
          </cell>
          <cell r="G29">
            <v>288</v>
          </cell>
          <cell r="H29">
            <v>288</v>
          </cell>
          <cell r="I29">
            <v>288</v>
          </cell>
          <cell r="J29">
            <v>288</v>
          </cell>
          <cell r="K29">
            <v>288</v>
          </cell>
        </row>
        <row r="30">
          <cell r="C30" t="str">
            <v>-</v>
          </cell>
          <cell r="D30" t="str">
            <v>Zte Blade V30</v>
          </cell>
          <cell r="E30">
            <v>488</v>
          </cell>
          <cell r="F30">
            <v>488</v>
          </cell>
          <cell r="G30">
            <v>488</v>
          </cell>
          <cell r="H30">
            <v>488</v>
          </cell>
          <cell r="I30">
            <v>488</v>
          </cell>
          <cell r="J30">
            <v>488</v>
          </cell>
          <cell r="K30">
            <v>488</v>
          </cell>
        </row>
        <row r="31">
          <cell r="C31" t="str">
            <v>-</v>
          </cell>
          <cell r="D31" t="str">
            <v>Samsung Galaxy A22 64GB</v>
          </cell>
          <cell r="E31">
            <v>522</v>
          </cell>
          <cell r="F31">
            <v>522</v>
          </cell>
          <cell r="G31">
            <v>522</v>
          </cell>
          <cell r="H31">
            <v>522</v>
          </cell>
          <cell r="I31">
            <v>522</v>
          </cell>
          <cell r="J31">
            <v>522</v>
          </cell>
          <cell r="K31">
            <v>522</v>
          </cell>
        </row>
        <row r="32">
          <cell r="C32" t="str">
            <v>-</v>
          </cell>
          <cell r="D32" t="str">
            <v>Samsung Galaxy A22</v>
          </cell>
          <cell r="E32">
            <v>888</v>
          </cell>
          <cell r="F32">
            <v>888</v>
          </cell>
          <cell r="G32">
            <v>888</v>
          </cell>
          <cell r="H32">
            <v>888</v>
          </cell>
          <cell r="I32">
            <v>888</v>
          </cell>
          <cell r="J32">
            <v>888</v>
          </cell>
          <cell r="K32">
            <v>888</v>
          </cell>
        </row>
        <row r="33">
          <cell r="C33" t="str">
            <v>-</v>
          </cell>
          <cell r="D33" t="str">
            <v>Samsung Galaxy A12 2021</v>
          </cell>
          <cell r="E33">
            <v>344</v>
          </cell>
          <cell r="F33">
            <v>344</v>
          </cell>
          <cell r="G33">
            <v>344</v>
          </cell>
          <cell r="H33">
            <v>344</v>
          </cell>
          <cell r="I33">
            <v>344</v>
          </cell>
          <cell r="J33">
            <v>344</v>
          </cell>
          <cell r="K33">
            <v>344</v>
          </cell>
        </row>
        <row r="34">
          <cell r="C34" t="str">
            <v>-</v>
          </cell>
          <cell r="D34" t="str">
            <v>Motorola Moto G50 5G</v>
          </cell>
          <cell r="E34">
            <v>277</v>
          </cell>
          <cell r="F34">
            <v>277</v>
          </cell>
          <cell r="G34">
            <v>277</v>
          </cell>
          <cell r="H34">
            <v>277</v>
          </cell>
          <cell r="I34">
            <v>277</v>
          </cell>
          <cell r="J34">
            <v>277</v>
          </cell>
          <cell r="K34">
            <v>277</v>
          </cell>
        </row>
        <row r="35">
          <cell r="C35" t="str">
            <v>-</v>
          </cell>
          <cell r="D35" t="str">
            <v>Samsung Galaxy Z Flip 3</v>
          </cell>
          <cell r="E35">
            <v>1888</v>
          </cell>
          <cell r="F35">
            <v>1888</v>
          </cell>
          <cell r="G35">
            <v>1888</v>
          </cell>
          <cell r="H35">
            <v>1888</v>
          </cell>
          <cell r="I35">
            <v>1888</v>
          </cell>
          <cell r="J35">
            <v>1888</v>
          </cell>
          <cell r="K35">
            <v>1888</v>
          </cell>
        </row>
        <row r="36">
          <cell r="C36" t="str">
            <v>-</v>
          </cell>
          <cell r="D36" t="str">
            <v>Motorola Moto Edge 20 Lite</v>
          </cell>
          <cell r="E36">
            <v>1066</v>
          </cell>
          <cell r="F36">
            <v>1066</v>
          </cell>
          <cell r="G36">
            <v>1066</v>
          </cell>
          <cell r="H36">
            <v>1066</v>
          </cell>
          <cell r="I36">
            <v>1066</v>
          </cell>
          <cell r="J36">
            <v>1066</v>
          </cell>
          <cell r="K36">
            <v>1066</v>
          </cell>
        </row>
        <row r="37">
          <cell r="C37" t="str">
            <v>-</v>
          </cell>
          <cell r="D37" t="str">
            <v>Samsung Galaxy A52s</v>
          </cell>
          <cell r="E37">
            <v>1110</v>
          </cell>
          <cell r="F37">
            <v>1110</v>
          </cell>
          <cell r="G37">
            <v>1110</v>
          </cell>
          <cell r="H37">
            <v>1110</v>
          </cell>
          <cell r="I37">
            <v>1110</v>
          </cell>
          <cell r="J37">
            <v>1110</v>
          </cell>
          <cell r="K37">
            <v>1110</v>
          </cell>
        </row>
        <row r="38">
          <cell r="C38" t="str">
            <v>-</v>
          </cell>
          <cell r="D38" t="str">
            <v>Oppo A54</v>
          </cell>
          <cell r="E38">
            <v>455</v>
          </cell>
          <cell r="F38">
            <v>455</v>
          </cell>
          <cell r="G38">
            <v>455</v>
          </cell>
          <cell r="H38">
            <v>455</v>
          </cell>
          <cell r="I38">
            <v>455</v>
          </cell>
          <cell r="J38">
            <v>455</v>
          </cell>
          <cell r="K38">
            <v>455</v>
          </cell>
        </row>
        <row r="39">
          <cell r="C39" t="str">
            <v>-</v>
          </cell>
          <cell r="D39" t="str">
            <v>Huawei Nova 8i</v>
          </cell>
          <cell r="E39">
            <v>555</v>
          </cell>
          <cell r="F39">
            <v>555</v>
          </cell>
          <cell r="G39">
            <v>555</v>
          </cell>
          <cell r="H39">
            <v>555</v>
          </cell>
          <cell r="I39">
            <v>555</v>
          </cell>
          <cell r="J39">
            <v>555</v>
          </cell>
          <cell r="K39">
            <v>555</v>
          </cell>
        </row>
        <row r="40">
          <cell r="C40" t="str">
            <v>-</v>
          </cell>
          <cell r="D40" t="str">
            <v>Vivo V21 5G</v>
          </cell>
          <cell r="E40">
            <v>2110</v>
          </cell>
          <cell r="F40">
            <v>2110</v>
          </cell>
          <cell r="G40">
            <v>2110</v>
          </cell>
          <cell r="H40">
            <v>2110</v>
          </cell>
          <cell r="I40">
            <v>2110</v>
          </cell>
          <cell r="J40">
            <v>2110</v>
          </cell>
          <cell r="K40">
            <v>2110</v>
          </cell>
        </row>
        <row r="41">
          <cell r="C41" t="str">
            <v>-</v>
          </cell>
          <cell r="D41" t="str">
            <v>Samsung Galaxy A22 5G</v>
          </cell>
          <cell r="E41">
            <v>822</v>
          </cell>
          <cell r="F41">
            <v>822</v>
          </cell>
          <cell r="G41">
            <v>822</v>
          </cell>
          <cell r="H41">
            <v>822</v>
          </cell>
          <cell r="I41">
            <v>822</v>
          </cell>
          <cell r="J41">
            <v>822</v>
          </cell>
          <cell r="K41">
            <v>822</v>
          </cell>
        </row>
        <row r="42">
          <cell r="C42" t="str">
            <v>-</v>
          </cell>
          <cell r="D42" t="str">
            <v>Xiaomi 11 Lite Ne 5G 128GB</v>
          </cell>
          <cell r="E42">
            <v>977</v>
          </cell>
          <cell r="F42">
            <v>977</v>
          </cell>
          <cell r="G42">
            <v>977</v>
          </cell>
          <cell r="H42">
            <v>977</v>
          </cell>
          <cell r="I42">
            <v>977</v>
          </cell>
          <cell r="J42">
            <v>977</v>
          </cell>
          <cell r="K42">
            <v>977</v>
          </cell>
        </row>
        <row r="43">
          <cell r="C43" t="str">
            <v>-</v>
          </cell>
          <cell r="D43" t="str">
            <v>Xiaomi 11T 5G</v>
          </cell>
          <cell r="E43">
            <v>888</v>
          </cell>
          <cell r="F43">
            <v>888</v>
          </cell>
          <cell r="G43">
            <v>888</v>
          </cell>
          <cell r="H43">
            <v>888</v>
          </cell>
          <cell r="I43">
            <v>888</v>
          </cell>
          <cell r="J43">
            <v>888</v>
          </cell>
          <cell r="K43">
            <v>888</v>
          </cell>
        </row>
        <row r="44">
          <cell r="C44" t="str">
            <v>-</v>
          </cell>
          <cell r="D44" t="str">
            <v>Oppo A16</v>
          </cell>
          <cell r="E44">
            <v>377</v>
          </cell>
          <cell r="F44">
            <v>377</v>
          </cell>
          <cell r="G44">
            <v>377</v>
          </cell>
          <cell r="H44">
            <v>377</v>
          </cell>
          <cell r="I44">
            <v>377</v>
          </cell>
          <cell r="J44">
            <v>377</v>
          </cell>
          <cell r="K44">
            <v>377</v>
          </cell>
        </row>
        <row r="45">
          <cell r="C45" t="str">
            <v>-</v>
          </cell>
          <cell r="D45" t="str">
            <v>Apple Iphone 13 Mini 256GB</v>
          </cell>
          <cell r="E45">
            <v>3333</v>
          </cell>
          <cell r="F45">
            <v>3333</v>
          </cell>
          <cell r="G45">
            <v>3333</v>
          </cell>
          <cell r="H45">
            <v>3333</v>
          </cell>
          <cell r="I45">
            <v>3333</v>
          </cell>
          <cell r="J45">
            <v>3333</v>
          </cell>
          <cell r="K45">
            <v>3333</v>
          </cell>
        </row>
        <row r="46">
          <cell r="C46" t="str">
            <v>-</v>
          </cell>
          <cell r="D46" t="str">
            <v>Motorola Moto E20</v>
          </cell>
          <cell r="E46">
            <v>166</v>
          </cell>
          <cell r="F46">
            <v>166</v>
          </cell>
          <cell r="G46">
            <v>166</v>
          </cell>
          <cell r="H46">
            <v>166</v>
          </cell>
          <cell r="I46">
            <v>166</v>
          </cell>
          <cell r="J46">
            <v>166</v>
          </cell>
          <cell r="K46">
            <v>166</v>
          </cell>
        </row>
        <row r="47">
          <cell r="C47" t="str">
            <v>-</v>
          </cell>
          <cell r="D47" t="str">
            <v>Honor X9</v>
          </cell>
          <cell r="E47">
            <v>744</v>
          </cell>
          <cell r="F47">
            <v>744</v>
          </cell>
          <cell r="G47">
            <v>744</v>
          </cell>
          <cell r="H47">
            <v>744</v>
          </cell>
          <cell r="I47">
            <v>744</v>
          </cell>
          <cell r="J47">
            <v>744</v>
          </cell>
          <cell r="K47">
            <v>744</v>
          </cell>
        </row>
        <row r="48">
          <cell r="C48" t="str">
            <v>-</v>
          </cell>
          <cell r="D48" t="str">
            <v>Apple Iphone 13 Pro 512GB</v>
          </cell>
          <cell r="E48">
            <v>4444</v>
          </cell>
          <cell r="F48">
            <v>4444</v>
          </cell>
          <cell r="G48">
            <v>4444</v>
          </cell>
          <cell r="H48">
            <v>4444</v>
          </cell>
          <cell r="I48">
            <v>4444</v>
          </cell>
          <cell r="J48">
            <v>4444</v>
          </cell>
          <cell r="K48">
            <v>4444</v>
          </cell>
        </row>
        <row r="49">
          <cell r="C49" t="str">
            <v>-</v>
          </cell>
          <cell r="D49" t="str">
            <v>Samsung Galaxy A03 Core</v>
          </cell>
          <cell r="E49">
            <v>99</v>
          </cell>
          <cell r="F49">
            <v>99</v>
          </cell>
          <cell r="G49">
            <v>99</v>
          </cell>
          <cell r="H49">
            <v>99</v>
          </cell>
          <cell r="I49">
            <v>99</v>
          </cell>
          <cell r="J49">
            <v>99</v>
          </cell>
          <cell r="K49">
            <v>99</v>
          </cell>
        </row>
        <row r="50">
          <cell r="C50" t="str">
            <v>-</v>
          </cell>
          <cell r="D50" t="str">
            <v>ZTE Blade A31 Plus 32GB</v>
          </cell>
          <cell r="E50">
            <v>177</v>
          </cell>
          <cell r="F50">
            <v>177</v>
          </cell>
          <cell r="G50">
            <v>177</v>
          </cell>
          <cell r="H50">
            <v>177</v>
          </cell>
          <cell r="I50">
            <v>177</v>
          </cell>
          <cell r="J50">
            <v>177</v>
          </cell>
          <cell r="K50">
            <v>177</v>
          </cell>
        </row>
        <row r="51">
          <cell r="C51" t="str">
            <v>-</v>
          </cell>
          <cell r="D51" t="str">
            <v>Xiaomi Redmi Note 11 128GB 4G</v>
          </cell>
          <cell r="E51">
            <v>444</v>
          </cell>
          <cell r="F51">
            <v>444</v>
          </cell>
          <cell r="G51">
            <v>444</v>
          </cell>
          <cell r="H51">
            <v>444</v>
          </cell>
          <cell r="I51">
            <v>444</v>
          </cell>
          <cell r="J51">
            <v>444</v>
          </cell>
          <cell r="K51">
            <v>444</v>
          </cell>
        </row>
        <row r="52">
          <cell r="C52" t="str">
            <v>-</v>
          </cell>
          <cell r="D52" t="str">
            <v>Samsung Galaxy S22</v>
          </cell>
          <cell r="E52">
            <v>1777</v>
          </cell>
          <cell r="F52">
            <v>1777</v>
          </cell>
          <cell r="G52">
            <v>1777</v>
          </cell>
          <cell r="H52">
            <v>1777</v>
          </cell>
          <cell r="I52">
            <v>1777</v>
          </cell>
          <cell r="J52">
            <v>1777</v>
          </cell>
          <cell r="K52">
            <v>1777</v>
          </cell>
        </row>
        <row r="53">
          <cell r="C53" t="str">
            <v>-</v>
          </cell>
          <cell r="D53" t="str">
            <v>Samsung Galaxy S22 Plus</v>
          </cell>
          <cell r="E53">
            <v>1888</v>
          </cell>
          <cell r="F53">
            <v>1888</v>
          </cell>
          <cell r="G53">
            <v>1888</v>
          </cell>
          <cell r="H53">
            <v>1888</v>
          </cell>
          <cell r="I53">
            <v>1888</v>
          </cell>
          <cell r="J53">
            <v>1888</v>
          </cell>
          <cell r="K53">
            <v>1888</v>
          </cell>
        </row>
        <row r="54">
          <cell r="C54" t="str">
            <v>-</v>
          </cell>
          <cell r="D54" t="str">
            <v>Samsung Galaxy A53</v>
          </cell>
          <cell r="E54">
            <v>777</v>
          </cell>
          <cell r="F54">
            <v>777</v>
          </cell>
          <cell r="G54">
            <v>777</v>
          </cell>
          <cell r="H54">
            <v>777</v>
          </cell>
          <cell r="I54">
            <v>777</v>
          </cell>
          <cell r="J54">
            <v>777</v>
          </cell>
          <cell r="K54">
            <v>777</v>
          </cell>
        </row>
        <row r="55">
          <cell r="C55" t="str">
            <v>-</v>
          </cell>
          <cell r="D55" t="str">
            <v>Samsung Galaxy A13</v>
          </cell>
          <cell r="E55">
            <v>510</v>
          </cell>
          <cell r="F55">
            <v>510</v>
          </cell>
          <cell r="G55">
            <v>510</v>
          </cell>
          <cell r="H55">
            <v>510</v>
          </cell>
          <cell r="I55">
            <v>510</v>
          </cell>
          <cell r="J55">
            <v>510</v>
          </cell>
          <cell r="K55">
            <v>510</v>
          </cell>
        </row>
        <row r="56">
          <cell r="C56" t="str">
            <v>-</v>
          </cell>
          <cell r="D56" t="str">
            <v>Samsung Galaxy A03</v>
          </cell>
          <cell r="E56">
            <v>244</v>
          </cell>
          <cell r="F56">
            <v>244</v>
          </cell>
          <cell r="G56">
            <v>244</v>
          </cell>
          <cell r="H56">
            <v>244</v>
          </cell>
          <cell r="I56">
            <v>244</v>
          </cell>
          <cell r="J56">
            <v>244</v>
          </cell>
          <cell r="K56">
            <v>244</v>
          </cell>
        </row>
        <row r="57">
          <cell r="C57" t="str">
            <v>-</v>
          </cell>
          <cell r="D57" t="str">
            <v>Motorola Moto G51 5G</v>
          </cell>
          <cell r="E57">
            <v>499</v>
          </cell>
          <cell r="F57">
            <v>499</v>
          </cell>
          <cell r="G57">
            <v>499</v>
          </cell>
          <cell r="H57">
            <v>499</v>
          </cell>
          <cell r="I57">
            <v>499</v>
          </cell>
          <cell r="J57">
            <v>499</v>
          </cell>
          <cell r="K57">
            <v>499</v>
          </cell>
        </row>
        <row r="58">
          <cell r="C58" t="str">
            <v>-</v>
          </cell>
          <cell r="D58" t="str">
            <v>Motorola Moto G31</v>
          </cell>
          <cell r="E58">
            <v>210</v>
          </cell>
          <cell r="F58">
            <v>210</v>
          </cell>
          <cell r="G58">
            <v>210</v>
          </cell>
          <cell r="H58">
            <v>210</v>
          </cell>
          <cell r="I58">
            <v>210</v>
          </cell>
          <cell r="J58">
            <v>210</v>
          </cell>
          <cell r="K58">
            <v>210</v>
          </cell>
        </row>
        <row r="59">
          <cell r="C59" t="str">
            <v>-</v>
          </cell>
          <cell r="D59" t="str">
            <v>ZTE Blade A51 Lite 32GB</v>
          </cell>
          <cell r="E59">
            <v>222</v>
          </cell>
          <cell r="F59">
            <v>222</v>
          </cell>
          <cell r="G59">
            <v>222</v>
          </cell>
          <cell r="H59">
            <v>222</v>
          </cell>
          <cell r="I59">
            <v>222</v>
          </cell>
          <cell r="J59">
            <v>222</v>
          </cell>
          <cell r="K59">
            <v>222</v>
          </cell>
        </row>
        <row r="60">
          <cell r="C60" t="str">
            <v>-</v>
          </cell>
          <cell r="D60" t="str">
            <v>Xiaomi Redmi Note 11S 128GB 4G</v>
          </cell>
          <cell r="E60">
            <v>544</v>
          </cell>
          <cell r="F60">
            <v>544</v>
          </cell>
          <cell r="G60">
            <v>544</v>
          </cell>
          <cell r="H60">
            <v>544</v>
          </cell>
          <cell r="I60">
            <v>544</v>
          </cell>
          <cell r="J60">
            <v>544</v>
          </cell>
          <cell r="K60">
            <v>544</v>
          </cell>
        </row>
        <row r="61">
          <cell r="C61" t="str">
            <v>-</v>
          </cell>
          <cell r="D61" t="str">
            <v>Xiaomi Redmi Note 11 Pro 4G</v>
          </cell>
          <cell r="E61">
            <v>555</v>
          </cell>
          <cell r="F61">
            <v>555</v>
          </cell>
          <cell r="G61">
            <v>555</v>
          </cell>
          <cell r="H61">
            <v>555</v>
          </cell>
          <cell r="I61">
            <v>555</v>
          </cell>
          <cell r="J61">
            <v>555</v>
          </cell>
          <cell r="K61">
            <v>555</v>
          </cell>
        </row>
        <row r="62">
          <cell r="C62" t="str">
            <v>-</v>
          </cell>
          <cell r="D62" t="str">
            <v>Honor X7</v>
          </cell>
          <cell r="E62">
            <v>366</v>
          </cell>
          <cell r="F62">
            <v>366</v>
          </cell>
          <cell r="G62">
            <v>366</v>
          </cell>
          <cell r="H62">
            <v>366</v>
          </cell>
          <cell r="I62">
            <v>366</v>
          </cell>
          <cell r="J62">
            <v>366</v>
          </cell>
          <cell r="K62">
            <v>366</v>
          </cell>
        </row>
        <row r="63">
          <cell r="C63" t="str">
            <v>-</v>
          </cell>
          <cell r="D63" t="str">
            <v>Xiaomi Redmi 10A</v>
          </cell>
          <cell r="E63">
            <v>344</v>
          </cell>
          <cell r="F63">
            <v>344</v>
          </cell>
          <cell r="G63">
            <v>344</v>
          </cell>
          <cell r="H63">
            <v>344</v>
          </cell>
          <cell r="I63">
            <v>344</v>
          </cell>
          <cell r="J63">
            <v>344</v>
          </cell>
          <cell r="K63">
            <v>344</v>
          </cell>
        </row>
        <row r="64">
          <cell r="C64" t="str">
            <v>-</v>
          </cell>
          <cell r="D64" t="str">
            <v>Apple iPhone SE 2022 64GB</v>
          </cell>
          <cell r="E64">
            <v>1422</v>
          </cell>
          <cell r="F64">
            <v>1422</v>
          </cell>
          <cell r="G64">
            <v>1422</v>
          </cell>
          <cell r="H64">
            <v>1422</v>
          </cell>
          <cell r="I64">
            <v>1422</v>
          </cell>
          <cell r="J64">
            <v>1422</v>
          </cell>
          <cell r="K64">
            <v>1422</v>
          </cell>
        </row>
        <row r="65">
          <cell r="C65" t="str">
            <v>-</v>
          </cell>
          <cell r="D65" t="str">
            <v>Motorola Moto G22</v>
          </cell>
          <cell r="E65">
            <v>277</v>
          </cell>
          <cell r="F65">
            <v>277</v>
          </cell>
          <cell r="G65">
            <v>277</v>
          </cell>
          <cell r="H65">
            <v>277</v>
          </cell>
          <cell r="I65">
            <v>277</v>
          </cell>
          <cell r="J65">
            <v>277</v>
          </cell>
          <cell r="K65">
            <v>277</v>
          </cell>
        </row>
        <row r="66">
          <cell r="C66" t="str">
            <v>-</v>
          </cell>
          <cell r="D66" t="str">
            <v>Oppo A57 128GB</v>
          </cell>
          <cell r="E66">
            <v>522</v>
          </cell>
          <cell r="F66">
            <v>522</v>
          </cell>
          <cell r="G66">
            <v>522</v>
          </cell>
          <cell r="H66">
            <v>522</v>
          </cell>
          <cell r="I66">
            <v>522</v>
          </cell>
          <cell r="J66">
            <v>522</v>
          </cell>
          <cell r="K66">
            <v>522</v>
          </cell>
        </row>
        <row r="67">
          <cell r="C67" t="str">
            <v>-</v>
          </cell>
          <cell r="D67" t="str">
            <v>Samsung Galaxy A04 64GB</v>
          </cell>
          <cell r="E67">
            <v>255</v>
          </cell>
          <cell r="F67">
            <v>255</v>
          </cell>
          <cell r="G67">
            <v>255</v>
          </cell>
          <cell r="H67">
            <v>255</v>
          </cell>
          <cell r="I67">
            <v>255</v>
          </cell>
          <cell r="J67">
            <v>255</v>
          </cell>
          <cell r="K67">
            <v>255</v>
          </cell>
        </row>
        <row r="68">
          <cell r="C68" t="str">
            <v>-</v>
          </cell>
          <cell r="D68" t="str">
            <v>Honor X6</v>
          </cell>
          <cell r="E68">
            <v>333</v>
          </cell>
          <cell r="F68">
            <v>333</v>
          </cell>
          <cell r="G68">
            <v>333</v>
          </cell>
          <cell r="H68">
            <v>333</v>
          </cell>
          <cell r="I68">
            <v>333</v>
          </cell>
          <cell r="J68">
            <v>333</v>
          </cell>
          <cell r="K68">
            <v>333</v>
          </cell>
        </row>
        <row r="69">
          <cell r="C69" t="str">
            <v>-</v>
          </cell>
          <cell r="D69" t="str">
            <v>Honor X8</v>
          </cell>
          <cell r="E69">
            <v>466</v>
          </cell>
          <cell r="F69">
            <v>466</v>
          </cell>
          <cell r="G69">
            <v>466</v>
          </cell>
          <cell r="H69">
            <v>466</v>
          </cell>
          <cell r="I69">
            <v>466</v>
          </cell>
          <cell r="J69">
            <v>466</v>
          </cell>
          <cell r="K69">
            <v>466</v>
          </cell>
        </row>
        <row r="70">
          <cell r="C70" t="str">
            <v>-</v>
          </cell>
          <cell r="D70" t="str">
            <v>Oppo Reno 7</v>
          </cell>
          <cell r="E70">
            <v>710</v>
          </cell>
          <cell r="F70">
            <v>710</v>
          </cell>
          <cell r="G70">
            <v>710</v>
          </cell>
          <cell r="H70">
            <v>710</v>
          </cell>
          <cell r="I70">
            <v>710</v>
          </cell>
          <cell r="J70">
            <v>710</v>
          </cell>
          <cell r="K70">
            <v>710</v>
          </cell>
        </row>
        <row r="71">
          <cell r="C71" t="str">
            <v>-</v>
          </cell>
          <cell r="D71" t="str">
            <v>Xiaomi Redmi 10C 3+64GB</v>
          </cell>
          <cell r="E71">
            <v>277</v>
          </cell>
          <cell r="F71">
            <v>277</v>
          </cell>
          <cell r="G71">
            <v>277</v>
          </cell>
          <cell r="H71">
            <v>277</v>
          </cell>
          <cell r="I71">
            <v>277</v>
          </cell>
          <cell r="J71">
            <v>277</v>
          </cell>
          <cell r="K71">
            <v>277</v>
          </cell>
        </row>
        <row r="72">
          <cell r="C72" t="str">
            <v>-</v>
          </cell>
          <cell r="D72" t="str">
            <v>Oppo A77</v>
          </cell>
          <cell r="E72">
            <v>466</v>
          </cell>
          <cell r="F72">
            <v>466</v>
          </cell>
          <cell r="G72">
            <v>466</v>
          </cell>
          <cell r="H72">
            <v>466</v>
          </cell>
          <cell r="I72">
            <v>466</v>
          </cell>
          <cell r="J72">
            <v>466</v>
          </cell>
          <cell r="K72">
            <v>466</v>
          </cell>
        </row>
        <row r="73">
          <cell r="C73" t="str">
            <v>-</v>
          </cell>
          <cell r="D73" t="str">
            <v>Honor 70 128GB</v>
          </cell>
          <cell r="E73">
            <v>1077</v>
          </cell>
          <cell r="F73">
            <v>1077</v>
          </cell>
          <cell r="G73">
            <v>1077</v>
          </cell>
          <cell r="H73">
            <v>1077</v>
          </cell>
          <cell r="I73">
            <v>1077</v>
          </cell>
          <cell r="J73">
            <v>1077</v>
          </cell>
          <cell r="K73">
            <v>1077</v>
          </cell>
        </row>
        <row r="74">
          <cell r="C74" t="str">
            <v>-</v>
          </cell>
          <cell r="D74" t="str">
            <v>Honor 70 256GB</v>
          </cell>
          <cell r="E74">
            <v>777</v>
          </cell>
          <cell r="F74">
            <v>777</v>
          </cell>
          <cell r="G74">
            <v>777</v>
          </cell>
          <cell r="H74">
            <v>777</v>
          </cell>
          <cell r="I74">
            <v>777</v>
          </cell>
          <cell r="J74">
            <v>777</v>
          </cell>
          <cell r="K74">
            <v>777</v>
          </cell>
        </row>
        <row r="75">
          <cell r="C75" t="str">
            <v>-</v>
          </cell>
          <cell r="D75" t="str">
            <v>Apple iPhone 14 256GB</v>
          </cell>
          <cell r="E75">
            <v>3888</v>
          </cell>
          <cell r="F75">
            <v>3888</v>
          </cell>
          <cell r="G75">
            <v>3888</v>
          </cell>
          <cell r="H75">
            <v>3888</v>
          </cell>
          <cell r="I75">
            <v>3888</v>
          </cell>
          <cell r="J75">
            <v>3888</v>
          </cell>
          <cell r="K75">
            <v>3888</v>
          </cell>
        </row>
        <row r="76">
          <cell r="C76" t="str">
            <v>-</v>
          </cell>
          <cell r="D76" t="str">
            <v>Apple iPhone 14 512GB</v>
          </cell>
          <cell r="E76">
            <v>5210</v>
          </cell>
          <cell r="F76">
            <v>5210</v>
          </cell>
          <cell r="G76">
            <v>5210</v>
          </cell>
          <cell r="H76">
            <v>5210</v>
          </cell>
          <cell r="I76">
            <v>5210</v>
          </cell>
          <cell r="J76">
            <v>5210</v>
          </cell>
          <cell r="K76">
            <v>5210</v>
          </cell>
        </row>
        <row r="77">
          <cell r="C77" t="str">
            <v>-</v>
          </cell>
          <cell r="D77" t="str">
            <v>Apple iPhone 14 Plus 512GB</v>
          </cell>
          <cell r="E77">
            <v>4866</v>
          </cell>
          <cell r="F77">
            <v>4866</v>
          </cell>
          <cell r="G77">
            <v>4866</v>
          </cell>
          <cell r="H77">
            <v>4866</v>
          </cell>
          <cell r="I77">
            <v>4866</v>
          </cell>
          <cell r="J77">
            <v>4866</v>
          </cell>
          <cell r="K77">
            <v>4866</v>
          </cell>
        </row>
        <row r="78">
          <cell r="C78" t="str">
            <v>-</v>
          </cell>
          <cell r="D78" t="str">
            <v>Apple iPhone 14 Pro 128GB</v>
          </cell>
          <cell r="E78">
            <v>3666</v>
          </cell>
          <cell r="F78">
            <v>3666</v>
          </cell>
          <cell r="G78">
            <v>3666</v>
          </cell>
          <cell r="H78">
            <v>3666</v>
          </cell>
          <cell r="I78">
            <v>3666</v>
          </cell>
          <cell r="J78">
            <v>3666</v>
          </cell>
          <cell r="K78">
            <v>3666</v>
          </cell>
        </row>
        <row r="79">
          <cell r="C79" t="str">
            <v>-</v>
          </cell>
          <cell r="D79" t="str">
            <v>Apple Iphone 14 Pro Max 256GB</v>
          </cell>
          <cell r="E79">
            <v>5766</v>
          </cell>
          <cell r="F79">
            <v>5766</v>
          </cell>
          <cell r="G79">
            <v>5766</v>
          </cell>
          <cell r="H79">
            <v>5766</v>
          </cell>
          <cell r="I79">
            <v>5766</v>
          </cell>
          <cell r="J79">
            <v>5766</v>
          </cell>
          <cell r="K79">
            <v>5766</v>
          </cell>
        </row>
        <row r="80">
          <cell r="C80" t="str">
            <v>-</v>
          </cell>
          <cell r="D80" t="str">
            <v>Apple Iphone 14 Pro Max 512GB</v>
          </cell>
          <cell r="E80">
            <v>7755</v>
          </cell>
          <cell r="F80">
            <v>7755</v>
          </cell>
          <cell r="G80">
            <v>7755</v>
          </cell>
          <cell r="H80">
            <v>7755</v>
          </cell>
          <cell r="I80">
            <v>7755</v>
          </cell>
          <cell r="J80">
            <v>7755</v>
          </cell>
          <cell r="K80">
            <v>7755</v>
          </cell>
        </row>
        <row r="81">
          <cell r="C81" t="str">
            <v>-</v>
          </cell>
          <cell r="D81" t="str">
            <v>Samsung Galaxy Z Flip 4 128GB</v>
          </cell>
          <cell r="E81">
            <v>1666</v>
          </cell>
          <cell r="F81">
            <v>1666</v>
          </cell>
          <cell r="G81">
            <v>1666</v>
          </cell>
          <cell r="H81">
            <v>1666</v>
          </cell>
          <cell r="I81">
            <v>1666</v>
          </cell>
          <cell r="J81">
            <v>1666</v>
          </cell>
          <cell r="K81">
            <v>1666</v>
          </cell>
        </row>
        <row r="82">
          <cell r="C82" t="str">
            <v>-</v>
          </cell>
          <cell r="D82" t="str">
            <v>Samsung Galaxy Z Flip 4 256GB</v>
          </cell>
          <cell r="E82">
            <v>2077</v>
          </cell>
          <cell r="F82">
            <v>2077</v>
          </cell>
          <cell r="G82">
            <v>2077</v>
          </cell>
          <cell r="H82">
            <v>2077</v>
          </cell>
          <cell r="I82">
            <v>2077</v>
          </cell>
          <cell r="J82">
            <v>2077</v>
          </cell>
          <cell r="K82">
            <v>2077</v>
          </cell>
        </row>
        <row r="83">
          <cell r="C83" t="str">
            <v>-</v>
          </cell>
          <cell r="D83" t="str">
            <v>Samsung Galaxy Z Fold 4 256GB</v>
          </cell>
          <cell r="E83">
            <v>3999</v>
          </cell>
          <cell r="F83">
            <v>3999</v>
          </cell>
          <cell r="G83">
            <v>3999</v>
          </cell>
          <cell r="H83">
            <v>3999</v>
          </cell>
          <cell r="I83">
            <v>3999</v>
          </cell>
          <cell r="J83">
            <v>3999</v>
          </cell>
          <cell r="K83">
            <v>3999</v>
          </cell>
        </row>
        <row r="84">
          <cell r="C84" t="str">
            <v>-</v>
          </cell>
          <cell r="D84" t="str">
            <v>Samsung Galaxy A23</v>
          </cell>
          <cell r="E84">
            <v>722</v>
          </cell>
          <cell r="F84">
            <v>722</v>
          </cell>
          <cell r="G84">
            <v>722</v>
          </cell>
          <cell r="H84">
            <v>722</v>
          </cell>
          <cell r="I84">
            <v>722</v>
          </cell>
          <cell r="J84">
            <v>722</v>
          </cell>
          <cell r="K84">
            <v>722</v>
          </cell>
        </row>
        <row r="85">
          <cell r="C85" t="str">
            <v>-</v>
          </cell>
          <cell r="D85" t="str">
            <v>Samsung Galaxy S20 FE 5G</v>
          </cell>
          <cell r="E85">
            <v>1088</v>
          </cell>
          <cell r="F85">
            <v>1088</v>
          </cell>
          <cell r="G85">
            <v>1088</v>
          </cell>
          <cell r="H85">
            <v>1088</v>
          </cell>
          <cell r="I85">
            <v>1088</v>
          </cell>
          <cell r="J85">
            <v>1088</v>
          </cell>
          <cell r="K85">
            <v>1088</v>
          </cell>
        </row>
        <row r="86">
          <cell r="C86" t="str">
            <v>-</v>
          </cell>
          <cell r="D86" t="str">
            <v>Xiaomi 12 256GB 5G</v>
          </cell>
          <cell r="E86">
            <v>1999</v>
          </cell>
          <cell r="F86">
            <v>1999</v>
          </cell>
          <cell r="G86">
            <v>1999</v>
          </cell>
          <cell r="H86">
            <v>1999</v>
          </cell>
          <cell r="I86">
            <v>1999</v>
          </cell>
          <cell r="J86">
            <v>1999</v>
          </cell>
          <cell r="K86">
            <v>1999</v>
          </cell>
        </row>
        <row r="87">
          <cell r="C87" t="str">
            <v>-</v>
          </cell>
          <cell r="D87" t="str">
            <v>Vivo Y55</v>
          </cell>
          <cell r="E87">
            <v>1010</v>
          </cell>
          <cell r="F87">
            <v>1010</v>
          </cell>
          <cell r="G87">
            <v>1010</v>
          </cell>
          <cell r="H87">
            <v>1010</v>
          </cell>
          <cell r="I87">
            <v>1010</v>
          </cell>
          <cell r="J87">
            <v>1010</v>
          </cell>
          <cell r="K87">
            <v>1010</v>
          </cell>
        </row>
        <row r="88">
          <cell r="C88" t="str">
            <v>-</v>
          </cell>
          <cell r="D88" t="str">
            <v>Xiaomi Redmi 10C 64GB</v>
          </cell>
          <cell r="E88">
            <v>333</v>
          </cell>
          <cell r="F88">
            <v>333</v>
          </cell>
          <cell r="G88">
            <v>333</v>
          </cell>
          <cell r="H88">
            <v>333</v>
          </cell>
          <cell r="I88">
            <v>333</v>
          </cell>
          <cell r="J88">
            <v>333</v>
          </cell>
          <cell r="K88">
            <v>333</v>
          </cell>
        </row>
        <row r="89">
          <cell r="C89" t="str">
            <v>-</v>
          </cell>
          <cell r="D89" t="str">
            <v>Oppo Reno 6 lite</v>
          </cell>
          <cell r="E89">
            <v>666</v>
          </cell>
          <cell r="F89">
            <v>666</v>
          </cell>
          <cell r="G89">
            <v>666</v>
          </cell>
          <cell r="H89">
            <v>666</v>
          </cell>
          <cell r="I89">
            <v>666</v>
          </cell>
          <cell r="J89">
            <v>666</v>
          </cell>
          <cell r="K89">
            <v>666</v>
          </cell>
        </row>
        <row r="90">
          <cell r="C90" t="str">
            <v>-</v>
          </cell>
          <cell r="D90" t="str">
            <v>Motorola Moto Edge 30 Fusion 5G</v>
          </cell>
          <cell r="E90">
            <v>644</v>
          </cell>
          <cell r="F90">
            <v>644</v>
          </cell>
          <cell r="G90">
            <v>644</v>
          </cell>
          <cell r="H90">
            <v>644</v>
          </cell>
          <cell r="I90">
            <v>644</v>
          </cell>
          <cell r="J90">
            <v>644</v>
          </cell>
          <cell r="K90">
            <v>644</v>
          </cell>
        </row>
        <row r="91">
          <cell r="C91" t="str">
            <v>-</v>
          </cell>
          <cell r="D91" t="str">
            <v>Motorola Moto Edge 30 Neo 5G</v>
          </cell>
          <cell r="E91">
            <v>633</v>
          </cell>
          <cell r="F91">
            <v>633</v>
          </cell>
          <cell r="G91">
            <v>633</v>
          </cell>
          <cell r="H91">
            <v>633</v>
          </cell>
          <cell r="I91">
            <v>633</v>
          </cell>
          <cell r="J91">
            <v>633</v>
          </cell>
          <cell r="K91">
            <v>633</v>
          </cell>
        </row>
        <row r="92">
          <cell r="C92" t="str">
            <v>-</v>
          </cell>
          <cell r="D92" t="str">
            <v>Oppo A17 64GB</v>
          </cell>
          <cell r="E92">
            <v>444</v>
          </cell>
          <cell r="F92">
            <v>444</v>
          </cell>
          <cell r="G92">
            <v>444</v>
          </cell>
          <cell r="H92">
            <v>444</v>
          </cell>
          <cell r="I92">
            <v>444</v>
          </cell>
          <cell r="J92">
            <v>444</v>
          </cell>
          <cell r="K92">
            <v>444</v>
          </cell>
        </row>
        <row r="93">
          <cell r="C93" t="str">
            <v>-</v>
          </cell>
          <cell r="D93" t="str">
            <v>Vivo Y22s 128GB</v>
          </cell>
          <cell r="E93">
            <v>433</v>
          </cell>
          <cell r="F93">
            <v>433</v>
          </cell>
          <cell r="G93">
            <v>433</v>
          </cell>
          <cell r="H93">
            <v>433</v>
          </cell>
          <cell r="I93">
            <v>433</v>
          </cell>
          <cell r="J93">
            <v>433</v>
          </cell>
          <cell r="K93">
            <v>433</v>
          </cell>
        </row>
        <row r="94">
          <cell r="C94" t="str">
            <v>-</v>
          </cell>
          <cell r="D94" t="str">
            <v>Motorola Moto E22i</v>
          </cell>
          <cell r="E94">
            <v>277</v>
          </cell>
          <cell r="F94">
            <v>277</v>
          </cell>
          <cell r="G94">
            <v>277</v>
          </cell>
          <cell r="H94">
            <v>277</v>
          </cell>
          <cell r="I94">
            <v>277</v>
          </cell>
          <cell r="J94">
            <v>277</v>
          </cell>
          <cell r="K94">
            <v>277</v>
          </cell>
        </row>
        <row r="95">
          <cell r="C95" t="str">
            <v>-</v>
          </cell>
          <cell r="D95" t="str">
            <v>Honor X7A</v>
          </cell>
          <cell r="E95">
            <v>366</v>
          </cell>
          <cell r="F95">
            <v>366</v>
          </cell>
          <cell r="G95">
            <v>366</v>
          </cell>
          <cell r="H95">
            <v>366</v>
          </cell>
          <cell r="I95">
            <v>366</v>
          </cell>
          <cell r="J95">
            <v>366</v>
          </cell>
          <cell r="K95">
            <v>366</v>
          </cell>
        </row>
        <row r="96">
          <cell r="C96" t="str">
            <v>-</v>
          </cell>
          <cell r="D96" t="str">
            <v>Samsung Galaxy S23 128GB</v>
          </cell>
          <cell r="E96">
            <v>2222</v>
          </cell>
          <cell r="F96">
            <v>2222</v>
          </cell>
          <cell r="G96">
            <v>2222</v>
          </cell>
          <cell r="H96">
            <v>2222</v>
          </cell>
          <cell r="I96">
            <v>2222</v>
          </cell>
          <cell r="J96">
            <v>2222</v>
          </cell>
          <cell r="K96">
            <v>2222</v>
          </cell>
        </row>
        <row r="97">
          <cell r="C97" t="str">
            <v>-</v>
          </cell>
          <cell r="D97" t="str">
            <v>Samsung Galaxy S23 256GB</v>
          </cell>
          <cell r="E97">
            <v>2888</v>
          </cell>
          <cell r="F97">
            <v>2888</v>
          </cell>
          <cell r="G97">
            <v>2888</v>
          </cell>
          <cell r="H97">
            <v>2888</v>
          </cell>
          <cell r="I97">
            <v>2888</v>
          </cell>
          <cell r="J97">
            <v>2888</v>
          </cell>
          <cell r="K97">
            <v>2888</v>
          </cell>
        </row>
        <row r="98">
          <cell r="C98" t="str">
            <v>-</v>
          </cell>
          <cell r="D98" t="str">
            <v>Samsung Galaxy S23 Plus 512GB</v>
          </cell>
          <cell r="E98">
            <v>3710</v>
          </cell>
          <cell r="F98">
            <v>3710</v>
          </cell>
          <cell r="G98">
            <v>3710</v>
          </cell>
          <cell r="H98">
            <v>3710</v>
          </cell>
          <cell r="I98">
            <v>3710</v>
          </cell>
          <cell r="J98">
            <v>3710</v>
          </cell>
          <cell r="K98">
            <v>3710</v>
          </cell>
        </row>
        <row r="99">
          <cell r="C99" t="str">
            <v>-</v>
          </cell>
          <cell r="D99" t="str">
            <v>Motorola Moto G53 5G</v>
          </cell>
          <cell r="E99">
            <v>555</v>
          </cell>
          <cell r="F99">
            <v>555</v>
          </cell>
          <cell r="G99">
            <v>555</v>
          </cell>
          <cell r="H99">
            <v>555</v>
          </cell>
          <cell r="I99">
            <v>555</v>
          </cell>
          <cell r="J99">
            <v>555</v>
          </cell>
          <cell r="K99">
            <v>555</v>
          </cell>
        </row>
        <row r="100">
          <cell r="C100" t="str">
            <v>-</v>
          </cell>
          <cell r="D100" t="str">
            <v>Motorola Moto G23</v>
          </cell>
          <cell r="E100">
            <v>455</v>
          </cell>
          <cell r="F100">
            <v>455</v>
          </cell>
          <cell r="G100">
            <v>455</v>
          </cell>
          <cell r="H100">
            <v>455</v>
          </cell>
          <cell r="I100">
            <v>455</v>
          </cell>
          <cell r="J100">
            <v>455</v>
          </cell>
          <cell r="K100">
            <v>455</v>
          </cell>
        </row>
        <row r="101">
          <cell r="C101" t="str">
            <v>-</v>
          </cell>
          <cell r="D101" t="str">
            <v>Xiaomi Redmi Note 12</v>
          </cell>
          <cell r="E101">
            <v>488</v>
          </cell>
          <cell r="F101">
            <v>488</v>
          </cell>
          <cell r="G101">
            <v>488</v>
          </cell>
          <cell r="H101">
            <v>488</v>
          </cell>
          <cell r="I101">
            <v>488</v>
          </cell>
          <cell r="J101">
            <v>488</v>
          </cell>
          <cell r="K101">
            <v>488</v>
          </cell>
        </row>
        <row r="102">
          <cell r="C102" t="str">
            <v>-</v>
          </cell>
          <cell r="D102" t="str">
            <v>Xiaomi Redmi A2</v>
          </cell>
          <cell r="E102">
            <v>288</v>
          </cell>
          <cell r="F102">
            <v>288</v>
          </cell>
          <cell r="G102">
            <v>288</v>
          </cell>
          <cell r="H102">
            <v>288</v>
          </cell>
          <cell r="I102">
            <v>288</v>
          </cell>
          <cell r="J102">
            <v>288</v>
          </cell>
          <cell r="K102">
            <v>288</v>
          </cell>
        </row>
        <row r="103">
          <cell r="C103" t="str">
            <v>-</v>
          </cell>
          <cell r="D103" t="str">
            <v>Xiaomi Redmi 12C</v>
          </cell>
          <cell r="E103">
            <v>310</v>
          </cell>
          <cell r="F103">
            <v>310</v>
          </cell>
          <cell r="G103">
            <v>310</v>
          </cell>
          <cell r="H103">
            <v>310</v>
          </cell>
          <cell r="I103">
            <v>310</v>
          </cell>
          <cell r="J103">
            <v>310</v>
          </cell>
          <cell r="K103">
            <v>310</v>
          </cell>
        </row>
        <row r="104">
          <cell r="C104" t="str">
            <v>-</v>
          </cell>
          <cell r="D104" t="str">
            <v>Xiaomi Redmi Note 12s</v>
          </cell>
          <cell r="E104">
            <v>610</v>
          </cell>
          <cell r="F104">
            <v>610</v>
          </cell>
          <cell r="G104">
            <v>610</v>
          </cell>
          <cell r="H104">
            <v>610</v>
          </cell>
          <cell r="I104">
            <v>610</v>
          </cell>
          <cell r="J104">
            <v>610</v>
          </cell>
          <cell r="K104">
            <v>610</v>
          </cell>
        </row>
        <row r="105">
          <cell r="C105" t="str">
            <v>-</v>
          </cell>
          <cell r="D105" t="str">
            <v>Samsung Galaxy A54 5G</v>
          </cell>
          <cell r="E105">
            <v>822</v>
          </cell>
          <cell r="F105">
            <v>822</v>
          </cell>
          <cell r="G105">
            <v>822</v>
          </cell>
          <cell r="H105">
            <v>822</v>
          </cell>
          <cell r="I105">
            <v>822</v>
          </cell>
          <cell r="J105">
            <v>822</v>
          </cell>
          <cell r="K105">
            <v>822</v>
          </cell>
        </row>
        <row r="106">
          <cell r="C106" t="str">
            <v>-</v>
          </cell>
          <cell r="D106" t="str">
            <v>Zte Blade V40 Design</v>
          </cell>
          <cell r="E106">
            <v>366</v>
          </cell>
          <cell r="F106">
            <v>366</v>
          </cell>
          <cell r="G106">
            <v>366</v>
          </cell>
          <cell r="H106">
            <v>366</v>
          </cell>
          <cell r="I106">
            <v>366</v>
          </cell>
          <cell r="J106">
            <v>366</v>
          </cell>
          <cell r="K106">
            <v>366</v>
          </cell>
        </row>
        <row r="107">
          <cell r="C107" t="str">
            <v>-</v>
          </cell>
          <cell r="D107" t="str">
            <v>Samsung Galaxy Z Flip 5 256GB 5G</v>
          </cell>
          <cell r="E107">
            <v>3333</v>
          </cell>
          <cell r="F107">
            <v>3333</v>
          </cell>
          <cell r="G107">
            <v>3333</v>
          </cell>
          <cell r="H107">
            <v>3333</v>
          </cell>
          <cell r="I107">
            <v>3333</v>
          </cell>
          <cell r="J107">
            <v>3333</v>
          </cell>
          <cell r="K107">
            <v>3333</v>
          </cell>
        </row>
        <row r="108">
          <cell r="C108" t="str">
            <v>-</v>
          </cell>
          <cell r="D108" t="str">
            <v>Samsung Galaxy Z Flip 5 512GB 5G</v>
          </cell>
          <cell r="E108">
            <v>3666</v>
          </cell>
          <cell r="F108">
            <v>3666</v>
          </cell>
          <cell r="G108">
            <v>3666</v>
          </cell>
          <cell r="H108">
            <v>3666</v>
          </cell>
          <cell r="I108">
            <v>3666</v>
          </cell>
          <cell r="J108">
            <v>3666</v>
          </cell>
          <cell r="K108">
            <v>3666</v>
          </cell>
        </row>
        <row r="109">
          <cell r="C109" t="str">
            <v>-</v>
          </cell>
          <cell r="D109" t="str">
            <v>Samsung Galaxy Z Fold 5 512GB 5G</v>
          </cell>
          <cell r="E109">
            <v>4210</v>
          </cell>
          <cell r="F109">
            <v>4210</v>
          </cell>
          <cell r="G109">
            <v>4210</v>
          </cell>
          <cell r="H109">
            <v>4210</v>
          </cell>
          <cell r="I109">
            <v>4210</v>
          </cell>
          <cell r="J109">
            <v>4210</v>
          </cell>
          <cell r="K109">
            <v>4210</v>
          </cell>
        </row>
        <row r="110">
          <cell r="C110" t="str">
            <v>-</v>
          </cell>
          <cell r="D110" t="str">
            <v>Xiaomi Redmi 12C 128GB</v>
          </cell>
          <cell r="E110">
            <v>322</v>
          </cell>
          <cell r="F110">
            <v>322</v>
          </cell>
          <cell r="G110">
            <v>322</v>
          </cell>
          <cell r="H110">
            <v>322</v>
          </cell>
          <cell r="I110">
            <v>322</v>
          </cell>
          <cell r="J110">
            <v>322</v>
          </cell>
          <cell r="K110">
            <v>322</v>
          </cell>
        </row>
        <row r="111">
          <cell r="C111" t="str">
            <v>-</v>
          </cell>
          <cell r="D111" t="str">
            <v>Motorola Moto G14</v>
          </cell>
          <cell r="E111">
            <v>333</v>
          </cell>
          <cell r="F111">
            <v>333</v>
          </cell>
          <cell r="G111">
            <v>333</v>
          </cell>
          <cell r="H111">
            <v>333</v>
          </cell>
          <cell r="I111">
            <v>333</v>
          </cell>
          <cell r="J111">
            <v>333</v>
          </cell>
          <cell r="K111">
            <v>333</v>
          </cell>
        </row>
        <row r="112">
          <cell r="C112" t="str">
            <v>-</v>
          </cell>
          <cell r="D112" t="str">
            <v>Xiaomi Redmi A2 64GB</v>
          </cell>
          <cell r="E112">
            <v>333</v>
          </cell>
          <cell r="F112">
            <v>333</v>
          </cell>
          <cell r="G112">
            <v>333</v>
          </cell>
          <cell r="H112">
            <v>333</v>
          </cell>
          <cell r="I112">
            <v>333</v>
          </cell>
          <cell r="J112">
            <v>333</v>
          </cell>
          <cell r="K112">
            <v>333</v>
          </cell>
        </row>
        <row r="113">
          <cell r="C113" t="str">
            <v>-</v>
          </cell>
          <cell r="D113" t="str">
            <v>Xiaomi 13T 256GB 5G</v>
          </cell>
          <cell r="E113">
            <v>1599</v>
          </cell>
          <cell r="F113">
            <v>1599</v>
          </cell>
          <cell r="G113">
            <v>1599</v>
          </cell>
          <cell r="H113">
            <v>1599</v>
          </cell>
          <cell r="I113">
            <v>1599</v>
          </cell>
          <cell r="J113">
            <v>1599</v>
          </cell>
          <cell r="K113">
            <v>1599</v>
          </cell>
        </row>
        <row r="114">
          <cell r="C114" t="str">
            <v>-</v>
          </cell>
          <cell r="D114" t="str">
            <v>Apple Iphone 15 Plus 256GB 5G</v>
          </cell>
          <cell r="E114">
            <v>4777</v>
          </cell>
          <cell r="F114">
            <v>4777</v>
          </cell>
          <cell r="G114">
            <v>4777</v>
          </cell>
          <cell r="H114">
            <v>4777</v>
          </cell>
          <cell r="I114">
            <v>4777</v>
          </cell>
          <cell r="J114">
            <v>4777</v>
          </cell>
          <cell r="K114">
            <v>4777</v>
          </cell>
        </row>
        <row r="115">
          <cell r="C115" t="str">
            <v>-</v>
          </cell>
          <cell r="D115" t="str">
            <v>Apple Iphone 15 Pro Max 512GB 5G</v>
          </cell>
          <cell r="E115">
            <v>7088</v>
          </cell>
          <cell r="F115">
            <v>7088</v>
          </cell>
          <cell r="G115">
            <v>7088</v>
          </cell>
          <cell r="H115">
            <v>7088</v>
          </cell>
          <cell r="I115">
            <v>7088</v>
          </cell>
          <cell r="J115">
            <v>7088</v>
          </cell>
          <cell r="K115">
            <v>7088</v>
          </cell>
        </row>
        <row r="116">
          <cell r="C116" t="str">
            <v>-</v>
          </cell>
          <cell r="D116" t="str">
            <v>Motorola Moto Edge 40 Neo 256GB 5G</v>
          </cell>
          <cell r="E116">
            <v>633</v>
          </cell>
          <cell r="F116">
            <v>633</v>
          </cell>
          <cell r="G116">
            <v>633</v>
          </cell>
          <cell r="H116">
            <v>633</v>
          </cell>
          <cell r="I116">
            <v>633</v>
          </cell>
          <cell r="J116">
            <v>633</v>
          </cell>
          <cell r="K116">
            <v>633</v>
          </cell>
        </row>
        <row r="117">
          <cell r="C117" t="str">
            <v>-</v>
          </cell>
          <cell r="D117" t="str">
            <v>Samsung Galaxy A06 64GB 4G</v>
          </cell>
          <cell r="E117">
            <v>333</v>
          </cell>
          <cell r="F117">
            <v>333</v>
          </cell>
          <cell r="G117">
            <v>333</v>
          </cell>
          <cell r="H117">
            <v>333</v>
          </cell>
          <cell r="I117">
            <v>333</v>
          </cell>
          <cell r="J117">
            <v>333</v>
          </cell>
          <cell r="K117">
            <v>333</v>
          </cell>
        </row>
        <row r="118">
          <cell r="C118" t="str">
            <v>-</v>
          </cell>
          <cell r="D118" t="str">
            <v>PK OPPO RENO12F HP 256GB ROJO</v>
          </cell>
          <cell r="E118">
            <v>1999</v>
          </cell>
          <cell r="F118">
            <v>1999</v>
          </cell>
          <cell r="G118">
            <v>1999</v>
          </cell>
          <cell r="H118">
            <v>1999</v>
          </cell>
          <cell r="I118">
            <v>1999</v>
          </cell>
          <cell r="J118">
            <v>1999</v>
          </cell>
          <cell r="K118">
            <v>1999</v>
          </cell>
        </row>
        <row r="119">
          <cell r="C119" t="str">
            <v>-</v>
          </cell>
          <cell r="D119" t="str">
            <v>Motorola Razr 40 Ultra 5G</v>
          </cell>
          <cell r="E119">
            <v>2222</v>
          </cell>
          <cell r="F119">
            <v>2222</v>
          </cell>
          <cell r="G119">
            <v>2222</v>
          </cell>
          <cell r="H119">
            <v>2222</v>
          </cell>
          <cell r="I119">
            <v>2222</v>
          </cell>
          <cell r="J119">
            <v>2222</v>
          </cell>
          <cell r="K119">
            <v>2222</v>
          </cell>
        </row>
        <row r="120">
          <cell r="C120" t="str">
            <v>-</v>
          </cell>
          <cell r="D120" t="str">
            <v>Samsung Galaxy A33</v>
          </cell>
          <cell r="E120">
            <v>533</v>
          </cell>
          <cell r="F120">
            <v>533</v>
          </cell>
          <cell r="G120">
            <v>533</v>
          </cell>
          <cell r="H120">
            <v>533</v>
          </cell>
          <cell r="I120">
            <v>533</v>
          </cell>
          <cell r="J120">
            <v>533</v>
          </cell>
          <cell r="K120">
            <v>533</v>
          </cell>
        </row>
        <row r="121">
          <cell r="C121" t="str">
            <v>-</v>
          </cell>
          <cell r="D121" t="str">
            <v>Samsung Galaxy A34 5G</v>
          </cell>
          <cell r="E121">
            <v>555</v>
          </cell>
          <cell r="F121">
            <v>555</v>
          </cell>
          <cell r="G121">
            <v>555</v>
          </cell>
          <cell r="H121">
            <v>555</v>
          </cell>
          <cell r="I121">
            <v>555</v>
          </cell>
          <cell r="J121">
            <v>555</v>
          </cell>
          <cell r="K121">
            <v>555</v>
          </cell>
        </row>
        <row r="122">
          <cell r="C122" t="str">
            <v>-</v>
          </cell>
          <cell r="D122" t="str">
            <v>Apple iPhone 12 64GB</v>
          </cell>
          <cell r="E122">
            <v>1444</v>
          </cell>
          <cell r="F122">
            <v>1444</v>
          </cell>
          <cell r="G122">
            <v>1444</v>
          </cell>
          <cell r="H122">
            <v>1444</v>
          </cell>
          <cell r="I122">
            <v>1444</v>
          </cell>
          <cell r="J122">
            <v>1444</v>
          </cell>
          <cell r="K122">
            <v>1444</v>
          </cell>
        </row>
        <row r="123">
          <cell r="C123" t="str">
            <v>-</v>
          </cell>
          <cell r="D123" t="str">
            <v>Samsung Galaxy S23 Plus 256GB</v>
          </cell>
          <cell r="E123">
            <v>2644</v>
          </cell>
          <cell r="F123">
            <v>2644</v>
          </cell>
          <cell r="G123">
            <v>2644</v>
          </cell>
          <cell r="H123">
            <v>2644</v>
          </cell>
          <cell r="I123">
            <v>2644</v>
          </cell>
          <cell r="J123">
            <v>2644</v>
          </cell>
          <cell r="K123">
            <v>2644</v>
          </cell>
        </row>
        <row r="124">
          <cell r="C124" t="str">
            <v>-</v>
          </cell>
          <cell r="D124" t="str">
            <v>Honor Magic 5 Lite 5G</v>
          </cell>
          <cell r="E124">
            <v>622</v>
          </cell>
          <cell r="F124">
            <v>622</v>
          </cell>
          <cell r="G124">
            <v>622</v>
          </cell>
          <cell r="H124">
            <v>622</v>
          </cell>
          <cell r="I124">
            <v>622</v>
          </cell>
          <cell r="J124">
            <v>622</v>
          </cell>
          <cell r="K124">
            <v>622</v>
          </cell>
        </row>
        <row r="125">
          <cell r="C125" t="str">
            <v>-</v>
          </cell>
          <cell r="D125" t="str">
            <v>Honor Magic 5 Lite 5G 256GB</v>
          </cell>
          <cell r="E125">
            <v>644</v>
          </cell>
          <cell r="F125">
            <v>644</v>
          </cell>
          <cell r="G125">
            <v>644</v>
          </cell>
          <cell r="H125">
            <v>644</v>
          </cell>
          <cell r="I125">
            <v>644</v>
          </cell>
          <cell r="J125">
            <v>644</v>
          </cell>
          <cell r="K125">
            <v>644</v>
          </cell>
        </row>
        <row r="126">
          <cell r="C126" t="str">
            <v>-</v>
          </cell>
          <cell r="D126" t="str">
            <v>Vivo V25e</v>
          </cell>
          <cell r="E126">
            <v>977</v>
          </cell>
          <cell r="F126">
            <v>977</v>
          </cell>
          <cell r="G126">
            <v>977</v>
          </cell>
          <cell r="H126">
            <v>977</v>
          </cell>
          <cell r="I126">
            <v>977</v>
          </cell>
          <cell r="J126">
            <v>977</v>
          </cell>
          <cell r="K126">
            <v>977</v>
          </cell>
        </row>
        <row r="127">
          <cell r="C127" t="str">
            <v>-</v>
          </cell>
          <cell r="D127" t="str">
            <v>Oppo A78 256GB</v>
          </cell>
          <cell r="E127">
            <v>544</v>
          </cell>
          <cell r="F127">
            <v>544</v>
          </cell>
          <cell r="G127">
            <v>544</v>
          </cell>
          <cell r="H127">
            <v>544</v>
          </cell>
          <cell r="I127">
            <v>544</v>
          </cell>
          <cell r="J127">
            <v>544</v>
          </cell>
          <cell r="K127">
            <v>544</v>
          </cell>
        </row>
        <row r="128">
          <cell r="C128" t="str">
            <v>Liquidación</v>
          </cell>
          <cell r="D128" t="str">
            <v>Honor 90 Lite 5G</v>
          </cell>
          <cell r="E128">
            <v>577</v>
          </cell>
          <cell r="F128">
            <v>577</v>
          </cell>
          <cell r="G128">
            <v>577</v>
          </cell>
          <cell r="H128">
            <v>577</v>
          </cell>
          <cell r="I128">
            <v>577</v>
          </cell>
          <cell r="J128">
            <v>577</v>
          </cell>
          <cell r="K128">
            <v>577</v>
          </cell>
        </row>
        <row r="129">
          <cell r="C129" t="str">
            <v>-</v>
          </cell>
          <cell r="D129" t="str">
            <v>Apple Iphone 15 Pro 256GB 5G</v>
          </cell>
          <cell r="E129">
            <v>4799</v>
          </cell>
          <cell r="F129">
            <v>4799</v>
          </cell>
          <cell r="G129">
            <v>4799</v>
          </cell>
          <cell r="H129">
            <v>4799</v>
          </cell>
          <cell r="I129">
            <v>4799</v>
          </cell>
          <cell r="J129">
            <v>4799</v>
          </cell>
          <cell r="K129">
            <v>4799</v>
          </cell>
        </row>
        <row r="130">
          <cell r="C130" t="str">
            <v>-</v>
          </cell>
          <cell r="D130" t="str">
            <v>Apple Iphone 16 Pro Max 512GB 5G</v>
          </cell>
          <cell r="E130">
            <v>7355</v>
          </cell>
          <cell r="F130">
            <v>7355</v>
          </cell>
          <cell r="G130">
            <v>7355</v>
          </cell>
          <cell r="H130">
            <v>7355</v>
          </cell>
          <cell r="I130">
            <v>7355</v>
          </cell>
          <cell r="J130">
            <v>7355</v>
          </cell>
          <cell r="K130">
            <v>7355</v>
          </cell>
        </row>
        <row r="131">
          <cell r="C131" t="str">
            <v>Seminuevos</v>
          </cell>
          <cell r="D131" t="str">
            <v>Apple iPhone 12 64GB SN</v>
          </cell>
          <cell r="E131">
            <v>899</v>
          </cell>
          <cell r="F131">
            <v>899</v>
          </cell>
          <cell r="G131">
            <v>899</v>
          </cell>
          <cell r="H131">
            <v>899</v>
          </cell>
          <cell r="I131">
            <v>899</v>
          </cell>
          <cell r="J131">
            <v>899</v>
          </cell>
          <cell r="K131">
            <v>899</v>
          </cell>
        </row>
        <row r="132">
          <cell r="C132" t="str">
            <v>Seminuevos</v>
          </cell>
          <cell r="D132" t="str">
            <v>Apple Iphone 13 128GB SN</v>
          </cell>
          <cell r="E132">
            <v>1344</v>
          </cell>
          <cell r="F132">
            <v>1344</v>
          </cell>
          <cell r="G132">
            <v>1344</v>
          </cell>
          <cell r="H132">
            <v>1344</v>
          </cell>
          <cell r="I132">
            <v>1344</v>
          </cell>
          <cell r="J132">
            <v>1344</v>
          </cell>
          <cell r="K132">
            <v>1344</v>
          </cell>
        </row>
        <row r="133">
          <cell r="C133" t="str">
            <v>Seminuevos</v>
          </cell>
          <cell r="D133" t="str">
            <v>Apple Iphone 13 Mini 128GB SN</v>
          </cell>
          <cell r="E133">
            <v>1133</v>
          </cell>
          <cell r="F133">
            <v>1133</v>
          </cell>
          <cell r="G133">
            <v>1133</v>
          </cell>
          <cell r="H133">
            <v>1133</v>
          </cell>
          <cell r="I133">
            <v>1133</v>
          </cell>
          <cell r="J133">
            <v>1133</v>
          </cell>
          <cell r="K133">
            <v>1133</v>
          </cell>
        </row>
        <row r="134">
          <cell r="C134" t="str">
            <v>Seminuevos</v>
          </cell>
          <cell r="D134" t="str">
            <v>Apple Iphone 13 Pro 256GB SN</v>
          </cell>
          <cell r="E134">
            <v>1922</v>
          </cell>
          <cell r="F134">
            <v>1922</v>
          </cell>
          <cell r="G134">
            <v>1922</v>
          </cell>
          <cell r="H134">
            <v>1922</v>
          </cell>
          <cell r="I134">
            <v>1922</v>
          </cell>
          <cell r="J134">
            <v>1922</v>
          </cell>
          <cell r="K134">
            <v>1922</v>
          </cell>
        </row>
        <row r="135">
          <cell r="C135" t="str">
            <v>Seminuevos</v>
          </cell>
          <cell r="D135" t="str">
            <v>Apple Iphone 13 Pro Max 128GB SN</v>
          </cell>
          <cell r="E135">
            <v>2055</v>
          </cell>
          <cell r="F135">
            <v>2055</v>
          </cell>
          <cell r="G135">
            <v>2055</v>
          </cell>
          <cell r="H135">
            <v>2055</v>
          </cell>
          <cell r="I135">
            <v>2055</v>
          </cell>
          <cell r="J135">
            <v>2055</v>
          </cell>
          <cell r="K135">
            <v>2055</v>
          </cell>
        </row>
        <row r="136">
          <cell r="C136" t="str">
            <v>Seminuevos</v>
          </cell>
          <cell r="D136" t="str">
            <v>Apple Iphone 13 Pro Max 256GB SN</v>
          </cell>
          <cell r="E136">
            <v>2244</v>
          </cell>
          <cell r="F136">
            <v>2244</v>
          </cell>
          <cell r="G136">
            <v>2244</v>
          </cell>
          <cell r="H136">
            <v>2244</v>
          </cell>
          <cell r="I136">
            <v>2244</v>
          </cell>
          <cell r="J136">
            <v>2244</v>
          </cell>
          <cell r="K136">
            <v>2244</v>
          </cell>
        </row>
        <row r="137">
          <cell r="C137" t="str">
            <v>Seminuevos</v>
          </cell>
          <cell r="D137" t="str">
            <v>Apple Iphone 14 128GB SN</v>
          </cell>
          <cell r="E137">
            <v>1666</v>
          </cell>
          <cell r="F137">
            <v>1666</v>
          </cell>
          <cell r="G137">
            <v>1666</v>
          </cell>
          <cell r="H137">
            <v>1666</v>
          </cell>
          <cell r="I137">
            <v>1666</v>
          </cell>
          <cell r="J137">
            <v>1666</v>
          </cell>
          <cell r="K137">
            <v>1666</v>
          </cell>
        </row>
        <row r="138">
          <cell r="C138" t="str">
            <v>Seminuevos</v>
          </cell>
          <cell r="D138" t="str">
            <v>Apple Iphone 14 Plus 128GB SN</v>
          </cell>
          <cell r="E138">
            <v>1988</v>
          </cell>
          <cell r="F138">
            <v>1988</v>
          </cell>
          <cell r="G138">
            <v>1988</v>
          </cell>
          <cell r="H138">
            <v>1988</v>
          </cell>
          <cell r="I138">
            <v>1988</v>
          </cell>
          <cell r="J138">
            <v>1988</v>
          </cell>
          <cell r="K138">
            <v>1988</v>
          </cell>
        </row>
        <row r="139">
          <cell r="C139" t="str">
            <v>Seminuevos</v>
          </cell>
          <cell r="D139" t="str">
            <v>Apple Iphone 14 Plus 256GB SN</v>
          </cell>
          <cell r="E139">
            <v>1855</v>
          </cell>
          <cell r="F139">
            <v>1855</v>
          </cell>
          <cell r="G139">
            <v>1855</v>
          </cell>
          <cell r="H139">
            <v>1855</v>
          </cell>
          <cell r="I139">
            <v>1855</v>
          </cell>
          <cell r="J139">
            <v>1855</v>
          </cell>
          <cell r="K139">
            <v>1855</v>
          </cell>
        </row>
        <row r="140">
          <cell r="C140" t="str">
            <v>Seminuevos</v>
          </cell>
          <cell r="D140" t="str">
            <v>Apple Iphone 14 Pro 128GB SN</v>
          </cell>
          <cell r="E140">
            <v>2177</v>
          </cell>
          <cell r="F140">
            <v>2177</v>
          </cell>
          <cell r="G140">
            <v>2177</v>
          </cell>
          <cell r="H140">
            <v>2177</v>
          </cell>
          <cell r="I140">
            <v>2177</v>
          </cell>
          <cell r="J140">
            <v>2177</v>
          </cell>
          <cell r="K140">
            <v>2177</v>
          </cell>
        </row>
        <row r="141">
          <cell r="C141" t="str">
            <v>Seminuevos</v>
          </cell>
          <cell r="D141" t="str">
            <v>Apple Iphone 14 Pro 256GB SN</v>
          </cell>
          <cell r="E141">
            <v>2366</v>
          </cell>
          <cell r="F141">
            <v>2366</v>
          </cell>
          <cell r="G141">
            <v>2366</v>
          </cell>
          <cell r="H141">
            <v>2366</v>
          </cell>
          <cell r="I141">
            <v>2366</v>
          </cell>
          <cell r="J141">
            <v>2366</v>
          </cell>
          <cell r="K141">
            <v>2366</v>
          </cell>
        </row>
        <row r="142">
          <cell r="C142" t="str">
            <v>Seminuevos</v>
          </cell>
          <cell r="D142" t="str">
            <v>Apple Iphone 14 Pro Max 128GB SN</v>
          </cell>
          <cell r="E142">
            <v>2555</v>
          </cell>
          <cell r="F142">
            <v>2555</v>
          </cell>
          <cell r="G142">
            <v>2555</v>
          </cell>
          <cell r="H142">
            <v>2555</v>
          </cell>
          <cell r="I142">
            <v>2555</v>
          </cell>
          <cell r="J142">
            <v>2555</v>
          </cell>
          <cell r="K142">
            <v>2555</v>
          </cell>
        </row>
        <row r="143">
          <cell r="C143" t="str">
            <v>Seminuevos</v>
          </cell>
          <cell r="D143" t="str">
            <v>Apple Iphone 14 Pro Max 256GB SN</v>
          </cell>
          <cell r="E143">
            <v>2755</v>
          </cell>
          <cell r="F143">
            <v>2755</v>
          </cell>
          <cell r="G143">
            <v>2755</v>
          </cell>
          <cell r="H143">
            <v>2755</v>
          </cell>
          <cell r="I143">
            <v>2755</v>
          </cell>
          <cell r="J143">
            <v>2755</v>
          </cell>
          <cell r="K143">
            <v>2755</v>
          </cell>
        </row>
        <row r="144">
          <cell r="C144" t="str">
            <v>Seminuevos</v>
          </cell>
          <cell r="D144" t="str">
            <v>Samsung Galaxy S20 FE 5G SN</v>
          </cell>
          <cell r="E144">
            <v>510</v>
          </cell>
          <cell r="F144">
            <v>510</v>
          </cell>
          <cell r="G144">
            <v>510</v>
          </cell>
          <cell r="H144">
            <v>510</v>
          </cell>
          <cell r="I144">
            <v>510</v>
          </cell>
          <cell r="J144">
            <v>510</v>
          </cell>
          <cell r="K144">
            <v>510</v>
          </cell>
        </row>
        <row r="145">
          <cell r="C145" t="str">
            <v>Seminuevos</v>
          </cell>
          <cell r="D145" t="str">
            <v>Samsung Galaxy S23 Plus 256GB SN</v>
          </cell>
          <cell r="E145">
            <v>2055</v>
          </cell>
          <cell r="F145">
            <v>2055</v>
          </cell>
          <cell r="G145">
            <v>2055</v>
          </cell>
          <cell r="H145">
            <v>2055</v>
          </cell>
          <cell r="I145">
            <v>2055</v>
          </cell>
          <cell r="J145">
            <v>2055</v>
          </cell>
          <cell r="K145">
            <v>2055</v>
          </cell>
        </row>
        <row r="146">
          <cell r="C146" t="str">
            <v>Liquidación</v>
          </cell>
          <cell r="D146" t="str">
            <v>Oppo Reno 10 256GB 5G</v>
          </cell>
          <cell r="E146">
            <v>666</v>
          </cell>
          <cell r="F146">
            <v>666</v>
          </cell>
          <cell r="G146">
            <v>666</v>
          </cell>
          <cell r="H146">
            <v>666</v>
          </cell>
          <cell r="I146">
            <v>666</v>
          </cell>
          <cell r="J146">
            <v>666</v>
          </cell>
          <cell r="K146">
            <v>666</v>
          </cell>
        </row>
        <row r="147">
          <cell r="C147" t="str">
            <v>-</v>
          </cell>
          <cell r="D147" t="str">
            <v>Oppo A58 256GB</v>
          </cell>
          <cell r="E147">
            <v>555</v>
          </cell>
          <cell r="F147">
            <v>555</v>
          </cell>
          <cell r="G147">
            <v>555</v>
          </cell>
          <cell r="H147">
            <v>555</v>
          </cell>
          <cell r="I147">
            <v>555</v>
          </cell>
          <cell r="J147">
            <v>555</v>
          </cell>
          <cell r="K147">
            <v>555</v>
          </cell>
        </row>
        <row r="148">
          <cell r="C148" t="str">
            <v>-</v>
          </cell>
          <cell r="D148" t="str">
            <v>Xiaomi Redmi 13C 256GB 5G</v>
          </cell>
          <cell r="E148">
            <v>610</v>
          </cell>
          <cell r="F148">
            <v>610</v>
          </cell>
          <cell r="G148">
            <v>610</v>
          </cell>
          <cell r="H148">
            <v>610</v>
          </cell>
          <cell r="I148">
            <v>610</v>
          </cell>
          <cell r="J148">
            <v>610</v>
          </cell>
          <cell r="K148">
            <v>610</v>
          </cell>
        </row>
        <row r="149">
          <cell r="C149" t="str">
            <v>-</v>
          </cell>
          <cell r="D149" t="str">
            <v>Vivo V30 SE 5G</v>
          </cell>
          <cell r="E149">
            <v>777</v>
          </cell>
          <cell r="F149">
            <v>777</v>
          </cell>
          <cell r="G149">
            <v>777</v>
          </cell>
          <cell r="H149">
            <v>777</v>
          </cell>
          <cell r="I149">
            <v>777</v>
          </cell>
          <cell r="J149">
            <v>777</v>
          </cell>
          <cell r="K149">
            <v>777</v>
          </cell>
        </row>
        <row r="150">
          <cell r="C150" t="str">
            <v>-</v>
          </cell>
          <cell r="D150" t="str">
            <v>Samsung Galaxy S23 Ultra 512GB</v>
          </cell>
          <cell r="E150">
            <v>4699</v>
          </cell>
          <cell r="F150">
            <v>4699</v>
          </cell>
          <cell r="G150">
            <v>4699</v>
          </cell>
          <cell r="H150">
            <v>4699</v>
          </cell>
          <cell r="I150">
            <v>4699</v>
          </cell>
          <cell r="J150">
            <v>4699</v>
          </cell>
          <cell r="K150">
            <v>4699</v>
          </cell>
        </row>
        <row r="151">
          <cell r="C151" t="str">
            <v>Seminuevos</v>
          </cell>
          <cell r="D151" t="str">
            <v>Apple Iphone SE 2022 128GB SN</v>
          </cell>
          <cell r="E151">
            <v>555</v>
          </cell>
          <cell r="F151">
            <v>555</v>
          </cell>
          <cell r="G151">
            <v>555</v>
          </cell>
          <cell r="H151">
            <v>555</v>
          </cell>
          <cell r="I151">
            <v>555</v>
          </cell>
          <cell r="J151">
            <v>555</v>
          </cell>
          <cell r="K151">
            <v>555</v>
          </cell>
        </row>
        <row r="152">
          <cell r="C152" t="str">
            <v>Seminuevos</v>
          </cell>
          <cell r="D152" t="str">
            <v>Apple Iphone SE 2022 64GB SN</v>
          </cell>
          <cell r="E152">
            <v>444</v>
          </cell>
          <cell r="F152">
            <v>444</v>
          </cell>
          <cell r="G152">
            <v>444</v>
          </cell>
          <cell r="H152">
            <v>444</v>
          </cell>
          <cell r="I152">
            <v>444</v>
          </cell>
          <cell r="J152">
            <v>444</v>
          </cell>
          <cell r="K152">
            <v>444</v>
          </cell>
        </row>
        <row r="153">
          <cell r="C153" t="str">
            <v>-</v>
          </cell>
          <cell r="D153" t="str">
            <v>Apple iPhone 11 64GB</v>
          </cell>
          <cell r="E153">
            <v>988</v>
          </cell>
          <cell r="F153">
            <v>988</v>
          </cell>
          <cell r="G153">
            <v>988</v>
          </cell>
          <cell r="H153">
            <v>988</v>
          </cell>
          <cell r="I153">
            <v>988</v>
          </cell>
          <cell r="J153">
            <v>988</v>
          </cell>
          <cell r="K153">
            <v>988</v>
          </cell>
        </row>
        <row r="154">
          <cell r="C154" t="str">
            <v>-</v>
          </cell>
          <cell r="D154" t="str">
            <v>PCK APLIPH11BK64GB INC AIRPOD</v>
          </cell>
          <cell r="E154">
            <v>1547</v>
          </cell>
          <cell r="F154">
            <v>1547</v>
          </cell>
          <cell r="G154">
            <v>1547</v>
          </cell>
          <cell r="H154">
            <v>1547</v>
          </cell>
          <cell r="I154">
            <v>1547</v>
          </cell>
          <cell r="J154">
            <v>1547</v>
          </cell>
          <cell r="K154">
            <v>1547</v>
          </cell>
        </row>
        <row r="155">
          <cell r="C155" t="str">
            <v>-</v>
          </cell>
          <cell r="D155" t="str">
            <v>Samsung Galaxy S23 Ultra 256GB</v>
          </cell>
          <cell r="E155">
            <v>2477</v>
          </cell>
          <cell r="F155">
            <v>2477</v>
          </cell>
          <cell r="G155">
            <v>2477</v>
          </cell>
          <cell r="H155">
            <v>2477</v>
          </cell>
          <cell r="I155">
            <v>2477</v>
          </cell>
          <cell r="J155">
            <v>2477</v>
          </cell>
          <cell r="K155">
            <v>2477</v>
          </cell>
        </row>
        <row r="156">
          <cell r="C156" t="str">
            <v>-</v>
          </cell>
          <cell r="D156" t="str">
            <v>Zte Blade A53 Plus</v>
          </cell>
          <cell r="E156">
            <v>199</v>
          </cell>
          <cell r="F156">
            <v>199</v>
          </cell>
          <cell r="G156">
            <v>199</v>
          </cell>
          <cell r="H156">
            <v>199</v>
          </cell>
          <cell r="I156">
            <v>199</v>
          </cell>
          <cell r="J156">
            <v>199</v>
          </cell>
          <cell r="K156">
            <v>199</v>
          </cell>
        </row>
        <row r="157">
          <cell r="C157" t="str">
            <v>-</v>
          </cell>
          <cell r="D157" t="str">
            <v>Samsung Galaxy A14 5G</v>
          </cell>
          <cell r="E157">
            <v>366</v>
          </cell>
          <cell r="F157">
            <v>366</v>
          </cell>
          <cell r="G157">
            <v>366</v>
          </cell>
          <cell r="H157">
            <v>366</v>
          </cell>
          <cell r="I157">
            <v>366</v>
          </cell>
          <cell r="J157">
            <v>366</v>
          </cell>
          <cell r="K157">
            <v>366</v>
          </cell>
        </row>
        <row r="158">
          <cell r="C158" t="str">
            <v>-</v>
          </cell>
          <cell r="D158" t="str">
            <v>Motorola Moto Edge 40 5G</v>
          </cell>
          <cell r="E158">
            <v>1110</v>
          </cell>
          <cell r="F158">
            <v>1110</v>
          </cell>
          <cell r="G158">
            <v>1110</v>
          </cell>
          <cell r="H158">
            <v>1110</v>
          </cell>
          <cell r="I158">
            <v>1110</v>
          </cell>
          <cell r="J158">
            <v>1110</v>
          </cell>
          <cell r="K158">
            <v>1110</v>
          </cell>
        </row>
        <row r="159">
          <cell r="C159" t="str">
            <v>-</v>
          </cell>
          <cell r="D159" t="str">
            <v>Motorola Moto G04</v>
          </cell>
          <cell r="E159">
            <v>333</v>
          </cell>
          <cell r="F159">
            <v>333</v>
          </cell>
          <cell r="G159">
            <v>333</v>
          </cell>
          <cell r="H159">
            <v>333</v>
          </cell>
          <cell r="I159">
            <v>333</v>
          </cell>
          <cell r="J159">
            <v>333</v>
          </cell>
          <cell r="K159">
            <v>333</v>
          </cell>
        </row>
        <row r="160">
          <cell r="C160" t="str">
            <v>-</v>
          </cell>
          <cell r="D160" t="str">
            <v>Xiaomi Redmi 12 128GB 5G</v>
          </cell>
          <cell r="E160">
            <v>422</v>
          </cell>
          <cell r="F160">
            <v>422</v>
          </cell>
          <cell r="G160">
            <v>422</v>
          </cell>
          <cell r="H160">
            <v>422</v>
          </cell>
          <cell r="I160">
            <v>422</v>
          </cell>
          <cell r="J160">
            <v>422</v>
          </cell>
          <cell r="K160">
            <v>422</v>
          </cell>
        </row>
        <row r="161">
          <cell r="C161" t="str">
            <v>-</v>
          </cell>
          <cell r="D161" t="str">
            <v>Oppo Reno 7 256GB</v>
          </cell>
          <cell r="E161">
            <v>788</v>
          </cell>
          <cell r="F161">
            <v>788</v>
          </cell>
          <cell r="G161">
            <v>788</v>
          </cell>
          <cell r="H161">
            <v>788</v>
          </cell>
          <cell r="I161">
            <v>788</v>
          </cell>
          <cell r="J161">
            <v>788</v>
          </cell>
          <cell r="K161">
            <v>788</v>
          </cell>
        </row>
        <row r="162">
          <cell r="C162" t="str">
            <v>-</v>
          </cell>
          <cell r="D162" t="str">
            <v>Samsung Galaxy A24</v>
          </cell>
          <cell r="E162">
            <v>555</v>
          </cell>
          <cell r="F162">
            <v>555</v>
          </cell>
          <cell r="G162">
            <v>555</v>
          </cell>
          <cell r="H162">
            <v>555</v>
          </cell>
          <cell r="I162">
            <v>555</v>
          </cell>
          <cell r="J162">
            <v>555</v>
          </cell>
          <cell r="K162">
            <v>555</v>
          </cell>
        </row>
        <row r="163">
          <cell r="C163" t="str">
            <v>-</v>
          </cell>
          <cell r="D163" t="str">
            <v>ZTE Redmagic 8S Pro 5G</v>
          </cell>
          <cell r="E163">
            <v>1444</v>
          </cell>
          <cell r="F163">
            <v>1444</v>
          </cell>
          <cell r="G163">
            <v>1444</v>
          </cell>
          <cell r="H163">
            <v>1444</v>
          </cell>
          <cell r="I163">
            <v>1444</v>
          </cell>
          <cell r="J163">
            <v>1444</v>
          </cell>
          <cell r="K163">
            <v>1444</v>
          </cell>
        </row>
        <row r="164">
          <cell r="C164" t="str">
            <v>-</v>
          </cell>
          <cell r="D164" t="str">
            <v>Motorola Moto G84 256GB 5G</v>
          </cell>
          <cell r="E164">
            <v>588</v>
          </cell>
          <cell r="F164">
            <v>588</v>
          </cell>
          <cell r="G164">
            <v>588</v>
          </cell>
          <cell r="H164">
            <v>588</v>
          </cell>
          <cell r="I164">
            <v>588</v>
          </cell>
          <cell r="J164">
            <v>588</v>
          </cell>
          <cell r="K164">
            <v>588</v>
          </cell>
        </row>
        <row r="165">
          <cell r="C165" t="str">
            <v>-</v>
          </cell>
          <cell r="D165" t="str">
            <v>Samsung Galaxy A05 64GB</v>
          </cell>
          <cell r="E165">
            <v>288</v>
          </cell>
          <cell r="F165">
            <v>288</v>
          </cell>
          <cell r="G165">
            <v>288</v>
          </cell>
          <cell r="H165">
            <v>288</v>
          </cell>
          <cell r="I165">
            <v>288</v>
          </cell>
          <cell r="J165">
            <v>288</v>
          </cell>
          <cell r="K165">
            <v>288</v>
          </cell>
        </row>
        <row r="166">
          <cell r="C166" t="str">
            <v>-</v>
          </cell>
          <cell r="D166" t="str">
            <v>Honor X6A Plus</v>
          </cell>
          <cell r="E166">
            <v>366</v>
          </cell>
          <cell r="F166">
            <v>366</v>
          </cell>
          <cell r="G166">
            <v>366</v>
          </cell>
          <cell r="H166">
            <v>366</v>
          </cell>
          <cell r="I166">
            <v>366</v>
          </cell>
          <cell r="J166">
            <v>366</v>
          </cell>
          <cell r="K166">
            <v>366</v>
          </cell>
        </row>
        <row r="167">
          <cell r="C167" t="str">
            <v>-</v>
          </cell>
          <cell r="D167" t="str">
            <v>PK APLIPH13MDK INC CARG20WUSBC</v>
          </cell>
          <cell r="E167">
            <v>1566</v>
          </cell>
          <cell r="F167">
            <v>1566</v>
          </cell>
          <cell r="G167">
            <v>1566</v>
          </cell>
          <cell r="H167">
            <v>1566</v>
          </cell>
          <cell r="I167">
            <v>1566</v>
          </cell>
          <cell r="J167">
            <v>1566</v>
          </cell>
          <cell r="K167">
            <v>1566</v>
          </cell>
        </row>
        <row r="168">
          <cell r="C168" t="str">
            <v>-</v>
          </cell>
          <cell r="D168" t="str">
            <v>Zte Redmagic 9 Pro 5G</v>
          </cell>
          <cell r="E168">
            <v>3610</v>
          </cell>
          <cell r="F168">
            <v>3610</v>
          </cell>
          <cell r="G168">
            <v>3610</v>
          </cell>
          <cell r="H168">
            <v>3610</v>
          </cell>
          <cell r="I168">
            <v>3610</v>
          </cell>
          <cell r="J168">
            <v>3610</v>
          </cell>
          <cell r="K168">
            <v>3610</v>
          </cell>
        </row>
        <row r="169">
          <cell r="C169" t="str">
            <v>-</v>
          </cell>
          <cell r="D169" t="str">
            <v>Samsung Galaxy A15 128GB 5G</v>
          </cell>
          <cell r="E169">
            <v>388</v>
          </cell>
          <cell r="F169">
            <v>388</v>
          </cell>
          <cell r="G169">
            <v>388</v>
          </cell>
          <cell r="H169">
            <v>388</v>
          </cell>
          <cell r="I169">
            <v>388</v>
          </cell>
          <cell r="J169">
            <v>388</v>
          </cell>
          <cell r="K169">
            <v>388</v>
          </cell>
        </row>
        <row r="170">
          <cell r="C170" t="str">
            <v>-</v>
          </cell>
          <cell r="D170" t="str">
            <v>Samsung Galaxy Z Fold 4 512GB</v>
          </cell>
          <cell r="E170">
            <v>3888</v>
          </cell>
          <cell r="F170">
            <v>3888</v>
          </cell>
          <cell r="G170">
            <v>3888</v>
          </cell>
          <cell r="H170">
            <v>3888</v>
          </cell>
          <cell r="I170">
            <v>3888</v>
          </cell>
          <cell r="J170">
            <v>3888</v>
          </cell>
          <cell r="K170">
            <v>3888</v>
          </cell>
        </row>
        <row r="171">
          <cell r="C171" t="str">
            <v>-</v>
          </cell>
          <cell r="D171" t="str">
            <v>Samsung Galaxy Z Fold 5 256GB 5G</v>
          </cell>
          <cell r="E171">
            <v>3333</v>
          </cell>
          <cell r="F171">
            <v>3333</v>
          </cell>
          <cell r="G171">
            <v>3333</v>
          </cell>
          <cell r="H171">
            <v>3333</v>
          </cell>
          <cell r="I171">
            <v>3333</v>
          </cell>
          <cell r="J171">
            <v>3333</v>
          </cell>
          <cell r="K171">
            <v>3333</v>
          </cell>
        </row>
        <row r="172">
          <cell r="C172" t="str">
            <v>-</v>
          </cell>
          <cell r="D172" t="str">
            <v>Honor 90 5G</v>
          </cell>
          <cell r="E172">
            <v>1066</v>
          </cell>
          <cell r="F172">
            <v>1066</v>
          </cell>
          <cell r="G172">
            <v>1066</v>
          </cell>
          <cell r="H172">
            <v>1066</v>
          </cell>
          <cell r="I172">
            <v>1066</v>
          </cell>
          <cell r="J172">
            <v>1066</v>
          </cell>
          <cell r="K172">
            <v>1066</v>
          </cell>
        </row>
        <row r="173">
          <cell r="C173" t="str">
            <v>-</v>
          </cell>
          <cell r="D173" t="str">
            <v>PK HONOR905G ZFRL X3LJBLSPK</v>
          </cell>
          <cell r="E173">
            <v>1165</v>
          </cell>
          <cell r="F173">
            <v>1165</v>
          </cell>
          <cell r="G173">
            <v>1165</v>
          </cell>
          <cell r="H173">
            <v>1165</v>
          </cell>
          <cell r="I173">
            <v>1165</v>
          </cell>
          <cell r="J173">
            <v>1165</v>
          </cell>
          <cell r="K173">
            <v>1165</v>
          </cell>
        </row>
        <row r="174">
          <cell r="C174" t="str">
            <v>-</v>
          </cell>
          <cell r="D174" t="str">
            <v>Honor X6A</v>
          </cell>
          <cell r="E174">
            <v>310</v>
          </cell>
          <cell r="F174">
            <v>310</v>
          </cell>
          <cell r="G174">
            <v>310</v>
          </cell>
          <cell r="H174">
            <v>310</v>
          </cell>
          <cell r="I174">
            <v>310</v>
          </cell>
          <cell r="J174">
            <v>310</v>
          </cell>
          <cell r="K174">
            <v>310</v>
          </cell>
        </row>
        <row r="175">
          <cell r="C175" t="str">
            <v>-</v>
          </cell>
          <cell r="D175" t="str">
            <v>Motorola Moto G04s</v>
          </cell>
          <cell r="E175">
            <v>333</v>
          </cell>
          <cell r="F175">
            <v>333</v>
          </cell>
          <cell r="G175">
            <v>333</v>
          </cell>
          <cell r="H175">
            <v>333</v>
          </cell>
          <cell r="I175">
            <v>333</v>
          </cell>
          <cell r="J175">
            <v>333</v>
          </cell>
          <cell r="K175">
            <v>333</v>
          </cell>
        </row>
        <row r="176">
          <cell r="C176" t="str">
            <v>-</v>
          </cell>
          <cell r="D176" t="str">
            <v>Samsung Galaxy S23 FE 5G</v>
          </cell>
          <cell r="E176">
            <v>1422</v>
          </cell>
          <cell r="F176">
            <v>1422</v>
          </cell>
          <cell r="G176">
            <v>1422</v>
          </cell>
          <cell r="H176">
            <v>1422</v>
          </cell>
          <cell r="I176">
            <v>1422</v>
          </cell>
          <cell r="J176">
            <v>1422</v>
          </cell>
          <cell r="K176">
            <v>1422</v>
          </cell>
        </row>
        <row r="177">
          <cell r="C177" t="str">
            <v>-</v>
          </cell>
          <cell r="D177" t="str">
            <v>Motorola Moto G54 256GB 5G</v>
          </cell>
          <cell r="E177">
            <v>555</v>
          </cell>
          <cell r="F177">
            <v>555</v>
          </cell>
          <cell r="G177">
            <v>555</v>
          </cell>
          <cell r="H177">
            <v>555</v>
          </cell>
          <cell r="I177">
            <v>555</v>
          </cell>
          <cell r="J177">
            <v>555</v>
          </cell>
          <cell r="K177">
            <v>555</v>
          </cell>
        </row>
        <row r="178">
          <cell r="C178" t="str">
            <v>-</v>
          </cell>
          <cell r="D178" t="str">
            <v>Oppo Reno 11 5G</v>
          </cell>
          <cell r="E178">
            <v>888</v>
          </cell>
          <cell r="F178">
            <v>888</v>
          </cell>
          <cell r="G178">
            <v>888</v>
          </cell>
          <cell r="H178">
            <v>888</v>
          </cell>
          <cell r="I178">
            <v>888</v>
          </cell>
          <cell r="J178">
            <v>888</v>
          </cell>
          <cell r="K178">
            <v>888</v>
          </cell>
        </row>
        <row r="179">
          <cell r="C179" t="str">
            <v>Seminuevos</v>
          </cell>
          <cell r="D179" t="str">
            <v>Apple Iphone 11 64GB SN</v>
          </cell>
          <cell r="E179">
            <v>555</v>
          </cell>
          <cell r="F179">
            <v>555</v>
          </cell>
          <cell r="G179">
            <v>555</v>
          </cell>
          <cell r="H179">
            <v>555</v>
          </cell>
          <cell r="I179">
            <v>555</v>
          </cell>
          <cell r="J179">
            <v>555</v>
          </cell>
          <cell r="K179">
            <v>555</v>
          </cell>
        </row>
        <row r="180">
          <cell r="C180" t="str">
            <v>Seminuevos</v>
          </cell>
          <cell r="D180" t="str">
            <v>Apple iPhone 12 128GB SN</v>
          </cell>
          <cell r="E180">
            <v>999</v>
          </cell>
          <cell r="F180">
            <v>999</v>
          </cell>
          <cell r="G180">
            <v>999</v>
          </cell>
          <cell r="H180">
            <v>999</v>
          </cell>
          <cell r="I180">
            <v>999</v>
          </cell>
          <cell r="J180">
            <v>999</v>
          </cell>
          <cell r="K180">
            <v>999</v>
          </cell>
        </row>
        <row r="181">
          <cell r="C181" t="str">
            <v>Seminuevos</v>
          </cell>
          <cell r="D181" t="str">
            <v>Samsung Galaxy A53 5G SN</v>
          </cell>
          <cell r="E181">
            <v>555</v>
          </cell>
          <cell r="F181">
            <v>555</v>
          </cell>
          <cell r="G181">
            <v>555</v>
          </cell>
          <cell r="H181">
            <v>555</v>
          </cell>
          <cell r="I181">
            <v>555</v>
          </cell>
          <cell r="J181">
            <v>555</v>
          </cell>
          <cell r="K181">
            <v>555</v>
          </cell>
        </row>
        <row r="182">
          <cell r="C182" t="str">
            <v>-</v>
          </cell>
          <cell r="D182" t="str">
            <v>Oppo Reno 12F 5G</v>
          </cell>
          <cell r="E182">
            <v>1333</v>
          </cell>
          <cell r="F182">
            <v>1333</v>
          </cell>
          <cell r="G182">
            <v>1333</v>
          </cell>
          <cell r="H182">
            <v>1333</v>
          </cell>
          <cell r="I182">
            <v>1333</v>
          </cell>
          <cell r="J182">
            <v>1333</v>
          </cell>
          <cell r="K182">
            <v>1333</v>
          </cell>
        </row>
        <row r="183">
          <cell r="C183" t="str">
            <v>Liquidación</v>
          </cell>
          <cell r="D183" t="str">
            <v>Apple Iphone 15 Plus 128GB 5G</v>
          </cell>
          <cell r="E183">
            <v>3366</v>
          </cell>
          <cell r="F183">
            <v>3366</v>
          </cell>
          <cell r="G183">
            <v>3366</v>
          </cell>
          <cell r="H183">
            <v>3366</v>
          </cell>
          <cell r="I183">
            <v>3366</v>
          </cell>
          <cell r="J183">
            <v>3366</v>
          </cell>
          <cell r="K183">
            <v>3366</v>
          </cell>
        </row>
        <row r="184">
          <cell r="C184" t="str">
            <v>-</v>
          </cell>
          <cell r="D184" t="str">
            <v>Samsung Galaxy A55 5G</v>
          </cell>
          <cell r="E184">
            <v>1133</v>
          </cell>
          <cell r="F184">
            <v>1133</v>
          </cell>
          <cell r="G184">
            <v>1133</v>
          </cell>
          <cell r="H184">
            <v>1133</v>
          </cell>
          <cell r="I184">
            <v>1133</v>
          </cell>
          <cell r="J184">
            <v>1133</v>
          </cell>
          <cell r="K184">
            <v>1133</v>
          </cell>
        </row>
        <row r="185">
          <cell r="C185" t="str">
            <v>-</v>
          </cell>
          <cell r="D185" t="str">
            <v>Apple iPhone 11 128GB</v>
          </cell>
          <cell r="E185">
            <v>1110</v>
          </cell>
          <cell r="F185">
            <v>1110</v>
          </cell>
          <cell r="G185">
            <v>1110</v>
          </cell>
          <cell r="H185">
            <v>1110</v>
          </cell>
          <cell r="I185">
            <v>1110</v>
          </cell>
          <cell r="J185">
            <v>1110</v>
          </cell>
          <cell r="K185">
            <v>1110</v>
          </cell>
        </row>
        <row r="186">
          <cell r="C186" t="str">
            <v>-</v>
          </cell>
          <cell r="D186" t="str">
            <v>Apple Iphone 15 Pro Max 256GB 5G</v>
          </cell>
          <cell r="E186">
            <v>3444</v>
          </cell>
          <cell r="F186">
            <v>3444</v>
          </cell>
          <cell r="G186">
            <v>3444</v>
          </cell>
          <cell r="H186">
            <v>3444</v>
          </cell>
          <cell r="I186">
            <v>3444</v>
          </cell>
          <cell r="J186">
            <v>3444</v>
          </cell>
          <cell r="K186">
            <v>3444</v>
          </cell>
        </row>
        <row r="187">
          <cell r="C187" t="str">
            <v>-</v>
          </cell>
          <cell r="D187" t="str">
            <v>Honor 200 Lite 256GB 5G</v>
          </cell>
          <cell r="E187">
            <v>710</v>
          </cell>
          <cell r="F187">
            <v>710</v>
          </cell>
          <cell r="G187">
            <v>710</v>
          </cell>
          <cell r="H187">
            <v>710</v>
          </cell>
          <cell r="I187">
            <v>710</v>
          </cell>
          <cell r="J187">
            <v>710</v>
          </cell>
          <cell r="K187">
            <v>710</v>
          </cell>
        </row>
        <row r="188">
          <cell r="C188" t="str">
            <v>-</v>
          </cell>
          <cell r="D188" t="str">
            <v>Honor X7B</v>
          </cell>
          <cell r="E188">
            <v>377</v>
          </cell>
          <cell r="F188">
            <v>377</v>
          </cell>
          <cell r="G188">
            <v>377</v>
          </cell>
          <cell r="H188">
            <v>377</v>
          </cell>
          <cell r="I188">
            <v>377</v>
          </cell>
          <cell r="J188">
            <v>377</v>
          </cell>
          <cell r="K188">
            <v>377</v>
          </cell>
        </row>
        <row r="189">
          <cell r="C189" t="str">
            <v>-</v>
          </cell>
          <cell r="D189" t="str">
            <v>Honor X8B</v>
          </cell>
          <cell r="E189">
            <v>577</v>
          </cell>
          <cell r="F189">
            <v>577</v>
          </cell>
          <cell r="G189">
            <v>577</v>
          </cell>
          <cell r="H189">
            <v>577</v>
          </cell>
          <cell r="I189">
            <v>577</v>
          </cell>
          <cell r="J189">
            <v>577</v>
          </cell>
          <cell r="K189">
            <v>577</v>
          </cell>
        </row>
        <row r="190">
          <cell r="C190" t="str">
            <v>-</v>
          </cell>
          <cell r="D190" t="str">
            <v>Oppo A38 128GB</v>
          </cell>
          <cell r="E190">
            <v>299</v>
          </cell>
          <cell r="F190">
            <v>299</v>
          </cell>
          <cell r="G190">
            <v>299</v>
          </cell>
          <cell r="H190">
            <v>299</v>
          </cell>
          <cell r="I190">
            <v>299</v>
          </cell>
          <cell r="J190">
            <v>299</v>
          </cell>
          <cell r="K190">
            <v>299</v>
          </cell>
        </row>
        <row r="191">
          <cell r="C191" t="str">
            <v>-</v>
          </cell>
          <cell r="D191" t="str">
            <v>Oppo Reno 11F 5G</v>
          </cell>
          <cell r="E191">
            <v>666</v>
          </cell>
          <cell r="F191">
            <v>666</v>
          </cell>
          <cell r="G191">
            <v>666</v>
          </cell>
          <cell r="H191">
            <v>666</v>
          </cell>
          <cell r="I191">
            <v>666</v>
          </cell>
          <cell r="J191">
            <v>666</v>
          </cell>
          <cell r="K191">
            <v>666</v>
          </cell>
        </row>
        <row r="192">
          <cell r="C192" t="str">
            <v>-</v>
          </cell>
          <cell r="D192" t="str">
            <v>Samsung Galaxy A05s</v>
          </cell>
          <cell r="E192">
            <v>255</v>
          </cell>
          <cell r="F192">
            <v>255</v>
          </cell>
          <cell r="G192">
            <v>255</v>
          </cell>
          <cell r="H192">
            <v>255</v>
          </cell>
          <cell r="I192">
            <v>255</v>
          </cell>
          <cell r="J192">
            <v>255</v>
          </cell>
          <cell r="K192">
            <v>255</v>
          </cell>
        </row>
        <row r="193">
          <cell r="C193" t="str">
            <v>-</v>
          </cell>
          <cell r="D193" t="str">
            <v>Samsung Galaxy A15 256GB</v>
          </cell>
          <cell r="E193">
            <v>377</v>
          </cell>
          <cell r="F193">
            <v>377</v>
          </cell>
          <cell r="G193">
            <v>377</v>
          </cell>
          <cell r="H193">
            <v>377</v>
          </cell>
          <cell r="I193">
            <v>377</v>
          </cell>
          <cell r="J193">
            <v>377</v>
          </cell>
          <cell r="K193">
            <v>377</v>
          </cell>
        </row>
        <row r="194">
          <cell r="C194" t="str">
            <v>-</v>
          </cell>
          <cell r="D194" t="str">
            <v>Samsung Galaxy S24 Ultra 512GB 5G</v>
          </cell>
          <cell r="E194">
            <v>2388</v>
          </cell>
          <cell r="F194">
            <v>2388</v>
          </cell>
          <cell r="G194">
            <v>2388</v>
          </cell>
          <cell r="H194">
            <v>2388</v>
          </cell>
          <cell r="I194">
            <v>2388</v>
          </cell>
          <cell r="J194">
            <v>2388</v>
          </cell>
          <cell r="K194">
            <v>2388</v>
          </cell>
        </row>
        <row r="195">
          <cell r="C195" t="str">
            <v>-</v>
          </cell>
          <cell r="D195" t="str">
            <v>PK SGLXYS24ULT 512GB BK WATCH4</v>
          </cell>
          <cell r="E195">
            <v>2498</v>
          </cell>
          <cell r="F195">
            <v>2498</v>
          </cell>
          <cell r="G195">
            <v>2498</v>
          </cell>
          <cell r="H195">
            <v>2498</v>
          </cell>
          <cell r="I195">
            <v>2498</v>
          </cell>
          <cell r="J195">
            <v>2498</v>
          </cell>
          <cell r="K195">
            <v>2498</v>
          </cell>
        </row>
        <row r="196">
          <cell r="C196" t="str">
            <v>-</v>
          </cell>
          <cell r="D196" t="str">
            <v>Vivo Y28s 256GB 5G</v>
          </cell>
          <cell r="E196">
            <v>633</v>
          </cell>
          <cell r="F196">
            <v>633</v>
          </cell>
          <cell r="G196">
            <v>633</v>
          </cell>
          <cell r="H196">
            <v>633</v>
          </cell>
          <cell r="I196">
            <v>633</v>
          </cell>
          <cell r="J196">
            <v>633</v>
          </cell>
          <cell r="K196">
            <v>633</v>
          </cell>
        </row>
        <row r="197">
          <cell r="C197" t="str">
            <v>-</v>
          </cell>
          <cell r="D197" t="str">
            <v>Xiaomi Redmi Note 13</v>
          </cell>
          <cell r="E197">
            <v>388</v>
          </cell>
          <cell r="F197">
            <v>388</v>
          </cell>
          <cell r="G197">
            <v>388</v>
          </cell>
          <cell r="H197">
            <v>388</v>
          </cell>
          <cell r="I197">
            <v>388</v>
          </cell>
          <cell r="J197">
            <v>388</v>
          </cell>
          <cell r="K197">
            <v>388</v>
          </cell>
        </row>
        <row r="198">
          <cell r="C198" t="str">
            <v>-</v>
          </cell>
          <cell r="D198" t="str">
            <v>Xiaomi Redmi Note 13 Pro</v>
          </cell>
          <cell r="E198">
            <v>677</v>
          </cell>
          <cell r="F198">
            <v>677</v>
          </cell>
          <cell r="G198">
            <v>677</v>
          </cell>
          <cell r="H198">
            <v>677</v>
          </cell>
          <cell r="I198">
            <v>677</v>
          </cell>
          <cell r="J198">
            <v>677</v>
          </cell>
          <cell r="K198">
            <v>677</v>
          </cell>
        </row>
        <row r="199">
          <cell r="C199" t="str">
            <v>-</v>
          </cell>
          <cell r="D199" t="str">
            <v>Samsung Galaxy S24 256GB 5G</v>
          </cell>
          <cell r="E199">
            <v>2944</v>
          </cell>
          <cell r="F199">
            <v>2944</v>
          </cell>
          <cell r="G199">
            <v>2944</v>
          </cell>
          <cell r="H199">
            <v>2944</v>
          </cell>
          <cell r="I199">
            <v>2944</v>
          </cell>
          <cell r="J199">
            <v>2944</v>
          </cell>
          <cell r="K199">
            <v>2944</v>
          </cell>
        </row>
        <row r="200">
          <cell r="C200" t="str">
            <v>-</v>
          </cell>
          <cell r="D200" t="str">
            <v>PK SGLXY S24 256GB BK WATCH4</v>
          </cell>
          <cell r="E200">
            <v>3054</v>
          </cell>
          <cell r="F200">
            <v>3054</v>
          </cell>
          <cell r="G200">
            <v>3054</v>
          </cell>
          <cell r="H200">
            <v>3054</v>
          </cell>
          <cell r="I200">
            <v>3054</v>
          </cell>
          <cell r="J200">
            <v>3054</v>
          </cell>
          <cell r="K200">
            <v>3054</v>
          </cell>
        </row>
        <row r="201">
          <cell r="C201" t="str">
            <v>-</v>
          </cell>
          <cell r="D201" t="str">
            <v>Samsung Galaxy S24 Plus 512GB 5G</v>
          </cell>
          <cell r="E201">
            <v>2633</v>
          </cell>
          <cell r="F201">
            <v>2633</v>
          </cell>
          <cell r="G201">
            <v>2633</v>
          </cell>
          <cell r="H201">
            <v>2633</v>
          </cell>
          <cell r="I201">
            <v>2633</v>
          </cell>
          <cell r="J201">
            <v>2633</v>
          </cell>
          <cell r="K201">
            <v>2633</v>
          </cell>
        </row>
        <row r="202">
          <cell r="C202" t="str">
            <v>-</v>
          </cell>
          <cell r="D202" t="str">
            <v>PK SGLXYS24PL 512GB BK WATCH4</v>
          </cell>
          <cell r="E202">
            <v>2743</v>
          </cell>
          <cell r="F202">
            <v>2743</v>
          </cell>
          <cell r="G202">
            <v>2743</v>
          </cell>
          <cell r="H202">
            <v>2743</v>
          </cell>
          <cell r="I202">
            <v>2743</v>
          </cell>
          <cell r="J202">
            <v>2743</v>
          </cell>
          <cell r="K202">
            <v>2743</v>
          </cell>
        </row>
        <row r="203">
          <cell r="C203" t="str">
            <v>-</v>
          </cell>
          <cell r="D203" t="str">
            <v>Xiaomi Redmi Note 13 Pro Plus 5G</v>
          </cell>
          <cell r="E203">
            <v>910</v>
          </cell>
          <cell r="F203">
            <v>910</v>
          </cell>
          <cell r="G203">
            <v>910</v>
          </cell>
          <cell r="H203">
            <v>910</v>
          </cell>
          <cell r="I203">
            <v>910</v>
          </cell>
          <cell r="J203">
            <v>910</v>
          </cell>
          <cell r="K203">
            <v>910</v>
          </cell>
        </row>
        <row r="204">
          <cell r="C204" t="str">
            <v>Liquidación</v>
          </cell>
          <cell r="D204" t="str">
            <v>Xiaomi 14 Ultra 5G</v>
          </cell>
          <cell r="E204">
            <v>3333</v>
          </cell>
          <cell r="F204">
            <v>3333</v>
          </cell>
          <cell r="G204">
            <v>3333</v>
          </cell>
          <cell r="H204">
            <v>3333</v>
          </cell>
          <cell r="I204">
            <v>3333</v>
          </cell>
          <cell r="J204">
            <v>3333</v>
          </cell>
          <cell r="K204">
            <v>3333</v>
          </cell>
        </row>
        <row r="205">
          <cell r="C205" t="str">
            <v>-</v>
          </cell>
          <cell r="D205" t="str">
            <v>Xiaomi Redmi 13C</v>
          </cell>
          <cell r="E205">
            <v>399</v>
          </cell>
          <cell r="F205">
            <v>399</v>
          </cell>
          <cell r="G205">
            <v>399</v>
          </cell>
          <cell r="H205">
            <v>399</v>
          </cell>
          <cell r="I205">
            <v>399</v>
          </cell>
          <cell r="J205">
            <v>399</v>
          </cell>
          <cell r="K205">
            <v>399</v>
          </cell>
        </row>
        <row r="206">
          <cell r="C206" t="str">
            <v>-</v>
          </cell>
          <cell r="D206" t="str">
            <v>ZTE Blade A54</v>
          </cell>
          <cell r="E206">
            <v>310</v>
          </cell>
          <cell r="F206">
            <v>310</v>
          </cell>
          <cell r="G206">
            <v>310</v>
          </cell>
          <cell r="H206">
            <v>310</v>
          </cell>
          <cell r="I206">
            <v>310</v>
          </cell>
          <cell r="J206">
            <v>310</v>
          </cell>
          <cell r="K206">
            <v>310</v>
          </cell>
        </row>
        <row r="207">
          <cell r="C207" t="str">
            <v>-</v>
          </cell>
          <cell r="D207" t="str">
            <v>ZTE Blade V40 Vita</v>
          </cell>
          <cell r="E207">
            <v>422</v>
          </cell>
          <cell r="F207">
            <v>422</v>
          </cell>
          <cell r="G207">
            <v>422</v>
          </cell>
          <cell r="H207">
            <v>422</v>
          </cell>
          <cell r="I207">
            <v>422</v>
          </cell>
          <cell r="J207">
            <v>422</v>
          </cell>
          <cell r="K207">
            <v>422</v>
          </cell>
        </row>
        <row r="208">
          <cell r="C208" t="str">
            <v>-</v>
          </cell>
          <cell r="D208" t="str">
            <v>ZTE Blade V50 Design</v>
          </cell>
          <cell r="E208">
            <v>555</v>
          </cell>
          <cell r="F208">
            <v>555</v>
          </cell>
          <cell r="G208">
            <v>555</v>
          </cell>
          <cell r="H208">
            <v>555</v>
          </cell>
          <cell r="I208">
            <v>555</v>
          </cell>
          <cell r="J208">
            <v>555</v>
          </cell>
          <cell r="K208">
            <v>555</v>
          </cell>
        </row>
        <row r="209">
          <cell r="C209" t="str">
            <v>-</v>
          </cell>
          <cell r="D209" t="str">
            <v>ZTE Blade V50 Vita</v>
          </cell>
          <cell r="E209">
            <v>455</v>
          </cell>
          <cell r="F209">
            <v>455</v>
          </cell>
          <cell r="G209">
            <v>455</v>
          </cell>
          <cell r="H209">
            <v>455</v>
          </cell>
          <cell r="I209">
            <v>455</v>
          </cell>
          <cell r="J209">
            <v>455</v>
          </cell>
          <cell r="K209">
            <v>455</v>
          </cell>
        </row>
        <row r="210">
          <cell r="C210" t="str">
            <v>-</v>
          </cell>
          <cell r="D210" t="str">
            <v>Zte Nubia Focus 5G</v>
          </cell>
          <cell r="E210">
            <v>755</v>
          </cell>
          <cell r="F210">
            <v>755</v>
          </cell>
          <cell r="G210">
            <v>755</v>
          </cell>
          <cell r="H210">
            <v>755</v>
          </cell>
          <cell r="I210">
            <v>755</v>
          </cell>
          <cell r="J210">
            <v>755</v>
          </cell>
          <cell r="K210">
            <v>755</v>
          </cell>
        </row>
        <row r="211">
          <cell r="C211" t="str">
            <v>-</v>
          </cell>
          <cell r="D211" t="str">
            <v>Oppo A79 5G</v>
          </cell>
          <cell r="E211">
            <v>444</v>
          </cell>
          <cell r="F211">
            <v>444</v>
          </cell>
          <cell r="G211">
            <v>444</v>
          </cell>
          <cell r="H211">
            <v>444</v>
          </cell>
          <cell r="I211">
            <v>444</v>
          </cell>
          <cell r="J211">
            <v>444</v>
          </cell>
          <cell r="K211">
            <v>444</v>
          </cell>
        </row>
        <row r="212">
          <cell r="C212" t="str">
            <v>-</v>
          </cell>
          <cell r="D212" t="str">
            <v>PK APLIPH14BL128GB APLCARG20WC</v>
          </cell>
          <cell r="E212">
            <v>2654</v>
          </cell>
          <cell r="F212">
            <v>2654</v>
          </cell>
          <cell r="G212">
            <v>2654</v>
          </cell>
          <cell r="H212">
            <v>2654</v>
          </cell>
          <cell r="I212">
            <v>2654</v>
          </cell>
          <cell r="J212">
            <v>2654</v>
          </cell>
          <cell r="K212">
            <v>2654</v>
          </cell>
        </row>
        <row r="213">
          <cell r="C213" t="str">
            <v>-</v>
          </cell>
          <cell r="D213" t="str">
            <v>Apple iPhone 14 Plus 256GB</v>
          </cell>
          <cell r="E213">
            <v>2777</v>
          </cell>
          <cell r="F213">
            <v>2777</v>
          </cell>
          <cell r="G213">
            <v>2777</v>
          </cell>
          <cell r="H213">
            <v>2777</v>
          </cell>
          <cell r="I213">
            <v>2777</v>
          </cell>
          <cell r="J213">
            <v>2777</v>
          </cell>
          <cell r="K213">
            <v>2777</v>
          </cell>
        </row>
        <row r="214">
          <cell r="C214" t="str">
            <v>-</v>
          </cell>
          <cell r="D214" t="str">
            <v>Apple iPhone 14 Pro 256GB</v>
          </cell>
          <cell r="E214">
            <v>3333</v>
          </cell>
          <cell r="F214">
            <v>3333</v>
          </cell>
          <cell r="G214">
            <v>3333</v>
          </cell>
          <cell r="H214">
            <v>3333</v>
          </cell>
          <cell r="I214">
            <v>3333</v>
          </cell>
          <cell r="J214">
            <v>3333</v>
          </cell>
          <cell r="K214">
            <v>3333</v>
          </cell>
        </row>
        <row r="215">
          <cell r="C215" t="str">
            <v>-</v>
          </cell>
          <cell r="D215" t="str">
            <v>Apple Iphone 14 Pro Max 128GB</v>
          </cell>
          <cell r="E215">
            <v>3355</v>
          </cell>
          <cell r="F215">
            <v>3355</v>
          </cell>
          <cell r="G215">
            <v>3355</v>
          </cell>
          <cell r="H215">
            <v>3355</v>
          </cell>
          <cell r="I215">
            <v>3355</v>
          </cell>
          <cell r="J215">
            <v>3355</v>
          </cell>
          <cell r="K215">
            <v>3355</v>
          </cell>
        </row>
        <row r="216">
          <cell r="C216" t="str">
            <v>-</v>
          </cell>
          <cell r="D216" t="str">
            <v>Apple Iphone 15 256GB 5G</v>
          </cell>
          <cell r="E216">
            <v>3344</v>
          </cell>
          <cell r="F216">
            <v>3344</v>
          </cell>
          <cell r="G216">
            <v>3344</v>
          </cell>
          <cell r="H216">
            <v>3344</v>
          </cell>
          <cell r="I216">
            <v>3344</v>
          </cell>
          <cell r="J216">
            <v>3344</v>
          </cell>
          <cell r="K216">
            <v>3344</v>
          </cell>
        </row>
        <row r="217">
          <cell r="C217" t="str">
            <v>-</v>
          </cell>
          <cell r="D217" t="str">
            <v>Apple Iphone 15 Pro 128GB 5G</v>
          </cell>
          <cell r="E217">
            <v>3377</v>
          </cell>
          <cell r="F217">
            <v>3377</v>
          </cell>
          <cell r="G217">
            <v>3377</v>
          </cell>
          <cell r="H217">
            <v>3377</v>
          </cell>
          <cell r="I217">
            <v>3377</v>
          </cell>
          <cell r="J217">
            <v>3377</v>
          </cell>
          <cell r="K217">
            <v>3377</v>
          </cell>
        </row>
        <row r="218">
          <cell r="C218" t="str">
            <v>-</v>
          </cell>
          <cell r="D218" t="str">
            <v>Apple Iphone 15 Pro 512GB 5G</v>
          </cell>
          <cell r="E218">
            <v>3433</v>
          </cell>
          <cell r="F218">
            <v>3433</v>
          </cell>
          <cell r="G218">
            <v>3433</v>
          </cell>
          <cell r="H218">
            <v>3433</v>
          </cell>
          <cell r="I218">
            <v>3433</v>
          </cell>
          <cell r="J218">
            <v>3433</v>
          </cell>
          <cell r="K218">
            <v>3433</v>
          </cell>
        </row>
        <row r="219">
          <cell r="C219" t="str">
            <v>-</v>
          </cell>
          <cell r="D219" t="str">
            <v>Apple Iphone 16 256GB 5G</v>
          </cell>
          <cell r="E219">
            <v>3722</v>
          </cell>
          <cell r="F219">
            <v>3722</v>
          </cell>
          <cell r="G219">
            <v>3722</v>
          </cell>
          <cell r="H219">
            <v>3722</v>
          </cell>
          <cell r="I219">
            <v>3722</v>
          </cell>
          <cell r="J219">
            <v>3722</v>
          </cell>
          <cell r="K219">
            <v>3722</v>
          </cell>
        </row>
        <row r="220">
          <cell r="C220" t="str">
            <v>-</v>
          </cell>
          <cell r="D220" t="str">
            <v>Apple Iphone 16 Pro 512GB 5G</v>
          </cell>
          <cell r="E220">
            <v>6322</v>
          </cell>
          <cell r="F220">
            <v>6322</v>
          </cell>
          <cell r="G220">
            <v>6322</v>
          </cell>
          <cell r="H220">
            <v>6322</v>
          </cell>
          <cell r="I220">
            <v>6322</v>
          </cell>
          <cell r="J220">
            <v>6322</v>
          </cell>
          <cell r="K220">
            <v>6322</v>
          </cell>
        </row>
        <row r="221">
          <cell r="C221" t="str">
            <v>-</v>
          </cell>
          <cell r="D221" t="str">
            <v>PK OPPORENO14F SW BK 256GB</v>
          </cell>
          <cell r="E221">
            <v>2144</v>
          </cell>
          <cell r="F221">
            <v>2144</v>
          </cell>
          <cell r="G221">
            <v>2144</v>
          </cell>
          <cell r="H221">
            <v>2144</v>
          </cell>
          <cell r="I221">
            <v>2144</v>
          </cell>
          <cell r="J221">
            <v>2144</v>
          </cell>
          <cell r="K221">
            <v>2144</v>
          </cell>
        </row>
        <row r="222">
          <cell r="C222" t="str">
            <v>-</v>
          </cell>
          <cell r="D222" t="str">
            <v>Vivo V40 SE 5G</v>
          </cell>
          <cell r="E222">
            <v>1110</v>
          </cell>
          <cell r="F222">
            <v>1110</v>
          </cell>
          <cell r="G222">
            <v>1110</v>
          </cell>
          <cell r="H222">
            <v>1110</v>
          </cell>
          <cell r="I222">
            <v>1110</v>
          </cell>
          <cell r="J222">
            <v>1110</v>
          </cell>
          <cell r="K222">
            <v>1110</v>
          </cell>
        </row>
        <row r="223">
          <cell r="C223" t="str">
            <v>-</v>
          </cell>
          <cell r="D223" t="str">
            <v>Apple Iphone 16 Plus 256GB 5G</v>
          </cell>
          <cell r="E223">
            <v>4333</v>
          </cell>
          <cell r="F223">
            <v>4333</v>
          </cell>
          <cell r="G223">
            <v>4333</v>
          </cell>
          <cell r="H223">
            <v>4333</v>
          </cell>
          <cell r="I223">
            <v>4333</v>
          </cell>
          <cell r="J223">
            <v>4333</v>
          </cell>
          <cell r="K223">
            <v>4333</v>
          </cell>
        </row>
        <row r="224">
          <cell r="C224" t="str">
            <v>-</v>
          </cell>
          <cell r="D224" t="str">
            <v>Samsung Galaxy A36 256GB 5G</v>
          </cell>
          <cell r="E224">
            <v>1233</v>
          </cell>
          <cell r="F224">
            <v>1233</v>
          </cell>
          <cell r="G224">
            <v>1233</v>
          </cell>
          <cell r="H224">
            <v>1233</v>
          </cell>
          <cell r="I224">
            <v>1233</v>
          </cell>
          <cell r="J224">
            <v>1233</v>
          </cell>
          <cell r="K224">
            <v>1233</v>
          </cell>
        </row>
        <row r="225">
          <cell r="C225" t="str">
            <v>outlet</v>
          </cell>
          <cell r="D225" t="str">
            <v>Honor Magic 6 Lite 256GB 5G</v>
          </cell>
          <cell r="E225">
            <v>610</v>
          </cell>
          <cell r="F225">
            <v>610</v>
          </cell>
          <cell r="G225">
            <v>610</v>
          </cell>
          <cell r="H225">
            <v>610</v>
          </cell>
          <cell r="I225">
            <v>610</v>
          </cell>
          <cell r="J225">
            <v>610</v>
          </cell>
          <cell r="K225">
            <v>610</v>
          </cell>
        </row>
        <row r="226">
          <cell r="C226" t="str">
            <v>outlet</v>
          </cell>
          <cell r="D226" t="str">
            <v>Samsung Galaxy A25 5G</v>
          </cell>
          <cell r="E226">
            <v>433</v>
          </cell>
          <cell r="F226">
            <v>433</v>
          </cell>
          <cell r="G226">
            <v>433</v>
          </cell>
          <cell r="H226">
            <v>433</v>
          </cell>
          <cell r="I226">
            <v>433</v>
          </cell>
          <cell r="J226">
            <v>433</v>
          </cell>
          <cell r="K226">
            <v>433</v>
          </cell>
        </row>
        <row r="227">
          <cell r="C227" t="str">
            <v>-</v>
          </cell>
          <cell r="D227" t="str">
            <v>Motorola Moto G24 Power</v>
          </cell>
          <cell r="E227">
            <v>144</v>
          </cell>
          <cell r="F227">
            <v>144</v>
          </cell>
          <cell r="G227">
            <v>144</v>
          </cell>
          <cell r="H227">
            <v>144</v>
          </cell>
          <cell r="I227">
            <v>144</v>
          </cell>
          <cell r="J227">
            <v>144</v>
          </cell>
          <cell r="K227">
            <v>144</v>
          </cell>
        </row>
        <row r="228">
          <cell r="C228" t="str">
            <v>-</v>
          </cell>
          <cell r="D228" t="str">
            <v>PKME HONX8CGR 256GB INC HCW21B</v>
          </cell>
          <cell r="E228">
            <v>1177</v>
          </cell>
          <cell r="F228">
            <v>1177</v>
          </cell>
          <cell r="G228">
            <v>1177</v>
          </cell>
          <cell r="H228">
            <v>1177</v>
          </cell>
          <cell r="I228">
            <v>1177</v>
          </cell>
          <cell r="J228">
            <v>1177</v>
          </cell>
          <cell r="K228">
            <v>1177</v>
          </cell>
        </row>
        <row r="229">
          <cell r="C229" t="str">
            <v>-</v>
          </cell>
          <cell r="D229" t="str">
            <v>PK MOTOEDGE50FUS256GB AZ AUDBT</v>
          </cell>
          <cell r="E229">
            <v>777</v>
          </cell>
          <cell r="F229">
            <v>777</v>
          </cell>
          <cell r="G229">
            <v>777</v>
          </cell>
          <cell r="H229">
            <v>777</v>
          </cell>
          <cell r="I229">
            <v>777</v>
          </cell>
          <cell r="J229">
            <v>777</v>
          </cell>
          <cell r="K229">
            <v>777</v>
          </cell>
        </row>
        <row r="230">
          <cell r="C230" t="str">
            <v>-</v>
          </cell>
          <cell r="D230" t="str">
            <v>PK MOTOEDGE50FUS256GB RS AUDBT</v>
          </cell>
          <cell r="E230">
            <v>777</v>
          </cell>
          <cell r="F230">
            <v>777</v>
          </cell>
          <cell r="G230">
            <v>777</v>
          </cell>
          <cell r="H230">
            <v>777</v>
          </cell>
          <cell r="I230">
            <v>777</v>
          </cell>
          <cell r="J230">
            <v>777</v>
          </cell>
          <cell r="K230">
            <v>777</v>
          </cell>
        </row>
        <row r="231">
          <cell r="C231" t="str">
            <v>-</v>
          </cell>
          <cell r="D231" t="str">
            <v>PK MOTOEDGE50FUS256GB VD AUDBT</v>
          </cell>
          <cell r="E231">
            <v>777</v>
          </cell>
          <cell r="F231">
            <v>777</v>
          </cell>
          <cell r="G231">
            <v>777</v>
          </cell>
          <cell r="H231">
            <v>777</v>
          </cell>
          <cell r="I231">
            <v>777</v>
          </cell>
          <cell r="J231">
            <v>777</v>
          </cell>
          <cell r="K231">
            <v>777</v>
          </cell>
        </row>
        <row r="232">
          <cell r="C232" t="str">
            <v>-</v>
          </cell>
          <cell r="D232" t="str">
            <v>ZTE Redmagic 9S Pro 5G</v>
          </cell>
          <cell r="E232">
            <v>2888</v>
          </cell>
          <cell r="F232">
            <v>2888</v>
          </cell>
          <cell r="G232">
            <v>2888</v>
          </cell>
          <cell r="H232">
            <v>2888</v>
          </cell>
          <cell r="I232">
            <v>2888</v>
          </cell>
          <cell r="J232">
            <v>2888</v>
          </cell>
          <cell r="K232">
            <v>2888</v>
          </cell>
        </row>
        <row r="233">
          <cell r="C233" t="str">
            <v>-</v>
          </cell>
          <cell r="D233" t="str">
            <v>Motorola Moto Edge 50 Pro 5G</v>
          </cell>
          <cell r="E233">
            <v>1622</v>
          </cell>
          <cell r="F233">
            <v>1622</v>
          </cell>
          <cell r="G233">
            <v>1622</v>
          </cell>
          <cell r="H233">
            <v>1622</v>
          </cell>
          <cell r="I233">
            <v>1622</v>
          </cell>
          <cell r="J233">
            <v>1622</v>
          </cell>
          <cell r="K233">
            <v>1622</v>
          </cell>
        </row>
        <row r="234">
          <cell r="C234" t="str">
            <v>-</v>
          </cell>
          <cell r="D234" t="str">
            <v>Samsung Galaxy A35 5G</v>
          </cell>
          <cell r="E234">
            <v>510</v>
          </cell>
          <cell r="F234">
            <v>510</v>
          </cell>
          <cell r="G234">
            <v>510</v>
          </cell>
          <cell r="H234">
            <v>510</v>
          </cell>
          <cell r="I234">
            <v>510</v>
          </cell>
          <cell r="J234">
            <v>510</v>
          </cell>
          <cell r="K234">
            <v>510</v>
          </cell>
        </row>
        <row r="235">
          <cell r="C235" t="str">
            <v>outlet</v>
          </cell>
          <cell r="D235" t="str">
            <v>Honor 200 256GB 5G</v>
          </cell>
          <cell r="E235">
            <v>399</v>
          </cell>
          <cell r="F235">
            <v>399</v>
          </cell>
          <cell r="G235">
            <v>399</v>
          </cell>
          <cell r="H235">
            <v>399</v>
          </cell>
          <cell r="I235">
            <v>399</v>
          </cell>
          <cell r="J235">
            <v>399</v>
          </cell>
          <cell r="K235">
            <v>399</v>
          </cell>
        </row>
        <row r="236">
          <cell r="C236" t="str">
            <v>outlet</v>
          </cell>
          <cell r="D236" t="str">
            <v>Honor X9C Smart 256GB 5G</v>
          </cell>
          <cell r="E236">
            <v>610</v>
          </cell>
          <cell r="F236">
            <v>610</v>
          </cell>
          <cell r="G236">
            <v>610</v>
          </cell>
          <cell r="H236">
            <v>610</v>
          </cell>
          <cell r="I236">
            <v>610</v>
          </cell>
          <cell r="J236">
            <v>610</v>
          </cell>
          <cell r="K236">
            <v>610</v>
          </cell>
        </row>
        <row r="237">
          <cell r="C237" t="str">
            <v>-</v>
          </cell>
          <cell r="D237" t="str">
            <v>Samsung Galaxy S24 FE 256GB 5G</v>
          </cell>
          <cell r="E237">
            <v>2177</v>
          </cell>
          <cell r="F237">
            <v>2177</v>
          </cell>
          <cell r="G237">
            <v>2177</v>
          </cell>
          <cell r="H237">
            <v>2177</v>
          </cell>
          <cell r="I237">
            <v>2177</v>
          </cell>
          <cell r="J237">
            <v>2177</v>
          </cell>
          <cell r="K237">
            <v>2177</v>
          </cell>
        </row>
        <row r="238">
          <cell r="C238" t="str">
            <v>-</v>
          </cell>
          <cell r="D238" t="str">
            <v>PK SGLXYA17128GB BK INC ALT</v>
          </cell>
          <cell r="E238">
            <v>655</v>
          </cell>
          <cell r="F238">
            <v>655</v>
          </cell>
          <cell r="G238">
            <v>655</v>
          </cell>
          <cell r="H238">
            <v>655</v>
          </cell>
          <cell r="I238">
            <v>655</v>
          </cell>
          <cell r="J238">
            <v>655</v>
          </cell>
          <cell r="K238">
            <v>655</v>
          </cell>
        </row>
        <row r="239">
          <cell r="C239" t="str">
            <v>-</v>
          </cell>
          <cell r="D239" t="str">
            <v>PK XIAORN15256GB BK INC ALT</v>
          </cell>
          <cell r="E239">
            <v>1066</v>
          </cell>
          <cell r="F239">
            <v>1066</v>
          </cell>
          <cell r="G239">
            <v>1066</v>
          </cell>
          <cell r="H239">
            <v>1066</v>
          </cell>
          <cell r="I239">
            <v>1066</v>
          </cell>
          <cell r="J239">
            <v>1066</v>
          </cell>
          <cell r="K239">
            <v>1066</v>
          </cell>
        </row>
        <row r="240">
          <cell r="C240" t="str">
            <v>-</v>
          </cell>
          <cell r="D240" t="str">
            <v>Apple Iphone 16e 128GB 5G</v>
          </cell>
          <cell r="E240">
            <v>2222</v>
          </cell>
          <cell r="F240">
            <v>2222</v>
          </cell>
          <cell r="G240">
            <v>2222</v>
          </cell>
          <cell r="H240">
            <v>2222</v>
          </cell>
          <cell r="I240">
            <v>2222</v>
          </cell>
          <cell r="J240">
            <v>2222</v>
          </cell>
          <cell r="K240">
            <v>2222</v>
          </cell>
        </row>
        <row r="241">
          <cell r="C241" t="str">
            <v>-</v>
          </cell>
          <cell r="D241" t="str">
            <v>PKME IPH16EB 128GB INC 20W USB</v>
          </cell>
          <cell r="E241">
            <v>2255</v>
          </cell>
          <cell r="F241">
            <v>2255</v>
          </cell>
          <cell r="G241">
            <v>2255</v>
          </cell>
          <cell r="H241">
            <v>2255</v>
          </cell>
          <cell r="I241">
            <v>2255</v>
          </cell>
          <cell r="J241">
            <v>2255</v>
          </cell>
          <cell r="K241">
            <v>2255</v>
          </cell>
        </row>
        <row r="242">
          <cell r="C242" t="str">
            <v>-</v>
          </cell>
          <cell r="D242" t="str">
            <v>PK APPL IPH 16E B 128GB AP 4GN</v>
          </cell>
          <cell r="E242">
            <v>2622</v>
          </cell>
          <cell r="F242">
            <v>2622</v>
          </cell>
          <cell r="G242">
            <v>2622</v>
          </cell>
          <cell r="H242">
            <v>2622</v>
          </cell>
          <cell r="I242">
            <v>2622</v>
          </cell>
          <cell r="J242">
            <v>2622</v>
          </cell>
          <cell r="K242">
            <v>2622</v>
          </cell>
        </row>
        <row r="243">
          <cell r="C243" t="str">
            <v>-</v>
          </cell>
          <cell r="D243" t="str">
            <v>Samsung Fold 7</v>
          </cell>
          <cell r="E243">
            <v>8133</v>
          </cell>
          <cell r="F243">
            <v>8133</v>
          </cell>
          <cell r="G243">
            <v>8133</v>
          </cell>
          <cell r="H243">
            <v>8133</v>
          </cell>
          <cell r="I243">
            <v>8133</v>
          </cell>
          <cell r="J243">
            <v>8133</v>
          </cell>
          <cell r="K243">
            <v>8133</v>
          </cell>
        </row>
        <row r="244">
          <cell r="C244" t="str">
            <v>-</v>
          </cell>
          <cell r="D244" t="str">
            <v>Xiaomi Redmi A5 128GB</v>
          </cell>
          <cell r="E244">
            <v>388</v>
          </cell>
          <cell r="F244">
            <v>388</v>
          </cell>
          <cell r="G244">
            <v>388</v>
          </cell>
          <cell r="H244">
            <v>388</v>
          </cell>
          <cell r="I244">
            <v>388</v>
          </cell>
          <cell r="J244">
            <v>388</v>
          </cell>
          <cell r="K244">
            <v>388</v>
          </cell>
        </row>
        <row r="245">
          <cell r="C245" t="str">
            <v>-</v>
          </cell>
          <cell r="D245" t="str">
            <v>PK SGLXYS26 BK 256GB INC BD4</v>
          </cell>
          <cell r="E245">
            <v>4833</v>
          </cell>
          <cell r="F245">
            <v>4833</v>
          </cell>
          <cell r="G245">
            <v>4833</v>
          </cell>
          <cell r="H245">
            <v>4833</v>
          </cell>
          <cell r="I245">
            <v>4833</v>
          </cell>
          <cell r="J245">
            <v>4833</v>
          </cell>
          <cell r="K245">
            <v>4833</v>
          </cell>
        </row>
        <row r="246">
          <cell r="C246" t="str">
            <v>-</v>
          </cell>
          <cell r="D246" t="str">
            <v>PK SGLXYS26UT BK 256GB INC BD4</v>
          </cell>
          <cell r="E246">
            <v>6522</v>
          </cell>
          <cell r="F246">
            <v>6522</v>
          </cell>
          <cell r="G246">
            <v>6522</v>
          </cell>
          <cell r="H246">
            <v>6522</v>
          </cell>
          <cell r="I246">
            <v>6522</v>
          </cell>
          <cell r="J246">
            <v>6522</v>
          </cell>
          <cell r="K246">
            <v>6522</v>
          </cell>
        </row>
        <row r="247">
          <cell r="C247" t="str">
            <v>-</v>
          </cell>
          <cell r="D247" t="str">
            <v>Apple Iphone 16 128GB 5G</v>
          </cell>
          <cell r="E247">
            <v>3499</v>
          </cell>
          <cell r="F247">
            <v>3499</v>
          </cell>
          <cell r="G247">
            <v>3499</v>
          </cell>
          <cell r="H247">
            <v>3499</v>
          </cell>
          <cell r="I247">
            <v>3499</v>
          </cell>
          <cell r="J247">
            <v>3499</v>
          </cell>
          <cell r="K247">
            <v>3499</v>
          </cell>
        </row>
        <row r="248">
          <cell r="C248" t="str">
            <v>-</v>
          </cell>
          <cell r="D248" t="str">
            <v>Honor X8C 256GB 5G</v>
          </cell>
          <cell r="E248">
            <v>1110</v>
          </cell>
          <cell r="F248">
            <v>1110</v>
          </cell>
          <cell r="G248">
            <v>1110</v>
          </cell>
          <cell r="H248">
            <v>1110</v>
          </cell>
          <cell r="I248">
            <v>1110</v>
          </cell>
          <cell r="J248">
            <v>1110</v>
          </cell>
          <cell r="K248">
            <v>1110</v>
          </cell>
        </row>
        <row r="249">
          <cell r="C249" t="str">
            <v>outlet</v>
          </cell>
          <cell r="D249" t="str">
            <v>Oppo A40 4G</v>
          </cell>
          <cell r="E249">
            <v>388</v>
          </cell>
          <cell r="F249">
            <v>388</v>
          </cell>
          <cell r="G249">
            <v>388</v>
          </cell>
          <cell r="H249">
            <v>388</v>
          </cell>
          <cell r="I249">
            <v>388</v>
          </cell>
          <cell r="J249">
            <v>388</v>
          </cell>
          <cell r="K249">
            <v>388</v>
          </cell>
        </row>
        <row r="250">
          <cell r="C250" t="str">
            <v>-</v>
          </cell>
          <cell r="D250" t="str">
            <v>PK AIPH16PRMXBK INC CAR20WUSBC</v>
          </cell>
          <cell r="E250">
            <v>5532</v>
          </cell>
          <cell r="F250">
            <v>5532</v>
          </cell>
          <cell r="G250">
            <v>5532</v>
          </cell>
          <cell r="H250">
            <v>5532</v>
          </cell>
          <cell r="I250">
            <v>5532</v>
          </cell>
          <cell r="J250">
            <v>5532</v>
          </cell>
          <cell r="K250">
            <v>5532</v>
          </cell>
        </row>
        <row r="251">
          <cell r="C251" t="str">
            <v>-</v>
          </cell>
          <cell r="D251" t="str">
            <v>PK H400 512GB MB INC ATTPB</v>
          </cell>
          <cell r="E251">
            <v>1999</v>
          </cell>
          <cell r="F251">
            <v>1999</v>
          </cell>
          <cell r="G251">
            <v>1999</v>
          </cell>
          <cell r="H251">
            <v>1999</v>
          </cell>
          <cell r="I251">
            <v>1999</v>
          </cell>
          <cell r="J251">
            <v>1999</v>
          </cell>
          <cell r="K251">
            <v>1999</v>
          </cell>
        </row>
        <row r="252">
          <cell r="C252" t="str">
            <v>-</v>
          </cell>
          <cell r="D252" t="str">
            <v>PK HONX8C 256GB BK INC ATTB</v>
          </cell>
          <cell r="E252">
            <v>1133</v>
          </cell>
          <cell r="F252">
            <v>1133</v>
          </cell>
          <cell r="G252">
            <v>1133</v>
          </cell>
          <cell r="H252">
            <v>1133</v>
          </cell>
          <cell r="I252">
            <v>1133</v>
          </cell>
          <cell r="J252">
            <v>1133</v>
          </cell>
          <cell r="K252">
            <v>1133</v>
          </cell>
        </row>
        <row r="253">
          <cell r="C253" t="str">
            <v>-</v>
          </cell>
          <cell r="D253" t="str">
            <v>PKME H400LT 256GB G INC ATTB</v>
          </cell>
          <cell r="E253">
            <v>1344</v>
          </cell>
          <cell r="F253">
            <v>1344</v>
          </cell>
          <cell r="G253">
            <v>1344</v>
          </cell>
          <cell r="H253">
            <v>1344</v>
          </cell>
          <cell r="I253">
            <v>1344</v>
          </cell>
          <cell r="J253">
            <v>1344</v>
          </cell>
          <cell r="K253">
            <v>1344</v>
          </cell>
        </row>
        <row r="254">
          <cell r="C254" t="str">
            <v>-</v>
          </cell>
          <cell r="D254" t="str">
            <v>PKME HONX7D 256GB AZ INC DSP</v>
          </cell>
          <cell r="E254">
            <v>855</v>
          </cell>
          <cell r="F254">
            <v>855</v>
          </cell>
          <cell r="G254">
            <v>855</v>
          </cell>
          <cell r="H254">
            <v>855</v>
          </cell>
          <cell r="I254">
            <v>855</v>
          </cell>
          <cell r="J254">
            <v>855</v>
          </cell>
          <cell r="K254">
            <v>855</v>
          </cell>
        </row>
        <row r="255">
          <cell r="C255" t="str">
            <v>-</v>
          </cell>
          <cell r="D255" t="str">
            <v>PKME HOX7D256GB AZ INC AU OE V</v>
          </cell>
          <cell r="E255">
            <v>855</v>
          </cell>
          <cell r="F255">
            <v>855</v>
          </cell>
          <cell r="G255">
            <v>855</v>
          </cell>
          <cell r="H255">
            <v>855</v>
          </cell>
          <cell r="I255">
            <v>855</v>
          </cell>
          <cell r="J255">
            <v>855</v>
          </cell>
          <cell r="K255">
            <v>855</v>
          </cell>
        </row>
        <row r="256">
          <cell r="C256" t="str">
            <v>-</v>
          </cell>
          <cell r="D256" t="str">
            <v>PKME MOTG56 256GB VD INC DSP</v>
          </cell>
          <cell r="E256">
            <v>810</v>
          </cell>
          <cell r="F256">
            <v>810</v>
          </cell>
          <cell r="G256">
            <v>810</v>
          </cell>
          <cell r="H256">
            <v>810</v>
          </cell>
          <cell r="I256">
            <v>810</v>
          </cell>
          <cell r="J256">
            <v>810</v>
          </cell>
          <cell r="K256">
            <v>810</v>
          </cell>
        </row>
        <row r="257">
          <cell r="C257" t="str">
            <v>-</v>
          </cell>
          <cell r="D257" t="str">
            <v>PKME MOTG56256 PBK INC AU OE B</v>
          </cell>
          <cell r="E257">
            <v>810</v>
          </cell>
          <cell r="F257">
            <v>810</v>
          </cell>
          <cell r="G257">
            <v>810</v>
          </cell>
          <cell r="H257">
            <v>810</v>
          </cell>
          <cell r="I257">
            <v>810</v>
          </cell>
          <cell r="J257">
            <v>810</v>
          </cell>
          <cell r="K257">
            <v>810</v>
          </cell>
        </row>
        <row r="258">
          <cell r="C258" t="str">
            <v>-</v>
          </cell>
          <cell r="D258" t="str">
            <v>PKME MOTG56AZ 256GB INC MBUDS</v>
          </cell>
          <cell r="E258">
            <v>810</v>
          </cell>
          <cell r="F258">
            <v>810</v>
          </cell>
          <cell r="G258">
            <v>810</v>
          </cell>
          <cell r="H258">
            <v>810</v>
          </cell>
          <cell r="I258">
            <v>810</v>
          </cell>
          <cell r="J258">
            <v>810</v>
          </cell>
          <cell r="K258">
            <v>810</v>
          </cell>
        </row>
        <row r="259">
          <cell r="C259" t="str">
            <v>-</v>
          </cell>
          <cell r="D259" t="str">
            <v>PKME SGLXYA17 128GB BK INC DSP</v>
          </cell>
          <cell r="E259">
            <v>733</v>
          </cell>
          <cell r="F259">
            <v>733</v>
          </cell>
          <cell r="G259">
            <v>733</v>
          </cell>
          <cell r="H259">
            <v>733</v>
          </cell>
          <cell r="I259">
            <v>733</v>
          </cell>
          <cell r="J259">
            <v>733</v>
          </cell>
          <cell r="K259">
            <v>733</v>
          </cell>
        </row>
        <row r="260">
          <cell r="C260" t="str">
            <v>-</v>
          </cell>
          <cell r="D260" t="str">
            <v>PK SGLXYA36 128GB BK INC ATTB</v>
          </cell>
          <cell r="E260">
            <v>1010</v>
          </cell>
          <cell r="F260">
            <v>1010</v>
          </cell>
          <cell r="G260">
            <v>1010</v>
          </cell>
          <cell r="H260">
            <v>1010</v>
          </cell>
          <cell r="I260">
            <v>1010</v>
          </cell>
          <cell r="J260">
            <v>1010</v>
          </cell>
          <cell r="K260">
            <v>1010</v>
          </cell>
        </row>
        <row r="261">
          <cell r="C261" t="str">
            <v>-</v>
          </cell>
          <cell r="D261" t="str">
            <v>PKME SGXYA17128 BK INC AU OE B</v>
          </cell>
          <cell r="E261">
            <v>733</v>
          </cell>
          <cell r="F261">
            <v>733</v>
          </cell>
          <cell r="G261">
            <v>733</v>
          </cell>
          <cell r="H261">
            <v>733</v>
          </cell>
          <cell r="I261">
            <v>733</v>
          </cell>
          <cell r="J261">
            <v>733</v>
          </cell>
          <cell r="K261">
            <v>733</v>
          </cell>
        </row>
        <row r="262">
          <cell r="C262" t="str">
            <v>-</v>
          </cell>
          <cell r="D262" t="str">
            <v>PKME SGXYS24FE 128GB INC BD FE</v>
          </cell>
          <cell r="E262">
            <v>1988</v>
          </cell>
          <cell r="F262">
            <v>1988</v>
          </cell>
          <cell r="G262">
            <v>1988</v>
          </cell>
          <cell r="H262">
            <v>1988</v>
          </cell>
          <cell r="I262">
            <v>1988</v>
          </cell>
          <cell r="J262">
            <v>1988</v>
          </cell>
          <cell r="K262">
            <v>1988</v>
          </cell>
        </row>
        <row r="263">
          <cell r="C263" t="str">
            <v>-</v>
          </cell>
          <cell r="D263" t="str">
            <v>PKME SGXYS25UG 256GB INC BD FE</v>
          </cell>
          <cell r="E263">
            <v>4466</v>
          </cell>
          <cell r="F263">
            <v>4466</v>
          </cell>
          <cell r="G263">
            <v>4466</v>
          </cell>
          <cell r="H263">
            <v>4466</v>
          </cell>
          <cell r="I263">
            <v>4466</v>
          </cell>
          <cell r="J263">
            <v>4466</v>
          </cell>
          <cell r="K263">
            <v>4466</v>
          </cell>
        </row>
        <row r="264">
          <cell r="C264" t="str">
            <v>-</v>
          </cell>
          <cell r="D264" t="str">
            <v>PKME XIRN14 256GB BK INC ATTB</v>
          </cell>
          <cell r="E264">
            <v>799</v>
          </cell>
          <cell r="F264">
            <v>799</v>
          </cell>
          <cell r="G264">
            <v>799</v>
          </cell>
          <cell r="H264">
            <v>799</v>
          </cell>
          <cell r="I264">
            <v>799</v>
          </cell>
          <cell r="J264">
            <v>799</v>
          </cell>
          <cell r="K264">
            <v>799</v>
          </cell>
        </row>
        <row r="265">
          <cell r="C265" t="str">
            <v>-</v>
          </cell>
          <cell r="D265" t="str">
            <v>PKME XIRN14256 MBK INC AU OE V</v>
          </cell>
          <cell r="E265">
            <v>799</v>
          </cell>
          <cell r="F265">
            <v>799</v>
          </cell>
          <cell r="G265">
            <v>799</v>
          </cell>
          <cell r="H265">
            <v>799</v>
          </cell>
          <cell r="I265">
            <v>799</v>
          </cell>
          <cell r="J265">
            <v>799</v>
          </cell>
          <cell r="K265">
            <v>799</v>
          </cell>
        </row>
        <row r="266">
          <cell r="C266" t="str">
            <v>-</v>
          </cell>
          <cell r="D266" t="str">
            <v>PKME XIRN14 256GB MDBK INC DSP</v>
          </cell>
          <cell r="E266">
            <v>799</v>
          </cell>
          <cell r="F266">
            <v>799</v>
          </cell>
          <cell r="G266">
            <v>799</v>
          </cell>
          <cell r="H266">
            <v>799</v>
          </cell>
          <cell r="I266">
            <v>799</v>
          </cell>
          <cell r="J266">
            <v>799</v>
          </cell>
          <cell r="K266">
            <v>799</v>
          </cell>
        </row>
        <row r="267">
          <cell r="C267" t="str">
            <v>-</v>
          </cell>
          <cell r="D267" t="str">
            <v>PK MOTE60F 256GB AZ INC ATTB</v>
          </cell>
          <cell r="E267">
            <v>1133</v>
          </cell>
          <cell r="F267">
            <v>1133</v>
          </cell>
          <cell r="G267">
            <v>1133</v>
          </cell>
          <cell r="H267">
            <v>1133</v>
          </cell>
          <cell r="I267">
            <v>1133</v>
          </cell>
          <cell r="J267">
            <v>1133</v>
          </cell>
          <cell r="K267">
            <v>1133</v>
          </cell>
        </row>
        <row r="268">
          <cell r="C268" t="str">
            <v>-</v>
          </cell>
          <cell r="D268" t="str">
            <v>PK MOTMG56 256GB BK INC ATTB</v>
          </cell>
          <cell r="E268">
            <v>810</v>
          </cell>
          <cell r="F268">
            <v>810</v>
          </cell>
          <cell r="G268">
            <v>810</v>
          </cell>
          <cell r="H268">
            <v>810</v>
          </cell>
          <cell r="I268">
            <v>810</v>
          </cell>
          <cell r="J268">
            <v>810</v>
          </cell>
          <cell r="K268">
            <v>810</v>
          </cell>
        </row>
        <row r="269">
          <cell r="C269" t="str">
            <v>-</v>
          </cell>
          <cell r="D269" t="str">
            <v>PK SGLXYA26 128GB BK INC ATTB</v>
          </cell>
          <cell r="E269">
            <v>855</v>
          </cell>
          <cell r="F269">
            <v>855</v>
          </cell>
          <cell r="G269">
            <v>855</v>
          </cell>
          <cell r="H269">
            <v>855</v>
          </cell>
          <cell r="I269">
            <v>855</v>
          </cell>
          <cell r="J269">
            <v>855</v>
          </cell>
          <cell r="K269">
            <v>855</v>
          </cell>
        </row>
        <row r="270">
          <cell r="C270" t="str">
            <v>-</v>
          </cell>
          <cell r="D270" t="str">
            <v>PK SGXYA56 256GB GR INC ATTB</v>
          </cell>
          <cell r="E270">
            <v>1444</v>
          </cell>
          <cell r="F270">
            <v>1444</v>
          </cell>
          <cell r="G270">
            <v>1444</v>
          </cell>
          <cell r="H270">
            <v>1444</v>
          </cell>
          <cell r="I270">
            <v>1444</v>
          </cell>
          <cell r="J270">
            <v>1444</v>
          </cell>
          <cell r="K270">
            <v>1444</v>
          </cell>
        </row>
        <row r="271">
          <cell r="C271" t="str">
            <v>-</v>
          </cell>
          <cell r="D271" t="str">
            <v>PK XRN14P 256GB MB INC ATTPB</v>
          </cell>
          <cell r="E271">
            <v>1033</v>
          </cell>
          <cell r="F271">
            <v>1033</v>
          </cell>
          <cell r="G271">
            <v>1033</v>
          </cell>
          <cell r="H271">
            <v>1033</v>
          </cell>
          <cell r="I271">
            <v>1033</v>
          </cell>
          <cell r="J271">
            <v>1033</v>
          </cell>
          <cell r="K271">
            <v>1033</v>
          </cell>
        </row>
        <row r="272">
          <cell r="C272" t="str">
            <v>-</v>
          </cell>
          <cell r="D272" t="str">
            <v>PK SGLXYA26128GB BK INC GP3</v>
          </cell>
          <cell r="E272">
            <v>855</v>
          </cell>
          <cell r="F272">
            <v>855</v>
          </cell>
          <cell r="G272">
            <v>855</v>
          </cell>
          <cell r="H272">
            <v>855</v>
          </cell>
          <cell r="I272">
            <v>855</v>
          </cell>
          <cell r="J272">
            <v>855</v>
          </cell>
          <cell r="K272">
            <v>855</v>
          </cell>
        </row>
        <row r="273">
          <cell r="C273" t="str">
            <v>outlet</v>
          </cell>
          <cell r="D273" t="str">
            <v>Oppo A60 4G</v>
          </cell>
          <cell r="E273">
            <v>355</v>
          </cell>
          <cell r="F273">
            <v>355</v>
          </cell>
          <cell r="G273">
            <v>355</v>
          </cell>
          <cell r="H273">
            <v>355</v>
          </cell>
          <cell r="I273">
            <v>355</v>
          </cell>
          <cell r="J273">
            <v>355</v>
          </cell>
          <cell r="K273">
            <v>355</v>
          </cell>
        </row>
        <row r="274">
          <cell r="C274" t="str">
            <v>-</v>
          </cell>
          <cell r="D274" t="str">
            <v>Vivo X300 Pro 512GB 5G</v>
          </cell>
          <cell r="E274">
            <v>5333</v>
          </cell>
          <cell r="F274">
            <v>5333</v>
          </cell>
          <cell r="G274">
            <v>5333</v>
          </cell>
          <cell r="H274">
            <v>5333</v>
          </cell>
          <cell r="I274">
            <v>5333</v>
          </cell>
          <cell r="J274">
            <v>5333</v>
          </cell>
          <cell r="K274">
            <v>5333</v>
          </cell>
        </row>
        <row r="275">
          <cell r="C275" t="str">
            <v>-</v>
          </cell>
          <cell r="D275" t="str">
            <v>Honor X5c</v>
          </cell>
          <cell r="E275">
            <v>410</v>
          </cell>
          <cell r="F275">
            <v>410</v>
          </cell>
          <cell r="G275">
            <v>410</v>
          </cell>
          <cell r="H275">
            <v>410</v>
          </cell>
          <cell r="I275">
            <v>410</v>
          </cell>
          <cell r="J275">
            <v>410</v>
          </cell>
          <cell r="K275">
            <v>410</v>
          </cell>
        </row>
        <row r="276">
          <cell r="C276" t="str">
            <v>-</v>
          </cell>
          <cell r="D276" t="str">
            <v>ZTE Nubia Neo3 256GB 5G</v>
          </cell>
          <cell r="E276">
            <v>777</v>
          </cell>
          <cell r="F276">
            <v>777</v>
          </cell>
          <cell r="G276">
            <v>777</v>
          </cell>
          <cell r="H276">
            <v>777</v>
          </cell>
          <cell r="I276">
            <v>777</v>
          </cell>
          <cell r="J276">
            <v>777</v>
          </cell>
          <cell r="K276">
            <v>777</v>
          </cell>
        </row>
        <row r="277">
          <cell r="C277" t="str">
            <v>-</v>
          </cell>
          <cell r="D277" t="str">
            <v>Samsung Galaxy S25 128GB 5G</v>
          </cell>
          <cell r="E277">
            <v>2444</v>
          </cell>
          <cell r="F277">
            <v>2444</v>
          </cell>
          <cell r="G277">
            <v>2444</v>
          </cell>
          <cell r="H277">
            <v>2444</v>
          </cell>
          <cell r="I277">
            <v>2444</v>
          </cell>
          <cell r="J277">
            <v>2444</v>
          </cell>
          <cell r="K277">
            <v>2444</v>
          </cell>
        </row>
        <row r="278">
          <cell r="C278" t="str">
            <v>-</v>
          </cell>
          <cell r="D278" t="str">
            <v>Honor Magic 7 Pro 512GB 5G</v>
          </cell>
          <cell r="E278">
            <v>2877</v>
          </cell>
          <cell r="F278">
            <v>2877</v>
          </cell>
          <cell r="G278">
            <v>2877</v>
          </cell>
          <cell r="H278">
            <v>2877</v>
          </cell>
          <cell r="I278">
            <v>2877</v>
          </cell>
          <cell r="J278">
            <v>2877</v>
          </cell>
          <cell r="K278">
            <v>2877</v>
          </cell>
        </row>
        <row r="279">
          <cell r="C279" t="str">
            <v>-</v>
          </cell>
          <cell r="D279" t="str">
            <v>Apple Iphone 16 Pro 128GB 5G</v>
          </cell>
          <cell r="E279">
            <v>2477</v>
          </cell>
          <cell r="F279">
            <v>2477</v>
          </cell>
          <cell r="G279">
            <v>2477</v>
          </cell>
          <cell r="H279">
            <v>2477</v>
          </cell>
          <cell r="I279">
            <v>2477</v>
          </cell>
          <cell r="J279">
            <v>2477</v>
          </cell>
          <cell r="K279">
            <v>2477</v>
          </cell>
        </row>
        <row r="280">
          <cell r="C280" t="str">
            <v>-</v>
          </cell>
          <cell r="D280" t="str">
            <v>Vivo Y21 256GB 5G</v>
          </cell>
          <cell r="E280">
            <v>888</v>
          </cell>
          <cell r="F280">
            <v>888</v>
          </cell>
          <cell r="G280">
            <v>888</v>
          </cell>
          <cell r="H280">
            <v>888</v>
          </cell>
          <cell r="I280">
            <v>888</v>
          </cell>
          <cell r="J280">
            <v>888</v>
          </cell>
          <cell r="K280">
            <v>888</v>
          </cell>
        </row>
        <row r="281">
          <cell r="C281" t="str">
            <v>-</v>
          </cell>
          <cell r="D281" t="str">
            <v>Apple Iphone 13 128GB</v>
          </cell>
          <cell r="E281">
            <v>2122</v>
          </cell>
          <cell r="F281">
            <v>2122</v>
          </cell>
          <cell r="G281">
            <v>2122</v>
          </cell>
          <cell r="H281">
            <v>2122</v>
          </cell>
          <cell r="I281">
            <v>2122</v>
          </cell>
          <cell r="J281">
            <v>2122</v>
          </cell>
          <cell r="K281">
            <v>2122</v>
          </cell>
        </row>
        <row r="282">
          <cell r="C282" t="str">
            <v>-</v>
          </cell>
          <cell r="D282" t="str">
            <v>PKIPH13 128GB STL INC AIRP2GN</v>
          </cell>
          <cell r="E282">
            <v>2801</v>
          </cell>
          <cell r="F282">
            <v>2801</v>
          </cell>
          <cell r="G282">
            <v>2801</v>
          </cell>
          <cell r="H282">
            <v>2801</v>
          </cell>
          <cell r="I282">
            <v>2801</v>
          </cell>
          <cell r="J282">
            <v>2801</v>
          </cell>
          <cell r="K282">
            <v>2801</v>
          </cell>
        </row>
        <row r="283">
          <cell r="C283" t="str">
            <v>-</v>
          </cell>
          <cell r="D283" t="str">
            <v>PKAPIPH13128GBMD INC AIRP2GEN</v>
          </cell>
          <cell r="E283">
            <v>2681</v>
          </cell>
          <cell r="F283">
            <v>2681</v>
          </cell>
          <cell r="G283">
            <v>2681</v>
          </cell>
          <cell r="H283">
            <v>2681</v>
          </cell>
          <cell r="I283">
            <v>2681</v>
          </cell>
          <cell r="J283">
            <v>2681</v>
          </cell>
          <cell r="K283">
            <v>2681</v>
          </cell>
        </row>
        <row r="284">
          <cell r="C284" t="str">
            <v>-</v>
          </cell>
          <cell r="D284" t="str">
            <v>PK APLIPH15 BK INC AIRPRO</v>
          </cell>
          <cell r="E284">
            <v>4009</v>
          </cell>
          <cell r="F284">
            <v>4009</v>
          </cell>
          <cell r="G284">
            <v>4009</v>
          </cell>
          <cell r="H284">
            <v>4009</v>
          </cell>
          <cell r="I284">
            <v>4009</v>
          </cell>
          <cell r="J284">
            <v>4009</v>
          </cell>
          <cell r="K284">
            <v>4009</v>
          </cell>
        </row>
        <row r="285">
          <cell r="C285" t="str">
            <v>-</v>
          </cell>
          <cell r="D285" t="str">
            <v>Zte Blade A55</v>
          </cell>
          <cell r="E285">
            <v>155</v>
          </cell>
          <cell r="F285">
            <v>155</v>
          </cell>
          <cell r="G285">
            <v>155</v>
          </cell>
          <cell r="H285">
            <v>155</v>
          </cell>
          <cell r="I285">
            <v>155</v>
          </cell>
          <cell r="J285">
            <v>155</v>
          </cell>
          <cell r="K285">
            <v>155</v>
          </cell>
        </row>
        <row r="286">
          <cell r="C286" t="str">
            <v>-</v>
          </cell>
          <cell r="D286" t="str">
            <v>Motorola Moto G06 128GB 4G</v>
          </cell>
          <cell r="E286">
            <v>333</v>
          </cell>
          <cell r="F286">
            <v>333</v>
          </cell>
          <cell r="G286">
            <v>333</v>
          </cell>
          <cell r="H286">
            <v>333</v>
          </cell>
          <cell r="I286">
            <v>333</v>
          </cell>
          <cell r="J286">
            <v>333</v>
          </cell>
          <cell r="K286">
            <v>333</v>
          </cell>
        </row>
        <row r="287">
          <cell r="C287" t="str">
            <v>-</v>
          </cell>
          <cell r="D287" t="str">
            <v>Samsung Galaxy A06 128GB 5G</v>
          </cell>
          <cell r="E287">
            <v>222</v>
          </cell>
          <cell r="F287">
            <v>222</v>
          </cell>
          <cell r="G287">
            <v>222</v>
          </cell>
          <cell r="H287">
            <v>222</v>
          </cell>
          <cell r="I287">
            <v>222</v>
          </cell>
          <cell r="J287">
            <v>222</v>
          </cell>
          <cell r="K287">
            <v>222</v>
          </cell>
        </row>
        <row r="288">
          <cell r="C288" t="str">
            <v>outlet</v>
          </cell>
          <cell r="D288" t="str">
            <v>ZTE Blade A75 256GB 5G</v>
          </cell>
          <cell r="E288">
            <v>366</v>
          </cell>
          <cell r="F288">
            <v>366</v>
          </cell>
          <cell r="G288">
            <v>366</v>
          </cell>
          <cell r="H288">
            <v>366</v>
          </cell>
          <cell r="I288">
            <v>366</v>
          </cell>
          <cell r="J288">
            <v>366</v>
          </cell>
          <cell r="K288">
            <v>366</v>
          </cell>
        </row>
        <row r="289">
          <cell r="C289" t="str">
            <v>-</v>
          </cell>
          <cell r="D289" t="str">
            <v>Honor X5C Plus</v>
          </cell>
          <cell r="E289">
            <v>444</v>
          </cell>
          <cell r="F289">
            <v>444</v>
          </cell>
          <cell r="G289">
            <v>444</v>
          </cell>
          <cell r="H289">
            <v>444</v>
          </cell>
          <cell r="I289">
            <v>444</v>
          </cell>
          <cell r="J289">
            <v>444</v>
          </cell>
          <cell r="K289">
            <v>444</v>
          </cell>
        </row>
        <row r="290">
          <cell r="C290" t="str">
            <v>-</v>
          </cell>
          <cell r="D290" t="str">
            <v>Motorola Moto G35 256GB 5G</v>
          </cell>
          <cell r="E290">
            <v>444</v>
          </cell>
          <cell r="F290">
            <v>444</v>
          </cell>
          <cell r="G290">
            <v>444</v>
          </cell>
          <cell r="H290">
            <v>444</v>
          </cell>
          <cell r="I290">
            <v>444</v>
          </cell>
          <cell r="J290">
            <v>444</v>
          </cell>
          <cell r="K290">
            <v>444</v>
          </cell>
        </row>
        <row r="291">
          <cell r="C291" t="str">
            <v>-</v>
          </cell>
          <cell r="D291" t="str">
            <v>ZTE Nubia Focus 2 256GB 5G</v>
          </cell>
          <cell r="E291">
            <v>622</v>
          </cell>
          <cell r="F291">
            <v>622</v>
          </cell>
          <cell r="G291">
            <v>622</v>
          </cell>
          <cell r="H291">
            <v>622</v>
          </cell>
          <cell r="I291">
            <v>622</v>
          </cell>
          <cell r="J291">
            <v>622</v>
          </cell>
          <cell r="K291">
            <v>622</v>
          </cell>
        </row>
        <row r="292">
          <cell r="C292" t="str">
            <v>-</v>
          </cell>
          <cell r="D292" t="str">
            <v>Honor 200 512GB 5G</v>
          </cell>
          <cell r="E292">
            <v>533</v>
          </cell>
          <cell r="F292">
            <v>533</v>
          </cell>
          <cell r="G292">
            <v>533</v>
          </cell>
          <cell r="H292">
            <v>533</v>
          </cell>
          <cell r="I292">
            <v>533</v>
          </cell>
          <cell r="J292">
            <v>533</v>
          </cell>
          <cell r="K292">
            <v>533</v>
          </cell>
        </row>
        <row r="293">
          <cell r="C293" t="str">
            <v>outlet</v>
          </cell>
          <cell r="D293" t="str">
            <v>Motorola Moto Edge 50 Fusion 5G</v>
          </cell>
          <cell r="E293">
            <v>444</v>
          </cell>
          <cell r="F293">
            <v>444</v>
          </cell>
          <cell r="G293">
            <v>444</v>
          </cell>
          <cell r="H293">
            <v>444</v>
          </cell>
          <cell r="I293">
            <v>444</v>
          </cell>
          <cell r="J293">
            <v>444</v>
          </cell>
          <cell r="K293">
            <v>444</v>
          </cell>
        </row>
        <row r="294">
          <cell r="C294" t="str">
            <v>-</v>
          </cell>
          <cell r="D294" t="str">
            <v>Xiaomi Redmi Note 14 5G</v>
          </cell>
          <cell r="E294">
            <v>444</v>
          </cell>
          <cell r="F294">
            <v>444</v>
          </cell>
          <cell r="G294">
            <v>444</v>
          </cell>
          <cell r="H294">
            <v>444</v>
          </cell>
          <cell r="I294">
            <v>444</v>
          </cell>
          <cell r="J294">
            <v>444</v>
          </cell>
          <cell r="K294">
            <v>444</v>
          </cell>
        </row>
        <row r="295">
          <cell r="C295" t="str">
            <v>-</v>
          </cell>
          <cell r="D295" t="str">
            <v>Motorola Moto G56 256GB 5G</v>
          </cell>
          <cell r="E295">
            <v>777</v>
          </cell>
          <cell r="F295">
            <v>777</v>
          </cell>
          <cell r="G295">
            <v>777</v>
          </cell>
          <cell r="H295">
            <v>777</v>
          </cell>
          <cell r="I295">
            <v>777</v>
          </cell>
          <cell r="J295">
            <v>777</v>
          </cell>
          <cell r="K295">
            <v>777</v>
          </cell>
        </row>
        <row r="296">
          <cell r="C296" t="str">
            <v>-</v>
          </cell>
          <cell r="D296" t="str">
            <v>PKME XIARN14MB 256GB INC RB6AB</v>
          </cell>
          <cell r="E296">
            <v>488</v>
          </cell>
          <cell r="F296">
            <v>488</v>
          </cell>
          <cell r="G296">
            <v>488</v>
          </cell>
          <cell r="H296">
            <v>488</v>
          </cell>
          <cell r="I296">
            <v>488</v>
          </cell>
          <cell r="J296">
            <v>488</v>
          </cell>
          <cell r="K296">
            <v>488</v>
          </cell>
        </row>
        <row r="297">
          <cell r="C297" t="str">
            <v>-</v>
          </cell>
          <cell r="D297" t="str">
            <v>Oppo A80 5G</v>
          </cell>
          <cell r="E297">
            <v>544</v>
          </cell>
          <cell r="F297">
            <v>544</v>
          </cell>
          <cell r="G297">
            <v>544</v>
          </cell>
          <cell r="H297">
            <v>544</v>
          </cell>
          <cell r="I297">
            <v>544</v>
          </cell>
          <cell r="J297">
            <v>544</v>
          </cell>
          <cell r="K297">
            <v>544</v>
          </cell>
        </row>
        <row r="298">
          <cell r="C298" t="str">
            <v>-</v>
          </cell>
          <cell r="D298" t="str">
            <v>Honor 200 Pro 512GB 5G</v>
          </cell>
          <cell r="E298">
            <v>755</v>
          </cell>
          <cell r="F298">
            <v>755</v>
          </cell>
          <cell r="G298">
            <v>755</v>
          </cell>
          <cell r="H298">
            <v>755</v>
          </cell>
          <cell r="I298">
            <v>755</v>
          </cell>
          <cell r="J298">
            <v>755</v>
          </cell>
          <cell r="K298">
            <v>755</v>
          </cell>
        </row>
        <row r="299">
          <cell r="C299" t="str">
            <v>-</v>
          </cell>
          <cell r="D299" t="str">
            <v>Zte Nubia Air 256GB 5G</v>
          </cell>
          <cell r="E299">
            <v>999</v>
          </cell>
          <cell r="F299">
            <v>999</v>
          </cell>
          <cell r="G299">
            <v>999</v>
          </cell>
          <cell r="H299">
            <v>999</v>
          </cell>
          <cell r="I299">
            <v>999</v>
          </cell>
          <cell r="J299">
            <v>999</v>
          </cell>
          <cell r="K299">
            <v>999</v>
          </cell>
        </row>
        <row r="300">
          <cell r="C300" t="str">
            <v>-</v>
          </cell>
          <cell r="D300" t="str">
            <v>Honor Magic 7 lite 512GB 5G</v>
          </cell>
          <cell r="E300">
            <v>966</v>
          </cell>
          <cell r="F300">
            <v>966</v>
          </cell>
          <cell r="G300">
            <v>966</v>
          </cell>
          <cell r="H300">
            <v>966</v>
          </cell>
          <cell r="I300">
            <v>966</v>
          </cell>
          <cell r="J300">
            <v>966</v>
          </cell>
          <cell r="K300">
            <v>966</v>
          </cell>
        </row>
        <row r="301">
          <cell r="C301" t="str">
            <v>-</v>
          </cell>
          <cell r="D301" t="str">
            <v>Oppo Reno 13F 512GB 5G</v>
          </cell>
          <cell r="E301">
            <v>833</v>
          </cell>
          <cell r="F301">
            <v>833</v>
          </cell>
          <cell r="G301">
            <v>833</v>
          </cell>
          <cell r="H301">
            <v>833</v>
          </cell>
          <cell r="I301">
            <v>833</v>
          </cell>
          <cell r="J301">
            <v>833</v>
          </cell>
          <cell r="K301">
            <v>833</v>
          </cell>
        </row>
        <row r="302">
          <cell r="C302" t="str">
            <v>-</v>
          </cell>
          <cell r="D302" t="str">
            <v>PKME SGLXYA56AG 256GB INC 25W</v>
          </cell>
          <cell r="E302">
            <v>1455</v>
          </cell>
          <cell r="F302">
            <v>1455</v>
          </cell>
          <cell r="G302">
            <v>1455</v>
          </cell>
          <cell r="H302">
            <v>1455</v>
          </cell>
          <cell r="I302">
            <v>1455</v>
          </cell>
          <cell r="J302">
            <v>1455</v>
          </cell>
          <cell r="K302">
            <v>1455</v>
          </cell>
        </row>
        <row r="303">
          <cell r="C303" t="str">
            <v>-</v>
          </cell>
          <cell r="D303" t="str">
            <v>PKME IPH13MD 128GB INC 20W USB</v>
          </cell>
          <cell r="E303">
            <v>2188</v>
          </cell>
          <cell r="F303">
            <v>2188</v>
          </cell>
          <cell r="G303">
            <v>2188</v>
          </cell>
          <cell r="H303">
            <v>2188</v>
          </cell>
          <cell r="I303">
            <v>2188</v>
          </cell>
          <cell r="J303">
            <v>2188</v>
          </cell>
          <cell r="K303">
            <v>2188</v>
          </cell>
        </row>
        <row r="304">
          <cell r="C304" t="str">
            <v>-</v>
          </cell>
          <cell r="D304" t="str">
            <v>PK APPL IPH 13 MD 128GB AP 4GN</v>
          </cell>
          <cell r="E304">
            <v>2522</v>
          </cell>
          <cell r="F304">
            <v>2522</v>
          </cell>
          <cell r="G304">
            <v>2522</v>
          </cell>
          <cell r="H304">
            <v>2522</v>
          </cell>
          <cell r="I304">
            <v>2522</v>
          </cell>
          <cell r="J304">
            <v>2522</v>
          </cell>
          <cell r="K304">
            <v>2522</v>
          </cell>
        </row>
        <row r="305">
          <cell r="C305" t="str">
            <v>-</v>
          </cell>
          <cell r="D305" t="str">
            <v>Apple iPhone 14 128GB</v>
          </cell>
          <cell r="E305">
            <v>2510</v>
          </cell>
          <cell r="F305">
            <v>2510</v>
          </cell>
          <cell r="G305">
            <v>2510</v>
          </cell>
          <cell r="H305">
            <v>2510</v>
          </cell>
          <cell r="I305">
            <v>2510</v>
          </cell>
          <cell r="J305">
            <v>2510</v>
          </cell>
          <cell r="K305">
            <v>2510</v>
          </cell>
        </row>
        <row r="306">
          <cell r="C306" t="str">
            <v>outlet</v>
          </cell>
          <cell r="D306" t="str">
            <v>Samsung Galaxy S25 Plus 256GB 5G</v>
          </cell>
          <cell r="E306">
            <v>2844</v>
          </cell>
          <cell r="F306">
            <v>2844</v>
          </cell>
          <cell r="G306">
            <v>2844</v>
          </cell>
          <cell r="H306">
            <v>2844</v>
          </cell>
          <cell r="I306">
            <v>2844</v>
          </cell>
          <cell r="J306">
            <v>2844</v>
          </cell>
          <cell r="K306">
            <v>2844</v>
          </cell>
        </row>
        <row r="307">
          <cell r="C307" t="str">
            <v>-</v>
          </cell>
          <cell r="D307" t="str">
            <v>Apple Iphone 16 Plus 128GB 5G</v>
          </cell>
          <cell r="E307">
            <v>3066</v>
          </cell>
          <cell r="F307">
            <v>3066</v>
          </cell>
          <cell r="G307">
            <v>3066</v>
          </cell>
          <cell r="H307">
            <v>3066</v>
          </cell>
          <cell r="I307">
            <v>3066</v>
          </cell>
          <cell r="J307">
            <v>3066</v>
          </cell>
          <cell r="K307">
            <v>3066</v>
          </cell>
        </row>
        <row r="308">
          <cell r="C308" t="str">
            <v>-</v>
          </cell>
          <cell r="D308" t="str">
            <v>Xiaomi Redmi 15 256GB 5G</v>
          </cell>
          <cell r="E308">
            <v>688</v>
          </cell>
          <cell r="F308">
            <v>688</v>
          </cell>
          <cell r="G308">
            <v>688</v>
          </cell>
          <cell r="H308">
            <v>688</v>
          </cell>
          <cell r="I308">
            <v>688</v>
          </cell>
          <cell r="J308">
            <v>688</v>
          </cell>
          <cell r="K308">
            <v>688</v>
          </cell>
        </row>
        <row r="309">
          <cell r="C309" t="str">
            <v>-</v>
          </cell>
          <cell r="D309" t="str">
            <v>Motorola Moto Edge 70 fusion 256GB 5G</v>
          </cell>
          <cell r="E309">
            <v>1444</v>
          </cell>
          <cell r="F309">
            <v>1444</v>
          </cell>
          <cell r="G309">
            <v>1444</v>
          </cell>
          <cell r="H309">
            <v>1444</v>
          </cell>
          <cell r="I309">
            <v>1444</v>
          </cell>
          <cell r="J309">
            <v>1444</v>
          </cell>
          <cell r="K309">
            <v>1444</v>
          </cell>
        </row>
        <row r="310">
          <cell r="C310" t="str">
            <v>outlet</v>
          </cell>
          <cell r="D310" t="str">
            <v>Honor X5B Plus</v>
          </cell>
          <cell r="E310">
            <v>144</v>
          </cell>
          <cell r="F310">
            <v>144</v>
          </cell>
          <cell r="G310">
            <v>144</v>
          </cell>
          <cell r="H310">
            <v>144</v>
          </cell>
          <cell r="I310">
            <v>144</v>
          </cell>
          <cell r="J310">
            <v>144</v>
          </cell>
          <cell r="K310">
            <v>144</v>
          </cell>
        </row>
        <row r="311">
          <cell r="C311" t="str">
            <v>-</v>
          </cell>
          <cell r="D311" t="str">
            <v>Motorola Moto G85 256GB 5G</v>
          </cell>
          <cell r="E311">
            <v>344</v>
          </cell>
          <cell r="F311">
            <v>344</v>
          </cell>
          <cell r="G311">
            <v>344</v>
          </cell>
          <cell r="H311">
            <v>344</v>
          </cell>
          <cell r="I311">
            <v>344</v>
          </cell>
          <cell r="J311">
            <v>344</v>
          </cell>
          <cell r="K311">
            <v>344</v>
          </cell>
        </row>
        <row r="312">
          <cell r="C312" t="str">
            <v>-</v>
          </cell>
          <cell r="D312" t="str">
            <v>Zte Blade A57 Pro 128GB 4G</v>
          </cell>
          <cell r="E312">
            <v>777</v>
          </cell>
          <cell r="F312">
            <v>777</v>
          </cell>
          <cell r="G312">
            <v>777</v>
          </cell>
          <cell r="H312">
            <v>777</v>
          </cell>
          <cell r="I312">
            <v>777</v>
          </cell>
          <cell r="J312">
            <v>777</v>
          </cell>
          <cell r="K312">
            <v>777</v>
          </cell>
        </row>
        <row r="313">
          <cell r="C313" t="str">
            <v>-</v>
          </cell>
          <cell r="D313" t="str">
            <v>Zte Blade A35</v>
          </cell>
          <cell r="E313">
            <v>88</v>
          </cell>
          <cell r="F313">
            <v>88</v>
          </cell>
          <cell r="G313">
            <v>88</v>
          </cell>
          <cell r="H313">
            <v>88</v>
          </cell>
          <cell r="I313">
            <v>88</v>
          </cell>
          <cell r="J313">
            <v>88</v>
          </cell>
          <cell r="K313">
            <v>88</v>
          </cell>
        </row>
        <row r="314">
          <cell r="C314" t="str">
            <v>-</v>
          </cell>
          <cell r="D314" t="str">
            <v>Xiaomi Redmi 14c</v>
          </cell>
          <cell r="E314">
            <v>133</v>
          </cell>
          <cell r="F314">
            <v>133</v>
          </cell>
          <cell r="G314">
            <v>133</v>
          </cell>
          <cell r="H314">
            <v>133</v>
          </cell>
          <cell r="I314">
            <v>133</v>
          </cell>
          <cell r="J314">
            <v>133</v>
          </cell>
          <cell r="K314">
            <v>133</v>
          </cell>
        </row>
        <row r="315">
          <cell r="C315" t="str">
            <v>outlet</v>
          </cell>
          <cell r="D315" t="str">
            <v>Honor 200 Smart 256GB 5G</v>
          </cell>
          <cell r="E315">
            <v>233</v>
          </cell>
          <cell r="F315">
            <v>233</v>
          </cell>
          <cell r="G315">
            <v>233</v>
          </cell>
          <cell r="H315">
            <v>233</v>
          </cell>
          <cell r="I315">
            <v>233</v>
          </cell>
          <cell r="J315">
            <v>233</v>
          </cell>
          <cell r="K315">
            <v>233</v>
          </cell>
        </row>
        <row r="316">
          <cell r="C316" t="str">
            <v>-</v>
          </cell>
          <cell r="D316" t="str">
            <v>Samsung Galaxy A36 128GB 5G</v>
          </cell>
          <cell r="E316">
            <v>799</v>
          </cell>
          <cell r="F316">
            <v>799</v>
          </cell>
          <cell r="G316">
            <v>799</v>
          </cell>
          <cell r="H316">
            <v>799</v>
          </cell>
          <cell r="I316">
            <v>799</v>
          </cell>
          <cell r="J316">
            <v>799</v>
          </cell>
          <cell r="K316">
            <v>799</v>
          </cell>
        </row>
        <row r="317">
          <cell r="C317" t="str">
            <v>-</v>
          </cell>
          <cell r="D317" t="str">
            <v>Xiaomi Redmi Note 14 Pro 5G</v>
          </cell>
          <cell r="E317">
            <v>955</v>
          </cell>
          <cell r="F317">
            <v>955</v>
          </cell>
          <cell r="G317">
            <v>955</v>
          </cell>
          <cell r="H317">
            <v>955</v>
          </cell>
          <cell r="I317">
            <v>955</v>
          </cell>
          <cell r="J317">
            <v>955</v>
          </cell>
          <cell r="K317">
            <v>955</v>
          </cell>
        </row>
        <row r="318">
          <cell r="C318" t="str">
            <v>outlet</v>
          </cell>
          <cell r="D318" t="str">
            <v>Oppo Reno 13F 256GB 5G</v>
          </cell>
          <cell r="E318">
            <v>488</v>
          </cell>
          <cell r="F318">
            <v>488</v>
          </cell>
          <cell r="G318">
            <v>488</v>
          </cell>
          <cell r="H318">
            <v>488</v>
          </cell>
          <cell r="I318">
            <v>488</v>
          </cell>
          <cell r="J318">
            <v>488</v>
          </cell>
          <cell r="K318">
            <v>488</v>
          </cell>
        </row>
        <row r="319">
          <cell r="C319" t="str">
            <v>-</v>
          </cell>
          <cell r="D319" t="str">
            <v>Samsung Galaxy S24 Ultra 256GB 5G</v>
          </cell>
          <cell r="E319">
            <v>1922</v>
          </cell>
          <cell r="F319">
            <v>1922</v>
          </cell>
          <cell r="G319">
            <v>1922</v>
          </cell>
          <cell r="H319">
            <v>1922</v>
          </cell>
          <cell r="I319">
            <v>1922</v>
          </cell>
          <cell r="J319">
            <v>1922</v>
          </cell>
          <cell r="K319">
            <v>1922</v>
          </cell>
        </row>
        <row r="320">
          <cell r="C320" t="str">
            <v>-</v>
          </cell>
          <cell r="D320" t="str">
            <v>Apple Iphone Air 256GB 5G</v>
          </cell>
          <cell r="E320">
            <v>2888</v>
          </cell>
          <cell r="F320">
            <v>2888</v>
          </cell>
          <cell r="G320">
            <v>2888</v>
          </cell>
          <cell r="H320">
            <v>2888</v>
          </cell>
          <cell r="I320">
            <v>2888</v>
          </cell>
          <cell r="J320">
            <v>2888</v>
          </cell>
          <cell r="K320">
            <v>2888</v>
          </cell>
        </row>
        <row r="321">
          <cell r="C321" t="str">
            <v>-</v>
          </cell>
          <cell r="D321" t="str">
            <v>Apple Iphone 16 Pro Max 256GB 5G</v>
          </cell>
          <cell r="E321">
            <v>3999</v>
          </cell>
          <cell r="F321">
            <v>3999</v>
          </cell>
          <cell r="G321">
            <v>3999</v>
          </cell>
          <cell r="H321">
            <v>3999</v>
          </cell>
          <cell r="I321">
            <v>3999</v>
          </cell>
          <cell r="J321">
            <v>3999</v>
          </cell>
          <cell r="K321">
            <v>3999</v>
          </cell>
        </row>
        <row r="322">
          <cell r="C322" t="str">
            <v>-</v>
          </cell>
          <cell r="D322" t="str">
            <v>Zte Nubia Neo2 5G</v>
          </cell>
          <cell r="E322">
            <v>277</v>
          </cell>
          <cell r="F322">
            <v>277</v>
          </cell>
          <cell r="G322">
            <v>277</v>
          </cell>
          <cell r="H322">
            <v>277</v>
          </cell>
          <cell r="I322">
            <v>277</v>
          </cell>
          <cell r="J322">
            <v>277</v>
          </cell>
          <cell r="K322">
            <v>277</v>
          </cell>
        </row>
        <row r="323">
          <cell r="C323" t="str">
            <v>-</v>
          </cell>
          <cell r="D323" t="str">
            <v>Motorola Moto G15</v>
          </cell>
          <cell r="E323">
            <v>210</v>
          </cell>
          <cell r="F323">
            <v>210</v>
          </cell>
          <cell r="G323">
            <v>210</v>
          </cell>
          <cell r="H323">
            <v>210</v>
          </cell>
          <cell r="I323">
            <v>210</v>
          </cell>
          <cell r="J323">
            <v>210</v>
          </cell>
          <cell r="K323">
            <v>210</v>
          </cell>
        </row>
        <row r="324">
          <cell r="C324" t="str">
            <v>Seminuevos</v>
          </cell>
          <cell r="D324" t="str">
            <v>Apple Iphone 15 128GB 5G SN</v>
          </cell>
          <cell r="E324">
            <v>1944</v>
          </cell>
          <cell r="F324">
            <v>1944</v>
          </cell>
          <cell r="G324">
            <v>1944</v>
          </cell>
          <cell r="H324">
            <v>1944</v>
          </cell>
          <cell r="I324">
            <v>1944</v>
          </cell>
          <cell r="J324">
            <v>1944</v>
          </cell>
          <cell r="K324">
            <v>1944</v>
          </cell>
        </row>
        <row r="325">
          <cell r="C325" t="str">
            <v>Seminuevos</v>
          </cell>
          <cell r="D325" t="str">
            <v>Samsung Galaxy S24 Ultra 512GB 5G SN</v>
          </cell>
          <cell r="E325">
            <v>3288</v>
          </cell>
          <cell r="F325">
            <v>3288</v>
          </cell>
          <cell r="G325">
            <v>3288</v>
          </cell>
          <cell r="H325">
            <v>3288</v>
          </cell>
          <cell r="I325">
            <v>3288</v>
          </cell>
          <cell r="J325">
            <v>3288</v>
          </cell>
          <cell r="K325">
            <v>3288</v>
          </cell>
        </row>
        <row r="326">
          <cell r="C326" t="str">
            <v>Seminuevos</v>
          </cell>
          <cell r="D326" t="str">
            <v>Samsung Galaxy S24 256GB 5G SN</v>
          </cell>
          <cell r="E326">
            <v>2210</v>
          </cell>
          <cell r="F326">
            <v>2210</v>
          </cell>
          <cell r="G326">
            <v>2210</v>
          </cell>
          <cell r="H326">
            <v>2210</v>
          </cell>
          <cell r="I326">
            <v>2210</v>
          </cell>
          <cell r="J326">
            <v>2210</v>
          </cell>
          <cell r="K326">
            <v>2210</v>
          </cell>
        </row>
        <row r="327">
          <cell r="C327" t="str">
            <v>Seminuevos</v>
          </cell>
          <cell r="D327" t="str">
            <v>Apple Iphone 15 Pro Max 256GB 5G SN</v>
          </cell>
          <cell r="E327">
            <v>3110</v>
          </cell>
          <cell r="F327">
            <v>3110</v>
          </cell>
          <cell r="G327">
            <v>3110</v>
          </cell>
          <cell r="H327">
            <v>3110</v>
          </cell>
          <cell r="I327">
            <v>3110</v>
          </cell>
          <cell r="J327">
            <v>3110</v>
          </cell>
          <cell r="K327">
            <v>3110</v>
          </cell>
        </row>
        <row r="328">
          <cell r="C328" t="str">
            <v>Seminuevos</v>
          </cell>
          <cell r="D328" t="str">
            <v>Samsung Galaxy S23 Ultra 512GB SN</v>
          </cell>
          <cell r="E328">
            <v>3055</v>
          </cell>
          <cell r="F328">
            <v>3055</v>
          </cell>
          <cell r="G328">
            <v>3055</v>
          </cell>
          <cell r="H328">
            <v>3055</v>
          </cell>
          <cell r="I328">
            <v>3055</v>
          </cell>
          <cell r="J328">
            <v>3055</v>
          </cell>
          <cell r="K328">
            <v>3055</v>
          </cell>
        </row>
        <row r="329">
          <cell r="C329" t="str">
            <v>Seminuevos</v>
          </cell>
          <cell r="D329" t="str">
            <v>Samsung Galaxy S23 256GB SN</v>
          </cell>
          <cell r="E329">
            <v>1877</v>
          </cell>
          <cell r="F329">
            <v>1877</v>
          </cell>
          <cell r="G329">
            <v>1877</v>
          </cell>
          <cell r="H329">
            <v>1877</v>
          </cell>
          <cell r="I329">
            <v>1877</v>
          </cell>
          <cell r="J329">
            <v>1877</v>
          </cell>
          <cell r="K329">
            <v>1877</v>
          </cell>
        </row>
        <row r="330">
          <cell r="C330" t="str">
            <v>-</v>
          </cell>
          <cell r="D330" t="str">
            <v>Apple Iphone Air 512GB 5G</v>
          </cell>
          <cell r="E330">
            <v>3333</v>
          </cell>
          <cell r="F330">
            <v>3333</v>
          </cell>
          <cell r="G330">
            <v>3333</v>
          </cell>
          <cell r="H330">
            <v>3333</v>
          </cell>
          <cell r="I330">
            <v>3333</v>
          </cell>
          <cell r="J330">
            <v>3333</v>
          </cell>
          <cell r="K330">
            <v>3333</v>
          </cell>
        </row>
        <row r="331">
          <cell r="C331" t="str">
            <v>-</v>
          </cell>
          <cell r="D331" t="str">
            <v>Apple Iphone 17 Pro 512GB 5G</v>
          </cell>
          <cell r="E331">
            <v>6322</v>
          </cell>
          <cell r="F331">
            <v>6322</v>
          </cell>
          <cell r="G331">
            <v>6322</v>
          </cell>
          <cell r="H331">
            <v>6322</v>
          </cell>
          <cell r="I331">
            <v>6322</v>
          </cell>
          <cell r="J331">
            <v>6322</v>
          </cell>
          <cell r="K331">
            <v>6322</v>
          </cell>
        </row>
        <row r="332">
          <cell r="C332" t="str">
            <v>-</v>
          </cell>
          <cell r="D332" t="str">
            <v>Apple Iphone 17 Pro Max 512GB 5G</v>
          </cell>
          <cell r="E332">
            <v>6799</v>
          </cell>
          <cell r="F332">
            <v>6799</v>
          </cell>
          <cell r="G332">
            <v>6799</v>
          </cell>
          <cell r="H332">
            <v>6799</v>
          </cell>
          <cell r="I332">
            <v>6799</v>
          </cell>
          <cell r="J332">
            <v>6799</v>
          </cell>
          <cell r="K332">
            <v>6799</v>
          </cell>
        </row>
        <row r="333">
          <cell r="C333" t="str">
            <v>-</v>
          </cell>
          <cell r="D333" t="str">
            <v>Motorola Moto Edge 70 Fusion 256GB 12 GB 5G</v>
          </cell>
          <cell r="E333">
            <v>1555</v>
          </cell>
          <cell r="F333">
            <v>1555</v>
          </cell>
          <cell r="G333">
            <v>1555</v>
          </cell>
          <cell r="H333">
            <v>1555</v>
          </cell>
          <cell r="I333">
            <v>1555</v>
          </cell>
          <cell r="J333">
            <v>1555</v>
          </cell>
          <cell r="K333">
            <v>1555</v>
          </cell>
        </row>
        <row r="334">
          <cell r="C334" t="str">
            <v>-</v>
          </cell>
          <cell r="D334" t="str">
            <v>Motorola Moto Signature 1TB 5G</v>
          </cell>
          <cell r="E334">
            <v>4666</v>
          </cell>
          <cell r="F334">
            <v>4666</v>
          </cell>
          <cell r="G334">
            <v>4666</v>
          </cell>
          <cell r="H334">
            <v>4666</v>
          </cell>
          <cell r="I334">
            <v>4666</v>
          </cell>
          <cell r="J334">
            <v>4666</v>
          </cell>
          <cell r="K334">
            <v>4666</v>
          </cell>
        </row>
        <row r="335">
          <cell r="C335" t="str">
            <v>-</v>
          </cell>
          <cell r="D335" t="str">
            <v>Oppo Reno 16F 256GB 5G</v>
          </cell>
          <cell r="E335">
            <v>2666</v>
          </cell>
          <cell r="F335">
            <v>2666</v>
          </cell>
          <cell r="G335">
            <v>2666</v>
          </cell>
          <cell r="H335">
            <v>2666</v>
          </cell>
          <cell r="I335">
            <v>2666</v>
          </cell>
          <cell r="J335">
            <v>2666</v>
          </cell>
          <cell r="K335">
            <v>2666</v>
          </cell>
        </row>
        <row r="336">
          <cell r="C336" t="str">
            <v>-</v>
          </cell>
          <cell r="D336" t="str">
            <v>Samsung Galaxy A26 128GB 5G</v>
          </cell>
          <cell r="E336">
            <v>888</v>
          </cell>
          <cell r="F336">
            <v>888</v>
          </cell>
          <cell r="G336">
            <v>888</v>
          </cell>
          <cell r="H336">
            <v>888</v>
          </cell>
          <cell r="I336">
            <v>888</v>
          </cell>
          <cell r="J336">
            <v>888</v>
          </cell>
          <cell r="K336">
            <v>888</v>
          </cell>
        </row>
        <row r="337">
          <cell r="C337" t="str">
            <v>-</v>
          </cell>
          <cell r="D337" t="str">
            <v>Oppo Reno 14F 512GB 5G</v>
          </cell>
          <cell r="E337">
            <v>2433</v>
          </cell>
          <cell r="F337">
            <v>2433</v>
          </cell>
          <cell r="G337">
            <v>2433</v>
          </cell>
          <cell r="H337">
            <v>2433</v>
          </cell>
          <cell r="I337">
            <v>2433</v>
          </cell>
          <cell r="J337">
            <v>2433</v>
          </cell>
          <cell r="K337">
            <v>2433</v>
          </cell>
        </row>
        <row r="338">
          <cell r="C338" t="str">
            <v>-</v>
          </cell>
          <cell r="D338" t="str">
            <v>Honor Magic 8 Pro 512GB 5G</v>
          </cell>
          <cell r="E338">
            <v>5688</v>
          </cell>
          <cell r="F338">
            <v>5688</v>
          </cell>
          <cell r="G338">
            <v>5688</v>
          </cell>
          <cell r="H338">
            <v>5688</v>
          </cell>
          <cell r="I338">
            <v>5688</v>
          </cell>
          <cell r="J338">
            <v>5688</v>
          </cell>
          <cell r="K338">
            <v>5688</v>
          </cell>
        </row>
        <row r="339">
          <cell r="C339" t="str">
            <v>-</v>
          </cell>
          <cell r="D339" t="str">
            <v>Xiaomi 17 Ultra 512GB 5G</v>
          </cell>
          <cell r="E339">
            <v>6433</v>
          </cell>
          <cell r="F339">
            <v>6433</v>
          </cell>
          <cell r="G339">
            <v>6433</v>
          </cell>
          <cell r="H339">
            <v>6433</v>
          </cell>
          <cell r="I339">
            <v>6433</v>
          </cell>
          <cell r="J339">
            <v>6433</v>
          </cell>
          <cell r="K339">
            <v>6433</v>
          </cell>
        </row>
        <row r="340">
          <cell r="C340" t="str">
            <v>-</v>
          </cell>
          <cell r="D340" t="str">
            <v>ZTE Nubia Air 512GB 5G</v>
          </cell>
          <cell r="E340">
            <v>1233</v>
          </cell>
          <cell r="F340">
            <v>1233</v>
          </cell>
          <cell r="G340">
            <v>1233</v>
          </cell>
          <cell r="H340">
            <v>1233</v>
          </cell>
          <cell r="I340">
            <v>1233</v>
          </cell>
          <cell r="J340">
            <v>1233</v>
          </cell>
          <cell r="K340">
            <v>1233</v>
          </cell>
        </row>
        <row r="341">
          <cell r="C341" t="str">
            <v>-</v>
          </cell>
          <cell r="D341" t="str">
            <v>Oppo Reno 16 256GB 5G</v>
          </cell>
          <cell r="E341">
            <v>3222</v>
          </cell>
          <cell r="F341">
            <v>3222</v>
          </cell>
          <cell r="G341">
            <v>3222</v>
          </cell>
          <cell r="H341">
            <v>3222</v>
          </cell>
          <cell r="I341">
            <v>3222</v>
          </cell>
          <cell r="J341">
            <v>3222</v>
          </cell>
          <cell r="K341">
            <v>3222</v>
          </cell>
        </row>
        <row r="342">
          <cell r="C342" t="str">
            <v>-</v>
          </cell>
          <cell r="D342" t="str">
            <v>PK APLIPH15BK INC CARG20WUSBC</v>
          </cell>
          <cell r="E342">
            <v>3077</v>
          </cell>
          <cell r="F342">
            <v>3077</v>
          </cell>
          <cell r="G342">
            <v>3077</v>
          </cell>
          <cell r="H342">
            <v>3077</v>
          </cell>
          <cell r="I342">
            <v>3077</v>
          </cell>
          <cell r="J342">
            <v>3077</v>
          </cell>
          <cell r="K342">
            <v>3077</v>
          </cell>
        </row>
        <row r="343">
          <cell r="C343" t="str">
            <v>-</v>
          </cell>
          <cell r="D343" t="str">
            <v>Zte Blade V60 Design</v>
          </cell>
          <cell r="E343">
            <v>288</v>
          </cell>
          <cell r="F343">
            <v>288</v>
          </cell>
          <cell r="G343">
            <v>288</v>
          </cell>
          <cell r="H343">
            <v>288</v>
          </cell>
          <cell r="I343">
            <v>288</v>
          </cell>
          <cell r="J343">
            <v>288</v>
          </cell>
          <cell r="K343">
            <v>288</v>
          </cell>
        </row>
        <row r="344">
          <cell r="C344" t="str">
            <v>-</v>
          </cell>
          <cell r="D344" t="str">
            <v>Samsung Galaxy A07 128GB 4G</v>
          </cell>
          <cell r="E344">
            <v>477</v>
          </cell>
          <cell r="F344">
            <v>477</v>
          </cell>
          <cell r="G344">
            <v>477</v>
          </cell>
          <cell r="H344">
            <v>477</v>
          </cell>
          <cell r="I344">
            <v>477</v>
          </cell>
          <cell r="J344">
            <v>477</v>
          </cell>
          <cell r="K344">
            <v>477</v>
          </cell>
        </row>
        <row r="345">
          <cell r="C345" t="str">
            <v>-</v>
          </cell>
          <cell r="D345" t="str">
            <v>Xiaomi Redmi Note 9 Pro</v>
          </cell>
          <cell r="E345">
            <v>777</v>
          </cell>
          <cell r="F345">
            <v>777</v>
          </cell>
          <cell r="G345">
            <v>777</v>
          </cell>
          <cell r="H345">
            <v>777</v>
          </cell>
          <cell r="I345">
            <v>777</v>
          </cell>
          <cell r="J345">
            <v>777</v>
          </cell>
          <cell r="K345">
            <v>777</v>
          </cell>
        </row>
        <row r="346">
          <cell r="C346" t="str">
            <v>-</v>
          </cell>
          <cell r="D346" t="str">
            <v>PKME SGLXYA36B 128GB INC 25W</v>
          </cell>
          <cell r="E346">
            <v>866</v>
          </cell>
          <cell r="F346">
            <v>866</v>
          </cell>
          <cell r="G346">
            <v>866</v>
          </cell>
          <cell r="H346">
            <v>866</v>
          </cell>
          <cell r="I346">
            <v>866</v>
          </cell>
          <cell r="J346">
            <v>866</v>
          </cell>
          <cell r="K346">
            <v>866</v>
          </cell>
        </row>
        <row r="347">
          <cell r="C347" t="str">
            <v>-</v>
          </cell>
          <cell r="D347" t="str">
            <v>Motorola Moto Edge 60 512GB 5G</v>
          </cell>
          <cell r="E347">
            <v>1444</v>
          </cell>
          <cell r="F347">
            <v>1444</v>
          </cell>
          <cell r="G347">
            <v>1444</v>
          </cell>
          <cell r="H347">
            <v>1444</v>
          </cell>
          <cell r="I347">
            <v>1444</v>
          </cell>
          <cell r="J347">
            <v>1444</v>
          </cell>
          <cell r="K347">
            <v>1444</v>
          </cell>
        </row>
        <row r="348">
          <cell r="C348" t="str">
            <v>-</v>
          </cell>
          <cell r="D348" t="str">
            <v>Samsung Galaxy A56 256GB 5G</v>
          </cell>
          <cell r="E348">
            <v>1733</v>
          </cell>
          <cell r="F348">
            <v>1733</v>
          </cell>
          <cell r="G348">
            <v>1733</v>
          </cell>
          <cell r="H348">
            <v>1733</v>
          </cell>
          <cell r="I348">
            <v>1733</v>
          </cell>
          <cell r="J348">
            <v>1733</v>
          </cell>
          <cell r="K348">
            <v>1733</v>
          </cell>
        </row>
        <row r="349">
          <cell r="C349" t="str">
            <v>-</v>
          </cell>
          <cell r="D349" t="str">
            <v>Samsung Galaxy S25 FE 128GB 5G</v>
          </cell>
          <cell r="E349">
            <v>2277</v>
          </cell>
          <cell r="F349">
            <v>2277</v>
          </cell>
          <cell r="G349">
            <v>2277</v>
          </cell>
          <cell r="H349">
            <v>2277</v>
          </cell>
          <cell r="I349">
            <v>2277</v>
          </cell>
          <cell r="J349">
            <v>2277</v>
          </cell>
          <cell r="K349">
            <v>2277</v>
          </cell>
        </row>
        <row r="350">
          <cell r="C350" t="str">
            <v>-</v>
          </cell>
          <cell r="D350" t="str">
            <v>Xiaomi 15 Ultra 512GB 5G</v>
          </cell>
          <cell r="E350">
            <v>3999</v>
          </cell>
          <cell r="F350">
            <v>3999</v>
          </cell>
          <cell r="G350">
            <v>3999</v>
          </cell>
          <cell r="H350">
            <v>3999</v>
          </cell>
          <cell r="I350">
            <v>3999</v>
          </cell>
          <cell r="J350">
            <v>3999</v>
          </cell>
          <cell r="K350">
            <v>3999</v>
          </cell>
        </row>
        <row r="351">
          <cell r="C351" t="str">
            <v>-</v>
          </cell>
          <cell r="D351" t="str">
            <v>PK AP IPH 16PM BT 256GB APP 2G</v>
          </cell>
          <cell r="E351">
            <v>4733</v>
          </cell>
          <cell r="F351">
            <v>4733</v>
          </cell>
          <cell r="G351">
            <v>4733</v>
          </cell>
          <cell r="H351">
            <v>4733</v>
          </cell>
          <cell r="I351">
            <v>4733</v>
          </cell>
          <cell r="J351">
            <v>4733</v>
          </cell>
          <cell r="K351">
            <v>4733</v>
          </cell>
        </row>
        <row r="352">
          <cell r="C352" t="str">
            <v>-</v>
          </cell>
          <cell r="D352" t="str">
            <v>Motorola Moto Edge 70 512GB 5G</v>
          </cell>
          <cell r="E352">
            <v>1999</v>
          </cell>
          <cell r="F352">
            <v>1999</v>
          </cell>
          <cell r="G352">
            <v>1999</v>
          </cell>
          <cell r="H352">
            <v>1999</v>
          </cell>
          <cell r="I352">
            <v>1999</v>
          </cell>
          <cell r="J352">
            <v>1999</v>
          </cell>
          <cell r="K352">
            <v>1999</v>
          </cell>
        </row>
        <row r="353">
          <cell r="C353" t="str">
            <v>-</v>
          </cell>
          <cell r="D353" t="str">
            <v>Honor X5B</v>
          </cell>
          <cell r="E353">
            <v>177</v>
          </cell>
          <cell r="F353">
            <v>177</v>
          </cell>
          <cell r="G353">
            <v>177</v>
          </cell>
          <cell r="H353">
            <v>177</v>
          </cell>
          <cell r="I353">
            <v>177</v>
          </cell>
          <cell r="J353">
            <v>177</v>
          </cell>
          <cell r="K353">
            <v>177</v>
          </cell>
        </row>
        <row r="354">
          <cell r="C354" t="str">
            <v>-</v>
          </cell>
          <cell r="D354" t="str">
            <v>Motorola Moto E15</v>
          </cell>
          <cell r="E354">
            <v>133</v>
          </cell>
          <cell r="F354">
            <v>133</v>
          </cell>
          <cell r="G354">
            <v>133</v>
          </cell>
          <cell r="H354">
            <v>133</v>
          </cell>
          <cell r="I354">
            <v>133</v>
          </cell>
          <cell r="J354">
            <v>133</v>
          </cell>
          <cell r="K354">
            <v>133</v>
          </cell>
        </row>
        <row r="355">
          <cell r="C355" t="str">
            <v>-</v>
          </cell>
          <cell r="D355" t="str">
            <v>PKME XIRMIA5 64GB BK INC MAH2</v>
          </cell>
          <cell r="E355">
            <v>222</v>
          </cell>
          <cell r="F355">
            <v>222</v>
          </cell>
          <cell r="G355">
            <v>222</v>
          </cell>
          <cell r="H355">
            <v>222</v>
          </cell>
          <cell r="I355">
            <v>222</v>
          </cell>
          <cell r="J355">
            <v>222</v>
          </cell>
          <cell r="K355">
            <v>222</v>
          </cell>
        </row>
        <row r="356">
          <cell r="C356" t="str">
            <v>-</v>
          </cell>
          <cell r="D356" t="str">
            <v>Xiaomi Redmi A5 64GB</v>
          </cell>
          <cell r="E356">
            <v>222</v>
          </cell>
          <cell r="F356">
            <v>222</v>
          </cell>
          <cell r="G356">
            <v>222</v>
          </cell>
          <cell r="H356">
            <v>222</v>
          </cell>
          <cell r="I356">
            <v>222</v>
          </cell>
          <cell r="J356">
            <v>222</v>
          </cell>
          <cell r="K356">
            <v>222</v>
          </cell>
        </row>
        <row r="357">
          <cell r="C357" t="str">
            <v>outlet</v>
          </cell>
          <cell r="D357" t="str">
            <v>Xiaomi Redmi 13 256GB 4G</v>
          </cell>
          <cell r="E357">
            <v>222</v>
          </cell>
          <cell r="F357">
            <v>222</v>
          </cell>
          <cell r="G357">
            <v>222</v>
          </cell>
          <cell r="H357">
            <v>222</v>
          </cell>
          <cell r="I357">
            <v>222</v>
          </cell>
          <cell r="J357">
            <v>222</v>
          </cell>
          <cell r="K357">
            <v>222</v>
          </cell>
        </row>
        <row r="358">
          <cell r="C358" t="str">
            <v>-</v>
          </cell>
          <cell r="D358" t="str">
            <v>Motorola Moto Edge 60 fusion 256GB 5G</v>
          </cell>
          <cell r="E358">
            <v>999</v>
          </cell>
          <cell r="F358">
            <v>999</v>
          </cell>
          <cell r="G358">
            <v>999</v>
          </cell>
          <cell r="H358">
            <v>999</v>
          </cell>
          <cell r="I358">
            <v>999</v>
          </cell>
          <cell r="J358">
            <v>999</v>
          </cell>
          <cell r="K358">
            <v>999</v>
          </cell>
        </row>
        <row r="359">
          <cell r="C359" t="str">
            <v>-</v>
          </cell>
          <cell r="D359" t="str">
            <v>Motorola Moto Edge 60 Pro 512GB 5G</v>
          </cell>
          <cell r="E359">
            <v>1888</v>
          </cell>
          <cell r="F359">
            <v>1888</v>
          </cell>
          <cell r="G359">
            <v>1888</v>
          </cell>
          <cell r="H359">
            <v>1888</v>
          </cell>
          <cell r="I359">
            <v>1888</v>
          </cell>
          <cell r="J359">
            <v>1888</v>
          </cell>
          <cell r="K359">
            <v>1888</v>
          </cell>
        </row>
        <row r="360">
          <cell r="C360" t="str">
            <v>-</v>
          </cell>
          <cell r="D360" t="str">
            <v>Apple Iphone 16 Pro 256GB 5G</v>
          </cell>
          <cell r="E360">
            <v>3777</v>
          </cell>
          <cell r="F360">
            <v>3777</v>
          </cell>
          <cell r="G360">
            <v>3777</v>
          </cell>
          <cell r="H360">
            <v>3777</v>
          </cell>
          <cell r="I360">
            <v>3777</v>
          </cell>
          <cell r="J360">
            <v>3777</v>
          </cell>
          <cell r="K360">
            <v>3777</v>
          </cell>
        </row>
        <row r="361">
          <cell r="C361" t="str">
            <v>-</v>
          </cell>
          <cell r="D361" t="str">
            <v>Zte Blade A36 64GB 4G</v>
          </cell>
          <cell r="E361">
            <v>333</v>
          </cell>
          <cell r="F361">
            <v>333</v>
          </cell>
          <cell r="G361">
            <v>333</v>
          </cell>
          <cell r="H361">
            <v>333</v>
          </cell>
          <cell r="I361">
            <v>333</v>
          </cell>
          <cell r="J361">
            <v>333</v>
          </cell>
          <cell r="K361">
            <v>333</v>
          </cell>
        </row>
        <row r="362">
          <cell r="C362" t="str">
            <v>-</v>
          </cell>
          <cell r="D362" t="str">
            <v>Samsung Galaxy A07 64GB 4G</v>
          </cell>
          <cell r="E362">
            <v>422</v>
          </cell>
          <cell r="F362">
            <v>422</v>
          </cell>
          <cell r="G362">
            <v>422</v>
          </cell>
          <cell r="H362">
            <v>422</v>
          </cell>
          <cell r="I362">
            <v>422</v>
          </cell>
          <cell r="J362">
            <v>422</v>
          </cell>
          <cell r="K362">
            <v>422</v>
          </cell>
        </row>
        <row r="363">
          <cell r="C363" t="str">
            <v>-</v>
          </cell>
          <cell r="D363" t="str">
            <v>ZTE Blade A56 Pro 128GB 4G</v>
          </cell>
          <cell r="E363">
            <v>410</v>
          </cell>
          <cell r="F363">
            <v>410</v>
          </cell>
          <cell r="G363">
            <v>410</v>
          </cell>
          <cell r="H363">
            <v>410</v>
          </cell>
          <cell r="I363">
            <v>410</v>
          </cell>
          <cell r="J363">
            <v>410</v>
          </cell>
          <cell r="K363">
            <v>410</v>
          </cell>
        </row>
        <row r="364">
          <cell r="C364" t="str">
            <v>-</v>
          </cell>
          <cell r="D364" t="str">
            <v>Xiaomi Redmi 15C 256GB 4G</v>
          </cell>
          <cell r="E364">
            <v>588</v>
          </cell>
          <cell r="F364">
            <v>588</v>
          </cell>
          <cell r="G364">
            <v>588</v>
          </cell>
          <cell r="H364">
            <v>588</v>
          </cell>
          <cell r="I364">
            <v>588</v>
          </cell>
          <cell r="J364">
            <v>588</v>
          </cell>
          <cell r="K364">
            <v>588</v>
          </cell>
        </row>
        <row r="365">
          <cell r="C365" t="str">
            <v>-</v>
          </cell>
          <cell r="D365" t="str">
            <v>Oppo A5X 128GB 4G</v>
          </cell>
          <cell r="E365">
            <v>555</v>
          </cell>
          <cell r="F365">
            <v>555</v>
          </cell>
          <cell r="G365">
            <v>555</v>
          </cell>
          <cell r="H365">
            <v>555</v>
          </cell>
          <cell r="I365">
            <v>555</v>
          </cell>
          <cell r="J365">
            <v>555</v>
          </cell>
          <cell r="K365">
            <v>555</v>
          </cell>
        </row>
        <row r="366">
          <cell r="C366" t="str">
            <v>-</v>
          </cell>
          <cell r="D366" t="str">
            <v>Honor X7D 256GB 5G</v>
          </cell>
          <cell r="E366">
            <v>888</v>
          </cell>
          <cell r="F366">
            <v>888</v>
          </cell>
          <cell r="G366">
            <v>888</v>
          </cell>
          <cell r="H366">
            <v>888</v>
          </cell>
          <cell r="I366">
            <v>888</v>
          </cell>
          <cell r="J366">
            <v>888</v>
          </cell>
          <cell r="K366">
            <v>888</v>
          </cell>
        </row>
        <row r="367">
          <cell r="C367" t="str">
            <v>-</v>
          </cell>
          <cell r="D367" t="str">
            <v>Oppo A5 Pro 256GB 5G</v>
          </cell>
          <cell r="E367">
            <v>699</v>
          </cell>
          <cell r="F367">
            <v>699</v>
          </cell>
          <cell r="G367">
            <v>699</v>
          </cell>
          <cell r="H367">
            <v>699</v>
          </cell>
          <cell r="I367">
            <v>699</v>
          </cell>
          <cell r="J367">
            <v>699</v>
          </cell>
          <cell r="K367">
            <v>699</v>
          </cell>
        </row>
        <row r="368">
          <cell r="C368" t="str">
            <v>-</v>
          </cell>
          <cell r="D368" t="str">
            <v>Vivo V60 Lite 256GB 5G</v>
          </cell>
          <cell r="E368">
            <v>1499</v>
          </cell>
          <cell r="F368">
            <v>1499</v>
          </cell>
          <cell r="G368">
            <v>1499</v>
          </cell>
          <cell r="H368">
            <v>1499</v>
          </cell>
          <cell r="I368">
            <v>1499</v>
          </cell>
          <cell r="J368">
            <v>1499</v>
          </cell>
          <cell r="K368">
            <v>1499</v>
          </cell>
        </row>
        <row r="369">
          <cell r="C369" t="str">
            <v>-</v>
          </cell>
          <cell r="D369" t="str">
            <v>Honor Magic 8 Lite 512GB 5G</v>
          </cell>
          <cell r="E369">
            <v>1666</v>
          </cell>
          <cell r="F369">
            <v>1666</v>
          </cell>
          <cell r="G369">
            <v>1666</v>
          </cell>
          <cell r="H369">
            <v>1666</v>
          </cell>
          <cell r="I369">
            <v>1666</v>
          </cell>
          <cell r="J369">
            <v>1666</v>
          </cell>
          <cell r="K369">
            <v>1666</v>
          </cell>
        </row>
        <row r="370">
          <cell r="C370" t="str">
            <v>-</v>
          </cell>
          <cell r="D370" t="str">
            <v>Samsung Galaxy S25 FE 256GB 5G</v>
          </cell>
          <cell r="E370">
            <v>2666</v>
          </cell>
          <cell r="F370">
            <v>2666</v>
          </cell>
          <cell r="G370">
            <v>2666</v>
          </cell>
          <cell r="H370">
            <v>2666</v>
          </cell>
          <cell r="I370">
            <v>2666</v>
          </cell>
          <cell r="J370">
            <v>2666</v>
          </cell>
          <cell r="K370">
            <v>2666</v>
          </cell>
        </row>
        <row r="371">
          <cell r="C371" t="str">
            <v>-</v>
          </cell>
          <cell r="D371" t="str">
            <v>Xiaomi 15T Pro 512GB 5G</v>
          </cell>
          <cell r="E371">
            <v>2666</v>
          </cell>
          <cell r="F371">
            <v>2666</v>
          </cell>
          <cell r="G371">
            <v>2666</v>
          </cell>
          <cell r="H371">
            <v>2666</v>
          </cell>
          <cell r="I371">
            <v>2666</v>
          </cell>
          <cell r="J371">
            <v>2666</v>
          </cell>
          <cell r="K371">
            <v>2666</v>
          </cell>
        </row>
        <row r="372">
          <cell r="C372" t="str">
            <v>-</v>
          </cell>
          <cell r="D372" t="str">
            <v>Samsung ZFLIP 7</v>
          </cell>
          <cell r="E372">
            <v>3866</v>
          </cell>
          <cell r="F372">
            <v>3866</v>
          </cell>
          <cell r="G372">
            <v>3866</v>
          </cell>
          <cell r="H372">
            <v>3866</v>
          </cell>
          <cell r="I372">
            <v>3866</v>
          </cell>
          <cell r="J372">
            <v>3866</v>
          </cell>
          <cell r="K372">
            <v>3866</v>
          </cell>
        </row>
        <row r="373">
          <cell r="C373" t="str">
            <v>-</v>
          </cell>
          <cell r="D373" t="str">
            <v>Samsung Galaxy S25 Ultra 256GB 5G</v>
          </cell>
          <cell r="E373">
            <v>4322</v>
          </cell>
          <cell r="F373">
            <v>4322</v>
          </cell>
          <cell r="G373">
            <v>4322</v>
          </cell>
          <cell r="H373">
            <v>4322</v>
          </cell>
          <cell r="I373">
            <v>4322</v>
          </cell>
          <cell r="J373">
            <v>4322</v>
          </cell>
          <cell r="K373">
            <v>4322</v>
          </cell>
        </row>
        <row r="374">
          <cell r="C374" t="str">
            <v>-</v>
          </cell>
          <cell r="D374" t="str">
            <v>Honor X6D 256GB 5G</v>
          </cell>
          <cell r="E374">
            <v>677</v>
          </cell>
          <cell r="F374">
            <v>677</v>
          </cell>
          <cell r="G374">
            <v>677</v>
          </cell>
          <cell r="H374">
            <v>677</v>
          </cell>
          <cell r="I374">
            <v>677</v>
          </cell>
          <cell r="J374">
            <v>677</v>
          </cell>
          <cell r="K374">
            <v>677</v>
          </cell>
        </row>
        <row r="375">
          <cell r="C375" t="str">
            <v>-</v>
          </cell>
          <cell r="D375" t="str">
            <v>Samsung Galaxy S26 256GB 5G</v>
          </cell>
          <cell r="E375">
            <v>3733</v>
          </cell>
          <cell r="F375">
            <v>3733</v>
          </cell>
          <cell r="G375">
            <v>3733</v>
          </cell>
          <cell r="H375">
            <v>3733</v>
          </cell>
          <cell r="I375">
            <v>3733</v>
          </cell>
          <cell r="J375">
            <v>3733</v>
          </cell>
          <cell r="K375">
            <v>3733</v>
          </cell>
        </row>
        <row r="376">
          <cell r="C376" t="str">
            <v>-</v>
          </cell>
          <cell r="D376" t="str">
            <v>Vivo Y11 128GB 5G</v>
          </cell>
          <cell r="E376">
            <v>677</v>
          </cell>
          <cell r="F376">
            <v>677</v>
          </cell>
          <cell r="G376">
            <v>677</v>
          </cell>
          <cell r="H376">
            <v>677</v>
          </cell>
          <cell r="I376">
            <v>677</v>
          </cell>
          <cell r="J376">
            <v>677</v>
          </cell>
          <cell r="K376">
            <v>677</v>
          </cell>
        </row>
        <row r="377">
          <cell r="C377" t="str">
            <v>-</v>
          </cell>
          <cell r="D377" t="str">
            <v>Honor 600 Pro 512GB 5G</v>
          </cell>
          <cell r="E377">
            <v>3344</v>
          </cell>
          <cell r="F377">
            <v>3344</v>
          </cell>
          <cell r="G377">
            <v>3344</v>
          </cell>
          <cell r="H377">
            <v>3344</v>
          </cell>
          <cell r="I377">
            <v>3344</v>
          </cell>
          <cell r="J377">
            <v>3344</v>
          </cell>
          <cell r="K377">
            <v>3344</v>
          </cell>
        </row>
        <row r="378">
          <cell r="C378" t="str">
            <v>-</v>
          </cell>
          <cell r="D378" t="str">
            <v>Honor X7e Plus 256GB 5G</v>
          </cell>
          <cell r="E378">
            <v>1310</v>
          </cell>
          <cell r="F378">
            <v>1310</v>
          </cell>
          <cell r="G378">
            <v>1310</v>
          </cell>
          <cell r="H378">
            <v>1310</v>
          </cell>
          <cell r="I378">
            <v>1310</v>
          </cell>
          <cell r="J378">
            <v>1310</v>
          </cell>
          <cell r="K378">
            <v>1310</v>
          </cell>
        </row>
        <row r="379">
          <cell r="C379" t="str">
            <v>-</v>
          </cell>
          <cell r="D379" t="str">
            <v>PKME SGXYA16 128GB BK INC MAH2</v>
          </cell>
          <cell r="E379">
            <v>177</v>
          </cell>
          <cell r="F379">
            <v>177</v>
          </cell>
          <cell r="G379">
            <v>177</v>
          </cell>
          <cell r="H379">
            <v>177</v>
          </cell>
          <cell r="I379">
            <v>177</v>
          </cell>
          <cell r="J379">
            <v>177</v>
          </cell>
          <cell r="K379">
            <v>177</v>
          </cell>
        </row>
        <row r="380">
          <cell r="C380" t="str">
            <v>-</v>
          </cell>
          <cell r="D380" t="str">
            <v>Honor X6B 256GB 5G</v>
          </cell>
          <cell r="E380">
            <v>444</v>
          </cell>
          <cell r="F380">
            <v>444</v>
          </cell>
          <cell r="G380">
            <v>444</v>
          </cell>
          <cell r="H380">
            <v>444</v>
          </cell>
          <cell r="I380">
            <v>444</v>
          </cell>
          <cell r="J380">
            <v>444</v>
          </cell>
          <cell r="K380">
            <v>444</v>
          </cell>
        </row>
        <row r="381">
          <cell r="C381" t="str">
            <v>-</v>
          </cell>
          <cell r="D381" t="str">
            <v>PKME HONX6B 256GB MBK INC MAH2</v>
          </cell>
          <cell r="E381">
            <v>444</v>
          </cell>
          <cell r="F381">
            <v>444</v>
          </cell>
          <cell r="G381">
            <v>444</v>
          </cell>
          <cell r="H381">
            <v>444</v>
          </cell>
          <cell r="I381">
            <v>444</v>
          </cell>
          <cell r="J381">
            <v>444</v>
          </cell>
          <cell r="K381">
            <v>444</v>
          </cell>
        </row>
        <row r="382">
          <cell r="C382" t="str">
            <v>-</v>
          </cell>
          <cell r="D382" t="str">
            <v>Samsung Galaxy A16 256GB 4G</v>
          </cell>
          <cell r="E382">
            <v>244</v>
          </cell>
          <cell r="F382">
            <v>244</v>
          </cell>
          <cell r="G382">
            <v>244</v>
          </cell>
          <cell r="H382">
            <v>244</v>
          </cell>
          <cell r="I382">
            <v>244</v>
          </cell>
          <cell r="J382">
            <v>244</v>
          </cell>
          <cell r="K382">
            <v>244</v>
          </cell>
        </row>
        <row r="383">
          <cell r="C383" t="str">
            <v>-</v>
          </cell>
          <cell r="D383" t="str">
            <v>Samsung Galaxy A17 128GB 5G</v>
          </cell>
          <cell r="E383">
            <v>788</v>
          </cell>
          <cell r="F383">
            <v>788</v>
          </cell>
          <cell r="G383">
            <v>788</v>
          </cell>
          <cell r="H383">
            <v>788</v>
          </cell>
          <cell r="I383">
            <v>788</v>
          </cell>
          <cell r="J383">
            <v>788</v>
          </cell>
          <cell r="K383">
            <v>788</v>
          </cell>
        </row>
        <row r="384">
          <cell r="C384" t="str">
            <v>-</v>
          </cell>
          <cell r="D384" t="str">
            <v>Oppo A6X 256GB 5G</v>
          </cell>
          <cell r="E384">
            <v>955</v>
          </cell>
          <cell r="F384">
            <v>955</v>
          </cell>
          <cell r="G384">
            <v>955</v>
          </cell>
          <cell r="H384">
            <v>955</v>
          </cell>
          <cell r="I384">
            <v>955</v>
          </cell>
          <cell r="J384">
            <v>955</v>
          </cell>
          <cell r="K384">
            <v>955</v>
          </cell>
        </row>
        <row r="385">
          <cell r="C385" t="str">
            <v>-</v>
          </cell>
          <cell r="D385" t="str">
            <v>Samsung Galaxy A26 256GB 5G</v>
          </cell>
          <cell r="E385">
            <v>777</v>
          </cell>
          <cell r="F385">
            <v>777</v>
          </cell>
          <cell r="G385">
            <v>777</v>
          </cell>
          <cell r="H385">
            <v>777</v>
          </cell>
          <cell r="I385">
            <v>777</v>
          </cell>
          <cell r="J385">
            <v>777</v>
          </cell>
          <cell r="K385">
            <v>777</v>
          </cell>
        </row>
        <row r="386">
          <cell r="C386" t="str">
            <v>-</v>
          </cell>
          <cell r="D386" t="str">
            <v>Motorola Moto G86 Power 256GB 5G</v>
          </cell>
          <cell r="E386">
            <v>355</v>
          </cell>
          <cell r="F386">
            <v>355</v>
          </cell>
          <cell r="G386">
            <v>355</v>
          </cell>
          <cell r="H386">
            <v>355</v>
          </cell>
          <cell r="I386">
            <v>355</v>
          </cell>
          <cell r="J386">
            <v>355</v>
          </cell>
          <cell r="K386">
            <v>355</v>
          </cell>
        </row>
        <row r="387">
          <cell r="C387" t="str">
            <v>-</v>
          </cell>
          <cell r="D387" t="str">
            <v>Xiaomi Redmi Note 15 256GB 5G</v>
          </cell>
          <cell r="E387">
            <v>1199</v>
          </cell>
          <cell r="F387">
            <v>1199</v>
          </cell>
          <cell r="G387">
            <v>1199</v>
          </cell>
          <cell r="H387">
            <v>1199</v>
          </cell>
          <cell r="I387">
            <v>1199</v>
          </cell>
          <cell r="J387">
            <v>1199</v>
          </cell>
          <cell r="K387">
            <v>1199</v>
          </cell>
        </row>
        <row r="388">
          <cell r="C388" t="str">
            <v>-</v>
          </cell>
          <cell r="D388" t="str">
            <v>Honor 400 Lite 256GB 5G</v>
          </cell>
          <cell r="E388">
            <v>1333</v>
          </cell>
          <cell r="F388">
            <v>1333</v>
          </cell>
          <cell r="G388">
            <v>1333</v>
          </cell>
          <cell r="H388">
            <v>1333</v>
          </cell>
          <cell r="I388">
            <v>1333</v>
          </cell>
          <cell r="J388">
            <v>1333</v>
          </cell>
          <cell r="K388">
            <v>1333</v>
          </cell>
        </row>
        <row r="389">
          <cell r="C389" t="str">
            <v>-</v>
          </cell>
          <cell r="D389" t="str">
            <v>Xiaomi Redmi Note 14 Pro Plus 5G</v>
          </cell>
          <cell r="E389">
            <v>999</v>
          </cell>
          <cell r="F389">
            <v>999</v>
          </cell>
          <cell r="G389">
            <v>999</v>
          </cell>
          <cell r="H389">
            <v>999</v>
          </cell>
          <cell r="I389">
            <v>999</v>
          </cell>
          <cell r="J389">
            <v>999</v>
          </cell>
          <cell r="K389">
            <v>999</v>
          </cell>
        </row>
        <row r="390">
          <cell r="C390" t="str">
            <v>-</v>
          </cell>
          <cell r="D390" t="str">
            <v>Xiaomi Redmi Note 15 Pro 512GB 5G</v>
          </cell>
          <cell r="E390">
            <v>1666</v>
          </cell>
          <cell r="F390">
            <v>1666</v>
          </cell>
          <cell r="G390">
            <v>1666</v>
          </cell>
          <cell r="H390">
            <v>1666</v>
          </cell>
          <cell r="I390">
            <v>1666</v>
          </cell>
          <cell r="J390">
            <v>1666</v>
          </cell>
          <cell r="K390">
            <v>1666</v>
          </cell>
        </row>
        <row r="391">
          <cell r="C391" t="str">
            <v>-</v>
          </cell>
          <cell r="D391" t="str">
            <v>Xiaomi 14T 512GB 5G</v>
          </cell>
          <cell r="E391">
            <v>777</v>
          </cell>
          <cell r="F391">
            <v>777</v>
          </cell>
          <cell r="G391">
            <v>777</v>
          </cell>
          <cell r="H391">
            <v>777</v>
          </cell>
          <cell r="I391">
            <v>777</v>
          </cell>
          <cell r="J391">
            <v>777</v>
          </cell>
          <cell r="K391">
            <v>777</v>
          </cell>
        </row>
        <row r="392">
          <cell r="C392" t="str">
            <v>-</v>
          </cell>
          <cell r="D392" t="str">
            <v>Honor 400 512GB 5G</v>
          </cell>
          <cell r="E392">
            <v>1333</v>
          </cell>
          <cell r="F392">
            <v>1333</v>
          </cell>
          <cell r="G392">
            <v>1333</v>
          </cell>
          <cell r="H392">
            <v>1333</v>
          </cell>
          <cell r="I392">
            <v>1333</v>
          </cell>
          <cell r="J392">
            <v>1333</v>
          </cell>
          <cell r="K392">
            <v>1333</v>
          </cell>
        </row>
        <row r="393">
          <cell r="C393" t="str">
            <v>-</v>
          </cell>
          <cell r="D393" t="str">
            <v>Oppo Reno 14F 256GB 5G</v>
          </cell>
          <cell r="E393">
            <v>2077</v>
          </cell>
          <cell r="F393">
            <v>2077</v>
          </cell>
          <cell r="G393">
            <v>2077</v>
          </cell>
          <cell r="H393">
            <v>2077</v>
          </cell>
          <cell r="I393">
            <v>2077</v>
          </cell>
          <cell r="J393">
            <v>2077</v>
          </cell>
          <cell r="K393">
            <v>2077</v>
          </cell>
        </row>
        <row r="394">
          <cell r="C394" t="str">
            <v>-</v>
          </cell>
          <cell r="D394" t="str">
            <v>Samsung Galaxy S24 FE 128GB 5G</v>
          </cell>
          <cell r="E394">
            <v>1722</v>
          </cell>
          <cell r="F394">
            <v>1722</v>
          </cell>
          <cell r="G394">
            <v>1722</v>
          </cell>
          <cell r="H394">
            <v>1722</v>
          </cell>
          <cell r="I394">
            <v>1722</v>
          </cell>
          <cell r="J394">
            <v>1722</v>
          </cell>
          <cell r="K394">
            <v>1722</v>
          </cell>
        </row>
        <row r="395">
          <cell r="C395" t="str">
            <v>-</v>
          </cell>
          <cell r="D395" t="str">
            <v>Xiaomi 15T 512GB 5G</v>
          </cell>
          <cell r="E395">
            <v>1888</v>
          </cell>
          <cell r="F395">
            <v>1888</v>
          </cell>
          <cell r="G395">
            <v>1888</v>
          </cell>
          <cell r="H395">
            <v>1888</v>
          </cell>
          <cell r="I395">
            <v>1888</v>
          </cell>
          <cell r="J395">
            <v>1888</v>
          </cell>
          <cell r="K395">
            <v>1888</v>
          </cell>
        </row>
        <row r="396">
          <cell r="C396" t="str">
            <v>-</v>
          </cell>
          <cell r="D396" t="str">
            <v>Honor 400 Pro 512GB 5G</v>
          </cell>
          <cell r="E396">
            <v>2999</v>
          </cell>
          <cell r="F396">
            <v>2999</v>
          </cell>
          <cell r="G396">
            <v>2999</v>
          </cell>
          <cell r="H396">
            <v>2999</v>
          </cell>
          <cell r="I396">
            <v>2999</v>
          </cell>
          <cell r="J396">
            <v>2999</v>
          </cell>
          <cell r="K396">
            <v>2999</v>
          </cell>
        </row>
        <row r="397">
          <cell r="C397" t="str">
            <v>-</v>
          </cell>
          <cell r="D397" t="str">
            <v>Samsung Galaxy S26 Plus 256GB 5G</v>
          </cell>
          <cell r="E397">
            <v>4333</v>
          </cell>
          <cell r="F397">
            <v>4333</v>
          </cell>
          <cell r="G397">
            <v>4333</v>
          </cell>
          <cell r="H397">
            <v>4333</v>
          </cell>
          <cell r="I397">
            <v>4333</v>
          </cell>
          <cell r="J397">
            <v>4333</v>
          </cell>
          <cell r="K397">
            <v>4333</v>
          </cell>
        </row>
        <row r="398">
          <cell r="C398" t="str">
            <v>-</v>
          </cell>
          <cell r="D398" t="str">
            <v>Samsung Galaxy S26 Ultra 256GB 5G</v>
          </cell>
          <cell r="E398">
            <v>5110</v>
          </cell>
          <cell r="F398">
            <v>5110</v>
          </cell>
          <cell r="G398">
            <v>5110</v>
          </cell>
          <cell r="H398">
            <v>5110</v>
          </cell>
          <cell r="I398">
            <v>5110</v>
          </cell>
          <cell r="J398">
            <v>5110</v>
          </cell>
          <cell r="K398">
            <v>5110</v>
          </cell>
        </row>
        <row r="399">
          <cell r="C399" t="str">
            <v>-</v>
          </cell>
          <cell r="D399" t="str">
            <v>Vivo Y31 256GB 5G</v>
          </cell>
          <cell r="E399">
            <v>1277</v>
          </cell>
          <cell r="F399">
            <v>1277</v>
          </cell>
          <cell r="G399">
            <v>1277</v>
          </cell>
          <cell r="H399">
            <v>1277</v>
          </cell>
          <cell r="I399">
            <v>1277</v>
          </cell>
          <cell r="J399">
            <v>1277</v>
          </cell>
          <cell r="K399">
            <v>1277</v>
          </cell>
        </row>
        <row r="400">
          <cell r="C400" t="str">
            <v>-</v>
          </cell>
          <cell r="D400" t="str">
            <v>Vivo V70 FE 256GB 5G</v>
          </cell>
          <cell r="E400">
            <v>2066</v>
          </cell>
          <cell r="F400">
            <v>2066</v>
          </cell>
          <cell r="G400">
            <v>2066</v>
          </cell>
          <cell r="H400">
            <v>2066</v>
          </cell>
          <cell r="I400">
            <v>2066</v>
          </cell>
          <cell r="J400">
            <v>2066</v>
          </cell>
          <cell r="K400">
            <v>2066</v>
          </cell>
        </row>
        <row r="401">
          <cell r="C401" t="str">
            <v>-</v>
          </cell>
          <cell r="D401" t="str">
            <v>Honor X8D 256GB 4G</v>
          </cell>
          <cell r="E401">
            <v>1066</v>
          </cell>
          <cell r="F401">
            <v>1066</v>
          </cell>
          <cell r="G401">
            <v>1066</v>
          </cell>
          <cell r="H401">
            <v>1066</v>
          </cell>
          <cell r="I401">
            <v>1066</v>
          </cell>
          <cell r="J401">
            <v>1066</v>
          </cell>
          <cell r="K401">
            <v>1066</v>
          </cell>
        </row>
        <row r="402">
          <cell r="C402" t="str">
            <v>-</v>
          </cell>
          <cell r="D402" t="str">
            <v>Samsung Galaxy A16 128GB 5G</v>
          </cell>
          <cell r="E402">
            <v>177</v>
          </cell>
          <cell r="F402">
            <v>177</v>
          </cell>
          <cell r="G402">
            <v>177</v>
          </cell>
          <cell r="H402">
            <v>177</v>
          </cell>
          <cell r="I402">
            <v>177</v>
          </cell>
          <cell r="J402">
            <v>177</v>
          </cell>
          <cell r="K402">
            <v>177</v>
          </cell>
        </row>
        <row r="403">
          <cell r="C403" t="str">
            <v>-</v>
          </cell>
          <cell r="D403" t="str">
            <v>Honor 600 512GB 5G</v>
          </cell>
          <cell r="E403">
            <v>2533</v>
          </cell>
          <cell r="F403">
            <v>2533</v>
          </cell>
          <cell r="G403">
            <v>2533</v>
          </cell>
          <cell r="H403">
            <v>2533</v>
          </cell>
          <cell r="I403">
            <v>2533</v>
          </cell>
          <cell r="J403">
            <v>2533</v>
          </cell>
          <cell r="K403">
            <v>2533</v>
          </cell>
        </row>
        <row r="404">
          <cell r="C404" t="str">
            <v>-</v>
          </cell>
          <cell r="D404" t="str">
            <v>Xiaomi Redmi A7 Pro 128GB 4G</v>
          </cell>
          <cell r="E404">
            <v>444</v>
          </cell>
          <cell r="F404">
            <v>444</v>
          </cell>
          <cell r="G404">
            <v>444</v>
          </cell>
          <cell r="H404">
            <v>444</v>
          </cell>
          <cell r="I404">
            <v>444</v>
          </cell>
          <cell r="J404">
            <v>444</v>
          </cell>
          <cell r="K404">
            <v>444</v>
          </cell>
        </row>
        <row r="405">
          <cell r="C405" t="str">
            <v>-</v>
          </cell>
          <cell r="D405" t="str">
            <v>Samsung Galaxy A06 128GB 4G</v>
          </cell>
          <cell r="E405">
            <v>110</v>
          </cell>
          <cell r="F405">
            <v>110</v>
          </cell>
          <cell r="G405">
            <v>110</v>
          </cell>
          <cell r="H405">
            <v>110</v>
          </cell>
          <cell r="I405">
            <v>110</v>
          </cell>
          <cell r="J405">
            <v>110</v>
          </cell>
          <cell r="K405">
            <v>110</v>
          </cell>
        </row>
        <row r="406">
          <cell r="C406" t="str">
            <v>-</v>
          </cell>
          <cell r="D406" t="str">
            <v>Motorola Moto G17 256GB 4G</v>
          </cell>
          <cell r="E406">
            <v>666</v>
          </cell>
          <cell r="F406">
            <v>666</v>
          </cell>
          <cell r="G406">
            <v>666</v>
          </cell>
          <cell r="H406">
            <v>666</v>
          </cell>
          <cell r="I406">
            <v>666</v>
          </cell>
          <cell r="J406">
            <v>666</v>
          </cell>
          <cell r="K406">
            <v>666</v>
          </cell>
        </row>
        <row r="407">
          <cell r="C407" t="str">
            <v>-</v>
          </cell>
          <cell r="D407" t="str">
            <v>Xiaomi 17T 512GB 5G</v>
          </cell>
          <cell r="E407">
            <v>2877</v>
          </cell>
          <cell r="F407">
            <v>2877</v>
          </cell>
          <cell r="G407">
            <v>2877</v>
          </cell>
          <cell r="H407">
            <v>2877</v>
          </cell>
          <cell r="I407">
            <v>2877</v>
          </cell>
          <cell r="J407">
            <v>2877</v>
          </cell>
          <cell r="K407">
            <v>2877</v>
          </cell>
        </row>
        <row r="408">
          <cell r="C408" t="str">
            <v>-</v>
          </cell>
          <cell r="D408" t="str">
            <v>Motorola Moto G47 128GB 5G</v>
          </cell>
          <cell r="E408">
            <v>788</v>
          </cell>
          <cell r="F408">
            <v>788</v>
          </cell>
          <cell r="G408">
            <v>788</v>
          </cell>
          <cell r="H408">
            <v>788</v>
          </cell>
          <cell r="I408">
            <v>788</v>
          </cell>
          <cell r="J408">
            <v>788</v>
          </cell>
          <cell r="K408">
            <v>788</v>
          </cell>
        </row>
        <row r="409">
          <cell r="C409" t="str">
            <v>-</v>
          </cell>
          <cell r="D409" t="str">
            <v>ZTE Blade A76 256GB 5G</v>
          </cell>
          <cell r="E409">
            <v>577</v>
          </cell>
          <cell r="F409">
            <v>577</v>
          </cell>
          <cell r="G409">
            <v>577</v>
          </cell>
          <cell r="H409">
            <v>577</v>
          </cell>
          <cell r="I409">
            <v>577</v>
          </cell>
          <cell r="J409">
            <v>577</v>
          </cell>
          <cell r="K409">
            <v>577</v>
          </cell>
        </row>
        <row r="410">
          <cell r="C410" t="str">
            <v>-</v>
          </cell>
          <cell r="D410" t="str">
            <v>Xiaomi Redmi 15 4G</v>
          </cell>
          <cell r="E410">
            <v>777</v>
          </cell>
          <cell r="F410">
            <v>777</v>
          </cell>
          <cell r="G410">
            <v>777</v>
          </cell>
          <cell r="H410">
            <v>777</v>
          </cell>
          <cell r="I410">
            <v>777</v>
          </cell>
          <cell r="J410">
            <v>777</v>
          </cell>
          <cell r="K410">
            <v>777</v>
          </cell>
        </row>
        <row r="411">
          <cell r="C411" t="str">
            <v>-</v>
          </cell>
          <cell r="D411" t="str">
            <v>Vivo Y29S 256GB 5G</v>
          </cell>
          <cell r="E411">
            <v>722</v>
          </cell>
          <cell r="F411">
            <v>722</v>
          </cell>
          <cell r="G411">
            <v>722</v>
          </cell>
          <cell r="H411">
            <v>722</v>
          </cell>
          <cell r="I411">
            <v>722</v>
          </cell>
          <cell r="J411">
            <v>722</v>
          </cell>
          <cell r="K411">
            <v>722</v>
          </cell>
        </row>
        <row r="412">
          <cell r="C412" t="str">
            <v>-</v>
          </cell>
          <cell r="D412" t="str">
            <v>Vivo Y39 256GB 5G</v>
          </cell>
          <cell r="E412">
            <v>944</v>
          </cell>
          <cell r="F412">
            <v>944</v>
          </cell>
          <cell r="G412">
            <v>944</v>
          </cell>
          <cell r="H412">
            <v>944</v>
          </cell>
          <cell r="I412">
            <v>944</v>
          </cell>
          <cell r="J412">
            <v>944</v>
          </cell>
          <cell r="K412">
            <v>944</v>
          </cell>
        </row>
        <row r="413">
          <cell r="C413" t="str">
            <v>-</v>
          </cell>
          <cell r="D413" t="str">
            <v>Oppo A5 256GB 5G</v>
          </cell>
          <cell r="E413">
            <v>1110</v>
          </cell>
          <cell r="F413">
            <v>1110</v>
          </cell>
          <cell r="G413">
            <v>1110</v>
          </cell>
          <cell r="H413">
            <v>1110</v>
          </cell>
          <cell r="I413">
            <v>1110</v>
          </cell>
          <cell r="J413">
            <v>1110</v>
          </cell>
          <cell r="K413">
            <v>1110</v>
          </cell>
        </row>
        <row r="414">
          <cell r="C414" t="str">
            <v>-</v>
          </cell>
          <cell r="D414" t="str">
            <v>Vivo V50 Lite 256GB 5G</v>
          </cell>
          <cell r="E414">
            <v>1122</v>
          </cell>
          <cell r="F414">
            <v>1122</v>
          </cell>
          <cell r="G414">
            <v>1122</v>
          </cell>
          <cell r="H414">
            <v>1122</v>
          </cell>
          <cell r="I414">
            <v>1122</v>
          </cell>
          <cell r="J414">
            <v>1122</v>
          </cell>
          <cell r="K414">
            <v>1122</v>
          </cell>
        </row>
        <row r="415">
          <cell r="C415" t="str">
            <v>-</v>
          </cell>
          <cell r="D415" t="str">
            <v>Oppo A6 Pro 256GB 5G</v>
          </cell>
          <cell r="E415">
            <v>1555</v>
          </cell>
          <cell r="F415">
            <v>1555</v>
          </cell>
          <cell r="G415">
            <v>1555</v>
          </cell>
          <cell r="H415">
            <v>1555</v>
          </cell>
          <cell r="I415">
            <v>1555</v>
          </cell>
          <cell r="J415">
            <v>1555</v>
          </cell>
          <cell r="K415">
            <v>1555</v>
          </cell>
        </row>
        <row r="416">
          <cell r="C416" t="str">
            <v>-</v>
          </cell>
          <cell r="D416" t="str">
            <v>Xiaomi Redmi Note 15 Pro Plus 512GB 5G</v>
          </cell>
          <cell r="E416">
            <v>1777</v>
          </cell>
          <cell r="F416">
            <v>1777</v>
          </cell>
          <cell r="G416">
            <v>1777</v>
          </cell>
          <cell r="H416">
            <v>1777</v>
          </cell>
          <cell r="I416">
            <v>1777</v>
          </cell>
          <cell r="J416">
            <v>1777</v>
          </cell>
          <cell r="K416">
            <v>1777</v>
          </cell>
        </row>
        <row r="417">
          <cell r="C417" t="str">
            <v>-</v>
          </cell>
          <cell r="D417" t="str">
            <v>Apple Iphone 15 128GB 5G</v>
          </cell>
          <cell r="E417">
            <v>3022</v>
          </cell>
          <cell r="F417">
            <v>3022</v>
          </cell>
          <cell r="G417">
            <v>3022</v>
          </cell>
          <cell r="H417">
            <v>3022</v>
          </cell>
          <cell r="I417">
            <v>3022</v>
          </cell>
          <cell r="J417">
            <v>3022</v>
          </cell>
          <cell r="K417">
            <v>3022</v>
          </cell>
        </row>
        <row r="418">
          <cell r="C418" t="str">
            <v>-</v>
          </cell>
          <cell r="D418" t="str">
            <v>Apple Iphone 17 256GB 5G</v>
          </cell>
          <cell r="E418">
            <v>3966</v>
          </cell>
          <cell r="F418">
            <v>3966</v>
          </cell>
          <cell r="G418">
            <v>3966</v>
          </cell>
          <cell r="H418">
            <v>3966</v>
          </cell>
          <cell r="I418">
            <v>3966</v>
          </cell>
          <cell r="J418">
            <v>3966</v>
          </cell>
          <cell r="K418">
            <v>3966</v>
          </cell>
        </row>
        <row r="419">
          <cell r="C419" t="str">
            <v>-</v>
          </cell>
          <cell r="D419" t="str">
            <v>Apple Iphone 17 512GB 5G</v>
          </cell>
          <cell r="E419">
            <v>4910</v>
          </cell>
          <cell r="F419">
            <v>4910</v>
          </cell>
          <cell r="G419">
            <v>4910</v>
          </cell>
          <cell r="H419">
            <v>4910</v>
          </cell>
          <cell r="I419">
            <v>4910</v>
          </cell>
          <cell r="J419">
            <v>4910</v>
          </cell>
          <cell r="K419">
            <v>4910</v>
          </cell>
        </row>
        <row r="420">
          <cell r="C420" t="str">
            <v>-</v>
          </cell>
          <cell r="D420" t="str">
            <v>Apple Iphone 17 Pro 256GB 5G</v>
          </cell>
          <cell r="E420">
            <v>5388</v>
          </cell>
          <cell r="F420">
            <v>5388</v>
          </cell>
          <cell r="G420">
            <v>5388</v>
          </cell>
          <cell r="H420">
            <v>5388</v>
          </cell>
          <cell r="I420">
            <v>5388</v>
          </cell>
          <cell r="J420">
            <v>5388</v>
          </cell>
          <cell r="K420">
            <v>5388</v>
          </cell>
        </row>
        <row r="421">
          <cell r="C421" t="str">
            <v>-</v>
          </cell>
          <cell r="D421" t="str">
            <v>Apple Iphone 17 Pro Max 256GB 5G</v>
          </cell>
          <cell r="E421">
            <v>5855</v>
          </cell>
          <cell r="F421">
            <v>5855</v>
          </cell>
          <cell r="G421">
            <v>5855</v>
          </cell>
          <cell r="H421">
            <v>5855</v>
          </cell>
          <cell r="I421">
            <v>5855</v>
          </cell>
          <cell r="J421">
            <v>5855</v>
          </cell>
          <cell r="K421">
            <v>5855</v>
          </cell>
        </row>
        <row r="422">
          <cell r="C422" t="str">
            <v>-</v>
          </cell>
          <cell r="D422" t="str">
            <v>Vivo Y31 512GB 5G</v>
          </cell>
          <cell r="E422">
            <v>1222</v>
          </cell>
          <cell r="F422">
            <v>1222</v>
          </cell>
          <cell r="G422">
            <v>1222</v>
          </cell>
          <cell r="H422">
            <v>1222</v>
          </cell>
          <cell r="I422">
            <v>1222</v>
          </cell>
          <cell r="J422">
            <v>1222</v>
          </cell>
          <cell r="K422">
            <v>1222</v>
          </cell>
        </row>
        <row r="423">
          <cell r="C423" t="str">
            <v>-</v>
          </cell>
          <cell r="D423" t="str">
            <v>Motorola Moto G06 256GB 4G</v>
          </cell>
          <cell r="E423">
            <v>455</v>
          </cell>
          <cell r="F423">
            <v>455</v>
          </cell>
          <cell r="G423">
            <v>455</v>
          </cell>
          <cell r="H423">
            <v>455</v>
          </cell>
          <cell r="I423">
            <v>455</v>
          </cell>
          <cell r="J423">
            <v>455</v>
          </cell>
          <cell r="K423">
            <v>455</v>
          </cell>
        </row>
        <row r="424">
          <cell r="C424" t="str">
            <v>-</v>
          </cell>
          <cell r="D424" t="str">
            <v>Motorola Moto G77 256GB 5G</v>
          </cell>
          <cell r="E424">
            <v>1155</v>
          </cell>
          <cell r="F424">
            <v>1155</v>
          </cell>
          <cell r="G424">
            <v>1155</v>
          </cell>
          <cell r="H424">
            <v>1155</v>
          </cell>
          <cell r="I424">
            <v>1155</v>
          </cell>
          <cell r="J424">
            <v>1155</v>
          </cell>
          <cell r="K424">
            <v>1155</v>
          </cell>
        </row>
        <row r="425">
          <cell r="C425" t="str">
            <v>-</v>
          </cell>
          <cell r="D425" t="str">
            <v>Samsung Galaxy A37 256GB 5G</v>
          </cell>
          <cell r="E425">
            <v>1477</v>
          </cell>
          <cell r="F425">
            <v>1477</v>
          </cell>
          <cell r="G425">
            <v>1477</v>
          </cell>
          <cell r="H425">
            <v>1477</v>
          </cell>
          <cell r="I425">
            <v>1477</v>
          </cell>
          <cell r="J425">
            <v>1477</v>
          </cell>
          <cell r="K425">
            <v>1477</v>
          </cell>
        </row>
        <row r="426">
          <cell r="C426" t="str">
            <v>-</v>
          </cell>
          <cell r="D426" t="str">
            <v>Samsung Galaxy A57 256GB 5G</v>
          </cell>
          <cell r="E426">
            <v>1722</v>
          </cell>
          <cell r="F426">
            <v>1722</v>
          </cell>
          <cell r="G426">
            <v>1722</v>
          </cell>
          <cell r="H426">
            <v>1722</v>
          </cell>
          <cell r="I426">
            <v>1722</v>
          </cell>
          <cell r="J426">
            <v>1722</v>
          </cell>
          <cell r="K426">
            <v>1722</v>
          </cell>
        </row>
        <row r="427">
          <cell r="C427" t="str">
            <v>-</v>
          </cell>
          <cell r="D427" t="str">
            <v>Zte Nubia Neo5 256GB 5G</v>
          </cell>
          <cell r="E427">
            <v>1055</v>
          </cell>
          <cell r="F427">
            <v>1055</v>
          </cell>
          <cell r="G427">
            <v>1055</v>
          </cell>
          <cell r="H427">
            <v>1055</v>
          </cell>
          <cell r="I427">
            <v>1055</v>
          </cell>
          <cell r="J427">
            <v>1055</v>
          </cell>
          <cell r="K427">
            <v>1055</v>
          </cell>
        </row>
        <row r="428">
          <cell r="C428" t="str">
            <v>-</v>
          </cell>
          <cell r="D428" t="str">
            <v>Motorola Moto G67 256GB 5G</v>
          </cell>
          <cell r="E428">
            <v>999</v>
          </cell>
          <cell r="F428">
            <v>999</v>
          </cell>
          <cell r="G428">
            <v>999</v>
          </cell>
          <cell r="H428">
            <v>999</v>
          </cell>
          <cell r="I428">
            <v>999</v>
          </cell>
          <cell r="J428">
            <v>999</v>
          </cell>
          <cell r="K428">
            <v>999</v>
          </cell>
        </row>
        <row r="429">
          <cell r="C429" t="str">
            <v>-</v>
          </cell>
          <cell r="D429" t="str">
            <v>Oppo A6C 128GB 4G</v>
          </cell>
          <cell r="E429">
            <v>655</v>
          </cell>
          <cell r="F429">
            <v>655</v>
          </cell>
          <cell r="G429">
            <v>655</v>
          </cell>
          <cell r="H429">
            <v>655</v>
          </cell>
          <cell r="I429">
            <v>655</v>
          </cell>
          <cell r="J429">
            <v>655</v>
          </cell>
          <cell r="K429">
            <v>655</v>
          </cell>
        </row>
        <row r="430">
          <cell r="C430" t="str">
            <v>-</v>
          </cell>
          <cell r="D430" t="str">
            <v>Honor X5D 128GB 4G</v>
          </cell>
          <cell r="E430">
            <v>444</v>
          </cell>
          <cell r="F430">
            <v>444</v>
          </cell>
          <cell r="G430">
            <v>444</v>
          </cell>
          <cell r="H430">
            <v>444</v>
          </cell>
          <cell r="I430">
            <v>444</v>
          </cell>
          <cell r="J430">
            <v>444</v>
          </cell>
          <cell r="K430">
            <v>444</v>
          </cell>
        </row>
        <row r="431">
          <cell r="C431" t="str">
            <v>-</v>
          </cell>
          <cell r="D431" t="str">
            <v>Honor 600e 512GB 5G</v>
          </cell>
          <cell r="E431">
            <v>2199</v>
          </cell>
          <cell r="F431">
            <v>2199</v>
          </cell>
          <cell r="G431">
            <v>2199</v>
          </cell>
          <cell r="H431">
            <v>2199</v>
          </cell>
          <cell r="I431">
            <v>2199</v>
          </cell>
          <cell r="J431">
            <v>2199</v>
          </cell>
          <cell r="K431">
            <v>2199</v>
          </cell>
        </row>
        <row r="432">
          <cell r="C432" t="str">
            <v>-</v>
          </cell>
          <cell r="D432" t="str">
            <v>Xiaomi 17T Pro 512GB 5G</v>
          </cell>
          <cell r="E432">
            <v>3333</v>
          </cell>
          <cell r="F432">
            <v>3333</v>
          </cell>
          <cell r="G432">
            <v>3333</v>
          </cell>
          <cell r="H432">
            <v>3333</v>
          </cell>
          <cell r="I432">
            <v>3333</v>
          </cell>
          <cell r="J432">
            <v>3333</v>
          </cell>
          <cell r="K432">
            <v>3333</v>
          </cell>
        </row>
        <row r="433">
          <cell r="C433" t="str">
            <v>-</v>
          </cell>
          <cell r="D433" t="str">
            <v>Samsung Galaxy A27 128GB 5G</v>
          </cell>
          <cell r="E433">
            <v>999</v>
          </cell>
          <cell r="F433">
            <v>999</v>
          </cell>
          <cell r="G433">
            <v>999</v>
          </cell>
          <cell r="H433">
            <v>999</v>
          </cell>
          <cell r="I433">
            <v>999</v>
          </cell>
          <cell r="J433">
            <v>999</v>
          </cell>
          <cell r="K433">
            <v>999</v>
          </cell>
        </row>
        <row r="434">
          <cell r="C434" t="str">
            <v>-</v>
          </cell>
          <cell r="D434" t="str">
            <v>Samsung Galaxy A57 512GB 5G</v>
          </cell>
          <cell r="E434">
            <v>2222</v>
          </cell>
          <cell r="F434">
            <v>2222</v>
          </cell>
          <cell r="G434">
            <v>2222</v>
          </cell>
          <cell r="H434">
            <v>2222</v>
          </cell>
          <cell r="I434">
            <v>2222</v>
          </cell>
          <cell r="J434">
            <v>2222</v>
          </cell>
          <cell r="K434">
            <v>2222</v>
          </cell>
        </row>
        <row r="435">
          <cell r="C435" t="str">
            <v>-</v>
          </cell>
          <cell r="D435" t="str">
            <v>Samsung Galaxy A27 256GB 5G</v>
          </cell>
          <cell r="E435">
            <v>1233</v>
          </cell>
          <cell r="F435">
            <v>1233</v>
          </cell>
          <cell r="G435">
            <v>1233</v>
          </cell>
          <cell r="H435">
            <v>1233</v>
          </cell>
          <cell r="I435">
            <v>1233</v>
          </cell>
          <cell r="J435">
            <v>1233</v>
          </cell>
          <cell r="K435">
            <v>1233</v>
          </cell>
        </row>
        <row r="436">
          <cell r="C436" t="str">
            <v>-</v>
          </cell>
          <cell r="D436" t="str">
            <v>Honor 600 Smart 256GB 5G</v>
          </cell>
          <cell r="E436">
            <v>1544</v>
          </cell>
          <cell r="F436">
            <v>1544</v>
          </cell>
          <cell r="G436">
            <v>1544</v>
          </cell>
          <cell r="H436">
            <v>1544</v>
          </cell>
          <cell r="I436">
            <v>1544</v>
          </cell>
          <cell r="J436">
            <v>1544</v>
          </cell>
          <cell r="K436">
            <v>1544</v>
          </cell>
        </row>
      </sheetData>
      <sheetData sheetId="17"/>
      <sheetData sheetId="18"/>
      <sheetData sheetId="19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embed.studio.binkies3d.com/live3d/69e114f643ca7a0036ed5b71" TargetMode="External"/><Relationship Id="rId21" Type="http://schemas.openxmlformats.org/officeDocument/2006/relationships/hyperlink" Target="https://embed.studio.binkies3d.com/live3d/69e12e86c7300c0037614cff" TargetMode="External"/><Relationship Id="rId42" Type="http://schemas.openxmlformats.org/officeDocument/2006/relationships/hyperlink" Target="https://embed.studio.binkies3d.com/live3d/69e1307074c82e003663e011" TargetMode="External"/><Relationship Id="rId47" Type="http://schemas.openxmlformats.org/officeDocument/2006/relationships/hyperlink" Target="https://embed.studio.binkies3d.com/live3d/69e131ddc7300c0037614da6" TargetMode="External"/><Relationship Id="rId63" Type="http://schemas.openxmlformats.org/officeDocument/2006/relationships/hyperlink" Target="https://embed.studio.binkies3d.com/live3d/6a6e6f4b534bb500360dc962" TargetMode="External"/><Relationship Id="rId68" Type="http://schemas.openxmlformats.org/officeDocument/2006/relationships/hyperlink" Target="https://embed.studio.binkies3d.com/live3d/6a6e70108f8d0500375d02dd" TargetMode="External"/><Relationship Id="rId7" Type="http://schemas.openxmlformats.org/officeDocument/2006/relationships/hyperlink" Target="https://embed.studio.binkies3d.com/live3d/69e12b92c7300c00376149f6" TargetMode="External"/><Relationship Id="rId71" Type="http://schemas.openxmlformats.org/officeDocument/2006/relationships/hyperlink" Target="https://embed.studio.binkies3d.com/live3d/6a6e70bac6517e003644ef4a" TargetMode="External"/><Relationship Id="rId2" Type="http://schemas.openxmlformats.org/officeDocument/2006/relationships/hyperlink" Target="https://embed.studio.binkies3d.com/live3d/69e129f8a8d031003791f1a7" TargetMode="External"/><Relationship Id="rId16" Type="http://schemas.openxmlformats.org/officeDocument/2006/relationships/hyperlink" Target="https://embed.studio.binkies3d.com/live3d/69e12ddc74c82e003663dbda" TargetMode="External"/><Relationship Id="rId29" Type="http://schemas.openxmlformats.org/officeDocument/2006/relationships/hyperlink" Target="https://embed.studio.binkies3d.com/live3d/69e12efb74c82e003663dd2c" TargetMode="External"/><Relationship Id="rId11" Type="http://schemas.openxmlformats.org/officeDocument/2006/relationships/hyperlink" Target="https://embed.studio.binkies3d.com/live3d/69e12c8cc7300c0037614adf" TargetMode="External"/><Relationship Id="rId24" Type="http://schemas.openxmlformats.org/officeDocument/2006/relationships/hyperlink" Target="https://embed.studio.binkies3d.com/live3d/69e128bc492f94003516cb89" TargetMode="External"/><Relationship Id="rId32" Type="http://schemas.openxmlformats.org/officeDocument/2006/relationships/hyperlink" Target="https://embed.studio.binkies3d.com/live3d/69e12f4874c82e003663ddc0" TargetMode="External"/><Relationship Id="rId37" Type="http://schemas.openxmlformats.org/officeDocument/2006/relationships/hyperlink" Target="https://embed.studio.binkies3d.com/live3d/69e12fc4492f94003516cec6" TargetMode="External"/><Relationship Id="rId40" Type="http://schemas.openxmlformats.org/officeDocument/2006/relationships/hyperlink" Target="https://embed.studio.binkies3d.com/live3d/69e1302274c82e003663df99" TargetMode="External"/><Relationship Id="rId45" Type="http://schemas.openxmlformats.org/officeDocument/2006/relationships/hyperlink" Target="https://embed.studio.binkies3d.com/live3d/69e130dda8d031003791f4d0" TargetMode="External"/><Relationship Id="rId53" Type="http://schemas.openxmlformats.org/officeDocument/2006/relationships/hyperlink" Target="https://embed.studio.binkies3d.com/live3d/69e13301c7300c0037614f10" TargetMode="External"/><Relationship Id="rId58" Type="http://schemas.openxmlformats.org/officeDocument/2006/relationships/hyperlink" Target="https://cdn-files.kimovil.com/default/0013/12/thumb_1211047_default_big.png" TargetMode="External"/><Relationship Id="rId66" Type="http://schemas.openxmlformats.org/officeDocument/2006/relationships/hyperlink" Target="https://embed.studio.binkies3d.com/live3d/6a6e6fbe8f8d0500375d012d" TargetMode="External"/><Relationship Id="rId5" Type="http://schemas.openxmlformats.org/officeDocument/2006/relationships/hyperlink" Target="https://embed.studio.binkies3d.com/live3d/69e12ae6c7300c0037614948" TargetMode="External"/><Relationship Id="rId61" Type="http://schemas.openxmlformats.org/officeDocument/2006/relationships/hyperlink" Target="https://embed.studio.binkies3d.com/live3d/69eaa43950dfff0035ea3e84" TargetMode="External"/><Relationship Id="rId19" Type="http://schemas.openxmlformats.org/officeDocument/2006/relationships/hyperlink" Target="https://embed.studio.binkies3d.com/live3d/69e12e3fa8d031003791f32c" TargetMode="External"/><Relationship Id="rId14" Type="http://schemas.openxmlformats.org/officeDocument/2006/relationships/hyperlink" Target="https://embed.studio.binkies3d.com/live3d/69e12d77c7300c0037614c47" TargetMode="External"/><Relationship Id="rId22" Type="http://schemas.openxmlformats.org/officeDocument/2006/relationships/hyperlink" Target="https://embed.studio.binkies3d.com/live3d/69e12831492f94003516cb26" TargetMode="External"/><Relationship Id="rId27" Type="http://schemas.openxmlformats.org/officeDocument/2006/relationships/hyperlink" Target="https://embed.studio.binkies3d.com/live3d/69e128e8dd904d00377a0669" TargetMode="External"/><Relationship Id="rId30" Type="http://schemas.openxmlformats.org/officeDocument/2006/relationships/hyperlink" Target="https://embed.studio.binkies3d.com/live3d/69e12f1374c82e003663dd6e" TargetMode="External"/><Relationship Id="rId35" Type="http://schemas.openxmlformats.org/officeDocument/2006/relationships/hyperlink" Target="https://embed.studio.binkies3d.com/live3d/69e12f8b74c82e003663deb3" TargetMode="External"/><Relationship Id="rId43" Type="http://schemas.openxmlformats.org/officeDocument/2006/relationships/hyperlink" Target="https://embed.studio.binkies3d.com/live3d/69e1309374c82e003663e051" TargetMode="External"/><Relationship Id="rId48" Type="http://schemas.openxmlformats.org/officeDocument/2006/relationships/hyperlink" Target="https://embed.studio.binkies3d.com/live3d/69e1320974c82e003663e48b" TargetMode="External"/><Relationship Id="rId56" Type="http://schemas.openxmlformats.org/officeDocument/2006/relationships/hyperlink" Target="https://embed.studio.binkies3d.com/live3d/69e1336874c82e003663e51a" TargetMode="External"/><Relationship Id="rId64" Type="http://schemas.openxmlformats.org/officeDocument/2006/relationships/hyperlink" Target="https://embed.studio.binkies3d.com/live3d/6a6e6f7a534bb500360dc9d1" TargetMode="External"/><Relationship Id="rId69" Type="http://schemas.openxmlformats.org/officeDocument/2006/relationships/hyperlink" Target="https://embed.studio.binkies3d.com/live3d/6a6e7036534bb500360dcabe" TargetMode="External"/><Relationship Id="rId8" Type="http://schemas.openxmlformats.org/officeDocument/2006/relationships/hyperlink" Target="https://embed.studio.binkies3d.com/live3d/69e12bf5492f94003516cd5f" TargetMode="External"/><Relationship Id="rId51" Type="http://schemas.openxmlformats.org/officeDocument/2006/relationships/hyperlink" Target="https://embed.studio.binkies3d.com/live3d/69e132b0c7300c0037614e73" TargetMode="External"/><Relationship Id="rId72" Type="http://schemas.openxmlformats.org/officeDocument/2006/relationships/hyperlink" Target="https://embed.studio.binkies3d.com/live3d/6a6e70f8c6517e003644ef79" TargetMode="External"/><Relationship Id="rId3" Type="http://schemas.openxmlformats.org/officeDocument/2006/relationships/hyperlink" Target="https://embed.studio.binkies3d.com/live3d/69e12a7bc7300c00376148d6" TargetMode="External"/><Relationship Id="rId12" Type="http://schemas.openxmlformats.org/officeDocument/2006/relationships/hyperlink" Target="https://embed.studio.binkies3d.com/live3d/69e12ccac7300c0037614b7e" TargetMode="External"/><Relationship Id="rId17" Type="http://schemas.openxmlformats.org/officeDocument/2006/relationships/hyperlink" Target="https://embed.studio.binkies3d.com/live3d/69e12e0074c82e003663dc30" TargetMode="External"/><Relationship Id="rId25" Type="http://schemas.openxmlformats.org/officeDocument/2006/relationships/hyperlink" Target="https://embed.studio.binkies3d.com/live3d/69e12945dd904d00377a06d8" TargetMode="External"/><Relationship Id="rId33" Type="http://schemas.openxmlformats.org/officeDocument/2006/relationships/hyperlink" Target="https://embed.studio.binkies3d.com/live3d/69e12f5d74c82e003663de02" TargetMode="External"/><Relationship Id="rId38" Type="http://schemas.openxmlformats.org/officeDocument/2006/relationships/hyperlink" Target="https://embed.studio.binkies3d.com/live3d/69e12fe8492f94003516cf18" TargetMode="External"/><Relationship Id="rId46" Type="http://schemas.openxmlformats.org/officeDocument/2006/relationships/hyperlink" Target="https://embed.studio.binkies3d.com/live3d/69e130fb492f94003516d00d" TargetMode="External"/><Relationship Id="rId59" Type="http://schemas.openxmlformats.org/officeDocument/2006/relationships/hyperlink" Target="https://embed.studio.binkies3d.com/live3d/69eaa3ac6556ec00373c46d6" TargetMode="External"/><Relationship Id="rId67" Type="http://schemas.openxmlformats.org/officeDocument/2006/relationships/hyperlink" Target="https://embed.studio.binkies3d.com/live3d/6a6e6fe18f8d0500375d0192" TargetMode="External"/><Relationship Id="rId20" Type="http://schemas.openxmlformats.org/officeDocument/2006/relationships/hyperlink" Target="https://embed.studio.binkies3d.com/live3d/69e12e6da8d031003791f385" TargetMode="External"/><Relationship Id="rId41" Type="http://schemas.openxmlformats.org/officeDocument/2006/relationships/hyperlink" Target="https://embed.studio.binkies3d.com/live3d/69e1303fa8d031003791f45f" TargetMode="External"/><Relationship Id="rId54" Type="http://schemas.openxmlformats.org/officeDocument/2006/relationships/hyperlink" Target="https://embed.studio.binkies3d.com/live3d/69e1331ec7300c0037614f57" TargetMode="External"/><Relationship Id="rId62" Type="http://schemas.openxmlformats.org/officeDocument/2006/relationships/hyperlink" Target="https://embed.studio.binkies3d.com/live3d/6a6e6f168f8d0500375cffc6" TargetMode="External"/><Relationship Id="rId70" Type="http://schemas.openxmlformats.org/officeDocument/2006/relationships/hyperlink" Target="https://embed.studio.binkies3d.com/live3d/6a6e7089c6517e003644eeea" TargetMode="External"/><Relationship Id="rId1" Type="http://schemas.openxmlformats.org/officeDocument/2006/relationships/hyperlink" Target="https://embed.studio.binkies3d.com/live3d/69e129b874c82e003663da95" TargetMode="External"/><Relationship Id="rId6" Type="http://schemas.openxmlformats.org/officeDocument/2006/relationships/hyperlink" Target="https://embed.studio.binkies3d.com/live3d/69e12b6dc7300c00376149a0" TargetMode="External"/><Relationship Id="rId15" Type="http://schemas.openxmlformats.org/officeDocument/2006/relationships/hyperlink" Target="https://embed.studio.binkies3d.com/live3d/69e12dada8d031003791f2d7" TargetMode="External"/><Relationship Id="rId23" Type="http://schemas.openxmlformats.org/officeDocument/2006/relationships/hyperlink" Target="https://embed.studio.binkies3d.com/live3d/69e12831492f94003516cb26" TargetMode="External"/><Relationship Id="rId28" Type="http://schemas.openxmlformats.org/officeDocument/2006/relationships/hyperlink" Target="https://embed.studio.binkies3d.com/live3d/69e12ed774c82e003663dcd3" TargetMode="External"/><Relationship Id="rId36" Type="http://schemas.openxmlformats.org/officeDocument/2006/relationships/hyperlink" Target="https://embed.studio.binkies3d.com/live3d/69e12fa974c82e003663df1c" TargetMode="External"/><Relationship Id="rId49" Type="http://schemas.openxmlformats.org/officeDocument/2006/relationships/hyperlink" Target="https://embed.studio.binkies3d.com/live3d/69e1322cc7300c0037614deb" TargetMode="External"/><Relationship Id="rId57" Type="http://schemas.openxmlformats.org/officeDocument/2006/relationships/hyperlink" Target="https://embed.studio.binkies3d.com/live3d/69eaa3746556ec00373c4694" TargetMode="External"/><Relationship Id="rId10" Type="http://schemas.openxmlformats.org/officeDocument/2006/relationships/hyperlink" Target="https://embed.studio.binkies3d.com/live3d/69e12c4bc7300c0037614a81" TargetMode="External"/><Relationship Id="rId31" Type="http://schemas.openxmlformats.org/officeDocument/2006/relationships/hyperlink" Target="https://embed.studio.binkies3d.com/live3d/69e12f2ca8d031003791f414" TargetMode="External"/><Relationship Id="rId44" Type="http://schemas.openxmlformats.org/officeDocument/2006/relationships/hyperlink" Target="https://embed.studio.binkies3d.com/live3d/69e130bc74c82e003663e0a6" TargetMode="External"/><Relationship Id="rId52" Type="http://schemas.openxmlformats.org/officeDocument/2006/relationships/hyperlink" Target="https://embed.studio.binkies3d.com/live3d/69e132dcc7300c0037614ebe" TargetMode="External"/><Relationship Id="rId60" Type="http://schemas.openxmlformats.org/officeDocument/2006/relationships/hyperlink" Target="https://embed.studio.binkies3d.com/live3d/69eaa41e6556ec00373c474b" TargetMode="External"/><Relationship Id="rId65" Type="http://schemas.openxmlformats.org/officeDocument/2006/relationships/hyperlink" Target="https://embed.studio.binkies3d.com/live3d/6a6e6f9b534bb500360dca13" TargetMode="External"/><Relationship Id="rId4" Type="http://schemas.openxmlformats.org/officeDocument/2006/relationships/hyperlink" Target="https://embed.studio.binkies3d.com/live3d/69e12ab0492f94003516cc8a" TargetMode="External"/><Relationship Id="rId9" Type="http://schemas.openxmlformats.org/officeDocument/2006/relationships/hyperlink" Target="https://embed.studio.binkies3d.com/live3d/69e12c1ca8d031003791f20b" TargetMode="External"/><Relationship Id="rId13" Type="http://schemas.openxmlformats.org/officeDocument/2006/relationships/hyperlink" Target="https://embed.studio.binkies3d.com/live3d/69e12d20a8d031003791f2ac" TargetMode="External"/><Relationship Id="rId18" Type="http://schemas.openxmlformats.org/officeDocument/2006/relationships/hyperlink" Target="https://embed.studio.binkies3d.com/live3d/69e12e20c7300c0037614ca6" TargetMode="External"/><Relationship Id="rId39" Type="http://schemas.openxmlformats.org/officeDocument/2006/relationships/hyperlink" Target="https://embed.studio.binkies3d.com/live3d/69e12fff492f94003516cf6a" TargetMode="External"/><Relationship Id="rId34" Type="http://schemas.openxmlformats.org/officeDocument/2006/relationships/hyperlink" Target="https://embed.studio.binkies3d.com/live3d/69e12f7674c82e003663de73" TargetMode="External"/><Relationship Id="rId50" Type="http://schemas.openxmlformats.org/officeDocument/2006/relationships/hyperlink" Target="https://embed.studio.binkies3d.com/live3d/69e1322cc7300c0037614deb" TargetMode="External"/><Relationship Id="rId55" Type="http://schemas.openxmlformats.org/officeDocument/2006/relationships/hyperlink" Target="https://embed.studio.binkies3d.com/live3d/69e13340492f94003516d301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cdn-files.kimovil.com/default/0011/69/thumb_1068745_default_big.jpg" TargetMode="External"/><Relationship Id="rId18" Type="http://schemas.openxmlformats.org/officeDocument/2006/relationships/hyperlink" Target="https://cdn-files.kimovil.com/phone_front/0010/76/thumb_975708_phone_front_big.jpg" TargetMode="External"/><Relationship Id="rId26" Type="http://schemas.openxmlformats.org/officeDocument/2006/relationships/hyperlink" Target="https://cdn-files.kimovil.com/phone_front/0012/34/thumb_1133317_phone_front_big.jpg" TargetMode="External"/><Relationship Id="rId39" Type="http://schemas.openxmlformats.org/officeDocument/2006/relationships/hyperlink" Target="https://cdn-files.kimovil.com/default/0012/71/thumb_1170343_default_big.jpg" TargetMode="External"/><Relationship Id="rId21" Type="http://schemas.openxmlformats.org/officeDocument/2006/relationships/hyperlink" Target="https://cdn-files.kimovil.com/default/0012/34/thumb_1133078_default_big.jpg" TargetMode="External"/><Relationship Id="rId34" Type="http://schemas.openxmlformats.org/officeDocument/2006/relationships/hyperlink" Target="https://cdn-files.kimovil.com/phone_front/0012/28/thumb_1127187_phone_front_big.png" TargetMode="External"/><Relationship Id="rId42" Type="http://schemas.openxmlformats.org/officeDocument/2006/relationships/hyperlink" Target="https://miportal.entel.pe/static/010220261103474/images/ZTE_Nubia_Air_256GB_5G_Negro_Frontal_276x549.jpg" TargetMode="External"/><Relationship Id="rId47" Type="http://schemas.openxmlformats.org/officeDocument/2006/relationships/hyperlink" Target="https://cdn-files.kimovil.com/default/0012/99/thumb_1198482_default_big.jpg" TargetMode="External"/><Relationship Id="rId50" Type="http://schemas.openxmlformats.org/officeDocument/2006/relationships/hyperlink" Target="https://cdn-files.kimovil.com/phone_front/0013/21/thumb_1220366_phone_front_big.jpg" TargetMode="External"/><Relationship Id="rId55" Type="http://schemas.openxmlformats.org/officeDocument/2006/relationships/hyperlink" Target="https://cdn-files.kimovil.com/default/0013/12/thumb_1211002_default_big.jpg" TargetMode="External"/><Relationship Id="rId7" Type="http://schemas.openxmlformats.org/officeDocument/2006/relationships/hyperlink" Target="https://cdn-files.kimovil.com/default/0011/15/thumb_1014575_default_big.jpg" TargetMode="External"/><Relationship Id="rId2" Type="http://schemas.openxmlformats.org/officeDocument/2006/relationships/hyperlink" Target="https://cdn-files.kimovil.com/default/0011/67/thumb_1066804_default_big.jpg" TargetMode="External"/><Relationship Id="rId16" Type="http://schemas.openxmlformats.org/officeDocument/2006/relationships/hyperlink" Target="https://cdn-files.kimovil.com/phone_front/0009/21/thumb_820071_phone_front_big.jpg" TargetMode="External"/><Relationship Id="rId29" Type="http://schemas.openxmlformats.org/officeDocument/2006/relationships/hyperlink" Target="https://singerwebcdn.azureedge.net/resources/products/normal/ZTE-A36-2-64GB-GLD-03.webp" TargetMode="External"/><Relationship Id="rId11" Type="http://schemas.openxmlformats.org/officeDocument/2006/relationships/hyperlink" Target="https://cdn-files.kimovil.com/default/0012/39/thumb_1138592_default_big.jpg" TargetMode="External"/><Relationship Id="rId24" Type="http://schemas.openxmlformats.org/officeDocument/2006/relationships/hyperlink" Target="https://cdn-files.kimovil.com/phone_front/0012/18/thumb_1117990_phone_front_big.jpg" TargetMode="External"/><Relationship Id="rId32" Type="http://schemas.openxmlformats.org/officeDocument/2006/relationships/hyperlink" Target="https://cdn-files.kimovil.com/phone_front/0012/71/thumb_1170287_phone_front_big.jpg" TargetMode="External"/><Relationship Id="rId37" Type="http://schemas.openxmlformats.org/officeDocument/2006/relationships/hyperlink" Target="https://cdn-files.kimovil.com/default/0012/71/thumb_1170322_default_big.jpg" TargetMode="External"/><Relationship Id="rId40" Type="http://schemas.openxmlformats.org/officeDocument/2006/relationships/hyperlink" Target="https://cdn-files.kimovil.com/phone_front/0012/71/thumb_1170286_phone_front_big.jpg" TargetMode="External"/><Relationship Id="rId45" Type="http://schemas.openxmlformats.org/officeDocument/2006/relationships/hyperlink" Target="https://coolboxpe.vtexassets.com/arquivos/ids/515447-800-800?v=639033347686070000&amp;width=800&amp;height=800&amp;aspect=true" TargetMode="External"/><Relationship Id="rId53" Type="http://schemas.openxmlformats.org/officeDocument/2006/relationships/hyperlink" Target="https://media.falabella.com/falabellaPE/152701282_01/w=1500,h=1500,fit=cover" TargetMode="External"/><Relationship Id="rId58" Type="http://schemas.openxmlformats.org/officeDocument/2006/relationships/hyperlink" Target="https://claroperupoc.vtexassets.com/arquivos/ids/2956850/ZTE-NUBIA-V80-MAX-256GB-NEGRO-04.jpg?v=639105733666730000" TargetMode="External"/><Relationship Id="rId5" Type="http://schemas.openxmlformats.org/officeDocument/2006/relationships/hyperlink" Target="https://cdn-files.kimovil.com/default/0011/63/thumb_1062732_default_big.jpg" TargetMode="External"/><Relationship Id="rId19" Type="http://schemas.openxmlformats.org/officeDocument/2006/relationships/hyperlink" Target="https://cdn-files.kimovil.com/default/0010/76/thumb_975724_default_big.jpg" TargetMode="External"/><Relationship Id="rId4" Type="http://schemas.openxmlformats.org/officeDocument/2006/relationships/hyperlink" Target="https://cdn-files.kimovil.com/phone_front/0011/63/thumb_1062743_phone_front_big.jpg" TargetMode="External"/><Relationship Id="rId9" Type="http://schemas.openxmlformats.org/officeDocument/2006/relationships/hyperlink" Target="https://cdn-files.kimovil.com/default/0012/39/thumb_1138529_default_big.jpg" TargetMode="External"/><Relationship Id="rId14" Type="http://schemas.openxmlformats.org/officeDocument/2006/relationships/hyperlink" Target="https://cdn-files.kimovil.com/phone_front/0012/19/thumb_1118999_phone_front_big.jpg" TargetMode="External"/><Relationship Id="rId22" Type="http://schemas.openxmlformats.org/officeDocument/2006/relationships/hyperlink" Target="https://cdn-files.kimovil.com/phone_front/0012/31/thumb_1130631_phone_front_big.png" TargetMode="External"/><Relationship Id="rId27" Type="http://schemas.openxmlformats.org/officeDocument/2006/relationships/hyperlink" Target="https://cdn-files.kimovil.com/default/0012/34/thumb_1133326_default_big.jpg" TargetMode="External"/><Relationship Id="rId30" Type="http://schemas.openxmlformats.org/officeDocument/2006/relationships/hyperlink" Target="https://cdn-files.kimovil.com/phone_front/0012/73/thumb_1172790_phone_front_big.jpg" TargetMode="External"/><Relationship Id="rId35" Type="http://schemas.openxmlformats.org/officeDocument/2006/relationships/hyperlink" Target="https://cdn-files.kimovil.com/default/0012/28/thumb_1127182_default_big.png" TargetMode="External"/><Relationship Id="rId43" Type="http://schemas.openxmlformats.org/officeDocument/2006/relationships/hyperlink" Target="https://miportal.entel.pe/static/010220261103474/images/ZTE_Nubia_Air_256GB_5G_Negro_Posterior_276x549.jpg" TargetMode="External"/><Relationship Id="rId48" Type="http://schemas.openxmlformats.org/officeDocument/2006/relationships/hyperlink" Target="https://cdn-files.kimovil.com/phone_front/0012/99/thumb_1198008_phone_front_big.jpg" TargetMode="External"/><Relationship Id="rId56" Type="http://schemas.openxmlformats.org/officeDocument/2006/relationships/hyperlink" Target="https://media.falabella.com/falabellaCO/73505040_2/w=1500,h=1500,fit=cover" TargetMode="External"/><Relationship Id="rId8" Type="http://schemas.openxmlformats.org/officeDocument/2006/relationships/hyperlink" Target="https://cdn-files.kimovil.com/phone_front/0012/39/thumb_1138492_phone_front_big.jpg" TargetMode="External"/><Relationship Id="rId51" Type="http://schemas.openxmlformats.org/officeDocument/2006/relationships/hyperlink" Target="https://cdn-files.kimovil.com/default/0013/21/thumb_1220368_default_big.jpg" TargetMode="External"/><Relationship Id="rId3" Type="http://schemas.openxmlformats.org/officeDocument/2006/relationships/hyperlink" Target="https://cdn-files.kimovil.com/phone_front/0011/82/thumb_1081106_phone_front_big.jpg" TargetMode="External"/><Relationship Id="rId12" Type="http://schemas.openxmlformats.org/officeDocument/2006/relationships/hyperlink" Target="https://cdn-files.kimovil.com/phone_front/0011/65/thumb_1064761_phone_front_big.jpg" TargetMode="External"/><Relationship Id="rId17" Type="http://schemas.openxmlformats.org/officeDocument/2006/relationships/hyperlink" Target="https://cdn-files.kimovil.com/default/0009/21/thumb_820085_default_big.jpg" TargetMode="External"/><Relationship Id="rId25" Type="http://schemas.openxmlformats.org/officeDocument/2006/relationships/hyperlink" Target="https://cdn-files.kimovil.com/default/0012/18/thumb_1117995_default_big.jpg" TargetMode="External"/><Relationship Id="rId33" Type="http://schemas.openxmlformats.org/officeDocument/2006/relationships/hyperlink" Target="https://cdn-files.kimovil.com/default/0012/74/thumb_1173493_default_big.jpg" TargetMode="External"/><Relationship Id="rId38" Type="http://schemas.openxmlformats.org/officeDocument/2006/relationships/hyperlink" Target="https://cdn-files.kimovil.com/phone_front/0012/71/thumb_1170336_phone_front_big.jpg" TargetMode="External"/><Relationship Id="rId46" Type="http://schemas.openxmlformats.org/officeDocument/2006/relationships/hyperlink" Target="https://cdn-files.kimovil.com/phone_front/0012/99/thumb_1198485_phone_front_big.jpg" TargetMode="External"/><Relationship Id="rId59" Type="http://schemas.openxmlformats.org/officeDocument/2006/relationships/hyperlink" Target="https://claroperupoc.vtexassets.com/arquivos/ids/2956848/ZTE-NUBIA-V80-MAX-256GB-NEGRO-02.jpg?v=639105733666430000" TargetMode="External"/><Relationship Id="rId20" Type="http://schemas.openxmlformats.org/officeDocument/2006/relationships/hyperlink" Target="https://cdn-files.kimovil.com/phone_front/0012/34/thumb_1133088_phone_front_big.jpg" TargetMode="External"/><Relationship Id="rId41" Type="http://schemas.openxmlformats.org/officeDocument/2006/relationships/hyperlink" Target="https://miportal.entel.pe/static/010220261103474/images/Oppo_A6x_256GB_5G_Morado_Posterior_276x549.jpg" TargetMode="External"/><Relationship Id="rId54" Type="http://schemas.openxmlformats.org/officeDocument/2006/relationships/hyperlink" Target="https://cdn-files.kimovil.com/phone_front/0013/11/thumb_1210989_phone_front_big.jpg" TargetMode="External"/><Relationship Id="rId1" Type="http://schemas.openxmlformats.org/officeDocument/2006/relationships/hyperlink" Target="https://cdn-files.kimovil.com/phone_front/0011/67/thumb_1066808_phone_front_big.jpg" TargetMode="External"/><Relationship Id="rId6" Type="http://schemas.openxmlformats.org/officeDocument/2006/relationships/hyperlink" Target="https://cdn-files.kimovil.com/phone_front/0010/83/thumb_982541_phone_front_big.jpg" TargetMode="External"/><Relationship Id="rId15" Type="http://schemas.openxmlformats.org/officeDocument/2006/relationships/hyperlink" Target="https://claroperupoc.vtexassets.com/arquivos/ids/2732537/SAMSUNG-GALAXY-A17-128GB-5G-03--1-.png?v=638977929439900000" TargetMode="External"/><Relationship Id="rId23" Type="http://schemas.openxmlformats.org/officeDocument/2006/relationships/hyperlink" Target="https://www.oppostore.pe/_next/image?url=https%3A%2F%2Fperu.oppostores.com%2F2-1761339109402.webp&amp;w=1920&amp;q=75" TargetMode="External"/><Relationship Id="rId28" Type="http://schemas.openxmlformats.org/officeDocument/2006/relationships/hyperlink" Target="https://cdn-files.kimovil.com/phone_front/0011/100/thumb_1099875_phone_front_big.jpg" TargetMode="External"/><Relationship Id="rId36" Type="http://schemas.openxmlformats.org/officeDocument/2006/relationships/hyperlink" Target="https://cdn-files.kimovil.com/phone_front/0012/71/thumb_1170334_phone_front_big.jpg" TargetMode="External"/><Relationship Id="rId49" Type="http://schemas.openxmlformats.org/officeDocument/2006/relationships/hyperlink" Target="https://cdn-files.kimovil.com/default/0012/99/thumb_1198015_default_big.jpg" TargetMode="External"/><Relationship Id="rId57" Type="http://schemas.openxmlformats.org/officeDocument/2006/relationships/hyperlink" Target="https://coolboxpe.vtexassets.com/arquivos/ids/534506/celular-zte-nubia-v80-pro-5g-256gb-8gb-ram-negro_6.jpg?v=639092978190170000" TargetMode="External"/><Relationship Id="rId10" Type="http://schemas.openxmlformats.org/officeDocument/2006/relationships/hyperlink" Target="https://cdn-files.kimovil.com/phone_front/0012/39/thumb_1138492_phone_front_big.jpg" TargetMode="External"/><Relationship Id="rId31" Type="http://schemas.openxmlformats.org/officeDocument/2006/relationships/hyperlink" Target="https://cdn-files.kimovil.com/default/0012/73/thumb_1172793_default_big.jpg" TargetMode="External"/><Relationship Id="rId44" Type="http://schemas.openxmlformats.org/officeDocument/2006/relationships/hyperlink" Target="https://coolboxpe.vtexassets.com/arquivos/ids/515446-800-800?v=639033347686070000&amp;width=800&amp;height=800&amp;aspect=true" TargetMode="External"/><Relationship Id="rId52" Type="http://schemas.openxmlformats.org/officeDocument/2006/relationships/hyperlink" Target="https://cdn-files.kimovil.com/phone_front/0013/21/thumb_1220378_phone_front_bi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showGridLines="0" workbookViewId="0">
      <selection sqref="A1:D1"/>
    </sheetView>
  </sheetViews>
  <sheetFormatPr baseColWidth="10" defaultColWidth="14.42578125" defaultRowHeight="15" customHeight="1"/>
  <cols>
    <col min="1" max="1" width="19.42578125" customWidth="1"/>
    <col min="2" max="2" width="30.28515625" customWidth="1"/>
    <col min="3" max="3" width="34.140625" customWidth="1"/>
    <col min="4" max="4" width="35.140625" customWidth="1"/>
    <col min="5" max="26" width="10.7109375" customWidth="1"/>
  </cols>
  <sheetData>
    <row r="1" spans="1:4" ht="32.25" customHeight="1">
      <c r="A1" s="71" t="s">
        <v>0</v>
      </c>
      <c r="B1" s="72"/>
      <c r="C1" s="72"/>
      <c r="D1" s="72"/>
    </row>
    <row r="2" spans="1:4" ht="3" customHeight="1">
      <c r="A2" s="2"/>
      <c r="B2" s="2"/>
      <c r="C2" s="2"/>
      <c r="D2" s="2"/>
    </row>
    <row r="3" spans="1:4" ht="15.75" customHeight="1">
      <c r="A3" s="2"/>
      <c r="B3" s="73" t="s">
        <v>12</v>
      </c>
      <c r="C3" s="72"/>
      <c r="D3" s="72"/>
    </row>
    <row r="4" spans="1:4" ht="6" customHeight="1">
      <c r="A4" s="2"/>
      <c r="B4" s="2"/>
      <c r="C4" s="2"/>
      <c r="D4" s="2"/>
    </row>
    <row r="5" spans="1:4" ht="15.75">
      <c r="A5" s="2"/>
      <c r="B5" s="3" t="s">
        <v>24</v>
      </c>
      <c r="C5" s="3" t="s">
        <v>33</v>
      </c>
      <c r="D5" s="3" t="s">
        <v>34</v>
      </c>
    </row>
    <row r="6" spans="1:4">
      <c r="A6" s="2"/>
      <c r="B6" s="5" t="s">
        <v>49</v>
      </c>
      <c r="C6" s="6" t="s">
        <v>52</v>
      </c>
      <c r="D6" s="5" t="s">
        <v>59</v>
      </c>
    </row>
    <row r="7" spans="1:4" ht="7.5" customHeight="1">
      <c r="A7" s="2"/>
      <c r="B7" s="7"/>
      <c r="C7" s="2"/>
      <c r="D7" s="2"/>
    </row>
    <row r="8" spans="1:4" ht="15.75">
      <c r="A8" s="74" t="s">
        <v>72</v>
      </c>
      <c r="B8" s="72"/>
      <c r="C8" s="72"/>
      <c r="D8" s="72"/>
    </row>
    <row r="9" spans="1:4">
      <c r="A9" s="9" t="s">
        <v>75</v>
      </c>
      <c r="B9" s="9" t="str">
        <f t="shared" ref="B9:D9" si="0">B6</f>
        <v>SAMSUNG GXY A17 128GB</v>
      </c>
      <c r="C9" s="9" t="str">
        <f t="shared" si="0"/>
        <v>MOTOROLA G05 128GB</v>
      </c>
      <c r="D9" s="9" t="str">
        <f t="shared" si="0"/>
        <v>SAMSUNG GXY A06 128GB</v>
      </c>
    </row>
    <row r="10" spans="1:4">
      <c r="A10" s="10" t="s">
        <v>79</v>
      </c>
      <c r="B10" s="11">
        <v>69.900000000000006</v>
      </c>
      <c r="C10" s="11">
        <v>69.900000000000006</v>
      </c>
      <c r="D10" s="11">
        <v>29.9</v>
      </c>
    </row>
    <row r="11" spans="1:4">
      <c r="A11" s="10" t="s">
        <v>87</v>
      </c>
      <c r="B11" s="2" t="str">
        <f t="array" aca="1" ref="B11" ca="1">IFERROR(
  INDEX(Caracteristicas!$A:$AAB,
         _xludf.XMATCH($B$9,Caracteristicas!$A:$A,0),
         _xludf.XMATCH($A11,Caracteristicas!$1:$1,0)
  ),
"")</f>
        <v/>
      </c>
      <c r="C11" s="2" t="str">
        <f t="array" aca="1" ref="C11" ca="1">IFERROR(
  INDEX(Caracteristicas!$A:$AAB,
         _xludf.XMATCH($C$9,Caracteristicas!$A:$A,0),
         _xludf.XMATCH($A11,Caracteristicas!$1:$1,0)
  ),
"")</f>
        <v/>
      </c>
      <c r="D11" s="2" t="str">
        <f t="array" aca="1" ref="D11" ca="1">IFERROR(
  INDEX(Caracteristicas!$A:$AAB,
         _xludf.XMATCH($D$9,Caracteristicas!$A:$A,0),
         _xludf.XMATCH($A11,Caracteristicas!$1:$1,0)
  ),
"")</f>
        <v/>
      </c>
    </row>
    <row r="12" spans="1:4">
      <c r="A12" s="10" t="s">
        <v>6</v>
      </c>
      <c r="B12" s="2" t="str">
        <f t="array" aca="1" ref="B12" ca="1">IFERROR(
  INDEX(Caracteristicas!$A:$AAB,
         _xludf.XMATCH($B$9,Caracteristicas!$A:$A,0),
         _xludf.XMATCH($A12,Caracteristicas!$1:$1,0)
  ),
"")</f>
        <v/>
      </c>
      <c r="C12" s="2" t="str">
        <f t="array" aca="1" ref="C12" ca="1">IFERROR(
  INDEX(Caracteristicas!$A:$AAB,
         _xludf.XMATCH($C$9,Caracteristicas!$A:$A,0),
         _xludf.XMATCH($A12,Caracteristicas!$1:$1,0)
  ),
"")</f>
        <v/>
      </c>
      <c r="D12" s="2" t="str">
        <f t="array" aca="1" ref="D12" ca="1">IFERROR(
  INDEX(Caracteristicas!$A:$AAB,
         _xludf.XMATCH($D$9,Caracteristicas!$A:$A,0),
         _xludf.XMATCH($A12,Caracteristicas!$1:$1,0)
  ),
"")</f>
        <v/>
      </c>
    </row>
    <row r="13" spans="1:4">
      <c r="A13" s="10" t="s">
        <v>7</v>
      </c>
      <c r="B13" s="2" t="str">
        <f t="array" aca="1" ref="B13" ca="1">IFERROR(
  INDEX(Caracteristicas!$A:$AAB,
         _xludf.XMATCH($B$9,Caracteristicas!$A:$A,0),
         _xludf.XMATCH($A13,Caracteristicas!$1:$1,0)
  ),
"")</f>
        <v/>
      </c>
      <c r="C13" s="2" t="str">
        <f t="array" aca="1" ref="C13" ca="1">IFERROR(
  INDEX(Caracteristicas!$A:$AAB,
         _xludf.XMATCH($C$9,Caracteristicas!$A:$A,0),
         _xludf.XMATCH($A13,Caracteristicas!$1:$1,0)
  ),
"")</f>
        <v/>
      </c>
      <c r="D13" s="2" t="str">
        <f t="array" aca="1" ref="D13" ca="1">IFERROR(
  INDEX(Caracteristicas!$A:$AAB,
         _xludf.XMATCH($D$9,Caracteristicas!$A:$A,0),
         _xludf.XMATCH($A13,Caracteristicas!$1:$1,0)
  ),
"")</f>
        <v/>
      </c>
    </row>
    <row r="14" spans="1:4">
      <c r="A14" s="10" t="s">
        <v>8</v>
      </c>
      <c r="B14" s="2" t="str">
        <f t="array" aca="1" ref="B14" ca="1">IFERROR(
  INDEX(Caracteristicas!$A:$AAB,
         _xludf.XMATCH($B$9,Caracteristicas!$A:$A,0),
         _xludf.XMATCH($A14,Caracteristicas!$1:$1,0)
  ),
"")</f>
        <v/>
      </c>
      <c r="C14" s="2" t="str">
        <f t="array" aca="1" ref="C14" ca="1">IFERROR(
  INDEX(Caracteristicas!$A:$AAB,
         _xludf.XMATCH($C$9,Caracteristicas!$A:$A,0),
         _xludf.XMATCH($A14,Caracteristicas!$1:$1,0)
  ),
"")</f>
        <v/>
      </c>
      <c r="D14" s="2" t="str">
        <f t="array" aca="1" ref="D14" ca="1">IFERROR(
  INDEX(Caracteristicas!$A:$AAB,
         _xludf.XMATCH($D$9,Caracteristicas!$A:$A,0),
         _xludf.XMATCH($A14,Caracteristicas!$1:$1,0)
  ),
"")</f>
        <v/>
      </c>
    </row>
    <row r="15" spans="1:4">
      <c r="A15" s="10" t="s">
        <v>10</v>
      </c>
      <c r="B15" s="2" t="str">
        <f t="array" aca="1" ref="B15" ca="1">IFERROR(
  INDEX(Caracteristicas!$A:$AAB,
         _xludf.XMATCH($B$9,Caracteristicas!$A:$A,0),
         _xludf.XMATCH($A15,Caracteristicas!$1:$1,0)
  ),
"")</f>
        <v/>
      </c>
      <c r="C15" s="2" t="str">
        <f t="array" aca="1" ref="C15" ca="1">IFERROR(
  INDEX(Caracteristicas!$A:$AAB,
         _xludf.XMATCH($C$9,Caracteristicas!$A:$A,0),
         _xludf.XMATCH($A15,Caracteristicas!$1:$1,0)
  ),
"")</f>
        <v/>
      </c>
      <c r="D15" s="2" t="str">
        <f t="array" aca="1" ref="D15" ca="1">IFERROR(
  INDEX(Caracteristicas!$A:$AAB,
         _xludf.XMATCH($D$9,Caracteristicas!$A:$A,0),
         _xludf.XMATCH($A15,Caracteristicas!$1:$1,0)
  ),
"")</f>
        <v/>
      </c>
    </row>
    <row r="16" spans="1:4">
      <c r="A16" s="10" t="s">
        <v>11</v>
      </c>
      <c r="B16" s="2" t="str">
        <f t="array" aca="1" ref="B16" ca="1">IFERROR(
  INDEX(Caracteristicas!$A:$AAB,
         _xludf.XMATCH($B$9,Caracteristicas!$A:$A,0),
         _xludf.XMATCH($A16,Caracteristicas!$1:$1,0)
  ),
"")</f>
        <v/>
      </c>
      <c r="C16" s="2" t="str">
        <f t="array" aca="1" ref="C16" ca="1">IFERROR(
  INDEX(Caracteristicas!$A:$AAB,
         _xludf.XMATCH($C$9,Caracteristicas!$A:$A,0),
         _xludf.XMATCH($A16,Caracteristicas!$1:$1,0)
  ),
"")</f>
        <v/>
      </c>
      <c r="D16" s="2" t="str">
        <f t="array" aca="1" ref="D16" ca="1">IFERROR(
  INDEX(Caracteristicas!$A:$AAB,
         _xludf.XMATCH($D$9,Caracteristicas!$A:$A,0),
         _xludf.XMATCH($A16,Caracteristicas!$1:$1,0)
  ),
"")</f>
        <v/>
      </c>
    </row>
    <row r="17" spans="1:4">
      <c r="A17" s="10" t="s">
        <v>13</v>
      </c>
      <c r="B17" s="2" t="str">
        <f t="array" aca="1" ref="B17" ca="1">IFERROR(
  INDEX(Caracteristicas!$A:$AAB,
         _xludf.XMATCH($B$9,Caracteristicas!$A:$A,0),
         _xludf.XMATCH($A17,Caracteristicas!$1:$1,0)
  ),
"")</f>
        <v/>
      </c>
      <c r="C17" s="2" t="str">
        <f t="array" aca="1" ref="C17" ca="1">IFERROR(
  INDEX(Caracteristicas!$A:$AAB,
         _xludf.XMATCH($C$9,Caracteristicas!$A:$A,0),
         _xludf.XMATCH($A17,Caracteristicas!$1:$1,0)
  ),
"")</f>
        <v/>
      </c>
      <c r="D17" s="2" t="str">
        <f t="array" aca="1" ref="D17" ca="1">IFERROR(
  INDEX(Caracteristicas!$A:$AAB,
         _xludf.XMATCH($D$9,Caracteristicas!$A:$A,0),
         _xludf.XMATCH($A17,Caracteristicas!$1:$1,0)
  ),
"")</f>
        <v/>
      </c>
    </row>
    <row r="18" spans="1:4">
      <c r="A18" s="10" t="s">
        <v>15</v>
      </c>
      <c r="B18" s="2" t="str">
        <f t="array" aca="1" ref="B18" ca="1">IFERROR(
  INDEX(Caracteristicas!$A:$AAB,
         _xludf.XMATCH($B$9,Caracteristicas!$A:$A,0),
         _xludf.XMATCH($A18,Caracteristicas!$1:$1,0)
  ),
"")</f>
        <v/>
      </c>
      <c r="C18" s="2" t="str">
        <f t="array" aca="1" ref="C18" ca="1">IFERROR(
  INDEX(Caracteristicas!$A:$AAB,
         _xludf.XMATCH($C$9,Caracteristicas!$A:$A,0),
         _xludf.XMATCH($A18,Caracteristicas!$1:$1,0)
  ),
"")</f>
        <v/>
      </c>
      <c r="D18" s="2" t="str">
        <f t="array" aca="1" ref="D18" ca="1">IFERROR(
  INDEX(Caracteristicas!$A:$AAB,
         _xludf.XMATCH($D$9,Caracteristicas!$A:$A,0),
         _xludf.XMATCH($A18,Caracteristicas!$1:$1,0)
  ),
"")</f>
        <v/>
      </c>
    </row>
    <row r="19" spans="1:4">
      <c r="A19" s="10" t="s">
        <v>16</v>
      </c>
      <c r="B19" s="2" t="str">
        <f t="array" aca="1" ref="B19" ca="1">IFERROR(
  INDEX(Caracteristicas!$A:$AAB,
         _xludf.XMATCH($B$9,Caracteristicas!$A:$A,0),
         _xludf.XMATCH($A19,Caracteristicas!$1:$1,0)
  ),
"")</f>
        <v/>
      </c>
      <c r="C19" s="2" t="str">
        <f t="array" aca="1" ref="C19" ca="1">IFERROR(
  INDEX(Caracteristicas!$A:$AAB,
         _xludf.XMATCH($C$9,Caracteristicas!$A:$A,0),
         _xludf.XMATCH($A19,Caracteristicas!$1:$1,0)
  ),
"")</f>
        <v/>
      </c>
      <c r="D19" s="2" t="str">
        <f t="array" aca="1" ref="D19" ca="1">IFERROR(
  INDEX(Caracteristicas!$A:$AAB,
         _xludf.XMATCH($D$9,Caracteristicas!$A:$A,0),
         _xludf.XMATCH($A19,Caracteristicas!$1:$1,0)
  ),
"")</f>
        <v/>
      </c>
    </row>
    <row r="20" spans="1:4">
      <c r="A20" s="10" t="s">
        <v>17</v>
      </c>
      <c r="B20" s="2" t="str">
        <f t="array" aca="1" ref="B20" ca="1">IFERROR(
  INDEX(Caracteristicas!$A:$AAB,
         _xludf.XMATCH($B$9,Caracteristicas!$A:$A,0),
         _xludf.XMATCH($A20,Caracteristicas!$1:$1,0)
  ),
"")</f>
        <v/>
      </c>
      <c r="C20" s="2" t="str">
        <f t="array" aca="1" ref="C20" ca="1">IFERROR(
  INDEX(Caracteristicas!$A:$AAB,
         _xludf.XMATCH($C$9,Caracteristicas!$A:$A,0),
         _xludf.XMATCH($A20,Caracteristicas!$1:$1,0)
  ),
"")</f>
        <v/>
      </c>
      <c r="D20" s="2" t="str">
        <f t="array" aca="1" ref="D20" ca="1">IFERROR(
  INDEX(Caracteristicas!$A:$AAB,
         _xludf.XMATCH($D$9,Caracteristicas!$A:$A,0),
         _xludf.XMATCH($A20,Caracteristicas!$1:$1,0)
  ),
"")</f>
        <v/>
      </c>
    </row>
    <row r="21" spans="1:4" ht="15.75" customHeight="1">
      <c r="A21" s="10" t="s">
        <v>19</v>
      </c>
      <c r="B21" s="2" t="str">
        <f t="array" aca="1" ref="B21" ca="1">IFERROR(
  INDEX(Caracteristicas!$A:$AAB,
         _xludf.XMATCH($B$9,Caracteristicas!$A:$A,0),
         _xludf.XMATCH($A21,Caracteristicas!$1:$1,0)
  ),
"")</f>
        <v/>
      </c>
      <c r="C21" s="2" t="str">
        <f t="array" aca="1" ref="C21" ca="1">IFERROR(
  INDEX(Caracteristicas!$A:$AAB,
         _xludf.XMATCH($C$9,Caracteristicas!$A:$A,0),
         _xludf.XMATCH($A21,Caracteristicas!$1:$1,0)
  ),
"")</f>
        <v/>
      </c>
      <c r="D21" s="2" t="str">
        <f t="array" aca="1" ref="D21" ca="1">IFERROR(
  INDEX(Caracteristicas!$A:$AAB,
         _xludf.XMATCH($D$9,Caracteristicas!$A:$A,0),
         _xludf.XMATCH($A21,Caracteristicas!$1:$1,0)
  ),
"")</f>
        <v/>
      </c>
    </row>
    <row r="22" spans="1:4" ht="15.75" customHeight="1">
      <c r="A22" s="10" t="s">
        <v>20</v>
      </c>
      <c r="B22" s="2" t="str">
        <f t="array" aca="1" ref="B22" ca="1">IFERROR(
  INDEX(Caracteristicas!$A:$AAB,
         _xludf.XMATCH($B$9,Caracteristicas!$A:$A,0),
         _xludf.XMATCH($A22,Caracteristicas!$1:$1,0)
  ),
"")</f>
        <v/>
      </c>
      <c r="C22" s="2" t="str">
        <f t="array" aca="1" ref="C22" ca="1">IFERROR(
  INDEX(Caracteristicas!$A:$AAB,
         _xludf.XMATCH($C$9,Caracteristicas!$A:$A,0),
         _xludf.XMATCH($A22,Caracteristicas!$1:$1,0)
  ),
"")</f>
        <v/>
      </c>
      <c r="D22" s="2" t="str">
        <f t="array" aca="1" ref="D22" ca="1">IFERROR(
  INDEX(Caracteristicas!$A:$AAB,
         _xludf.XMATCH($D$9,Caracteristicas!$A:$A,0),
         _xludf.XMATCH($A22,Caracteristicas!$1:$1,0)
  ),
"")</f>
        <v/>
      </c>
    </row>
    <row r="23" spans="1:4" ht="15.75" customHeight="1">
      <c r="A23" s="10" t="s">
        <v>21</v>
      </c>
      <c r="B23" s="2" t="str">
        <f t="array" aca="1" ref="B23" ca="1">IFERROR(
  INDEX(Caracteristicas!$A:$AAB,
         _xludf.XMATCH($B$9,Caracteristicas!$A:$A,0),
         _xludf.XMATCH($A23,Caracteristicas!$1:$1,0)
  ),
"")</f>
        <v/>
      </c>
      <c r="C23" s="2" t="str">
        <f t="array" aca="1" ref="C23" ca="1">IFERROR(
  INDEX(Caracteristicas!$A:$AAB,
         _xludf.XMATCH($C$9,Caracteristicas!$A:$A,0),
         _xludf.XMATCH($A23,Caracteristicas!$1:$1,0)
  ),
"")</f>
        <v/>
      </c>
      <c r="D23" s="2" t="str">
        <f t="array" aca="1" ref="D23" ca="1">IFERROR(
  INDEX(Caracteristicas!$A:$AAB,
         _xludf.XMATCH($D$9,Caracteristicas!$A:$A,0),
         _xludf.XMATCH($A23,Caracteristicas!$1:$1,0)
  ),
"")</f>
        <v/>
      </c>
    </row>
    <row r="24" spans="1:4" ht="15.75" customHeight="1">
      <c r="A24" s="10" t="s">
        <v>22</v>
      </c>
      <c r="B24" s="2" t="str">
        <f t="array" aca="1" ref="B24" ca="1">IFERROR(
  INDEX(Caracteristicas!$A:$AAB,
         _xludf.XMATCH($B$9,Caracteristicas!$A:$A,0),
         _xludf.XMATCH($A24,Caracteristicas!$1:$1,0)
  ),
"")</f>
        <v/>
      </c>
      <c r="C24" s="2" t="str">
        <f t="array" aca="1" ref="C24" ca="1">IFERROR(
  INDEX(Caracteristicas!$A:$AAB,
         _xludf.XMATCH($C$9,Caracteristicas!$A:$A,0),
         _xludf.XMATCH($A24,Caracteristicas!$1:$1,0)
  ),
"")</f>
        <v/>
      </c>
      <c r="D24" s="2" t="str">
        <f t="array" aca="1" ref="D24" ca="1">IFERROR(
  INDEX(Caracteristicas!$A:$AAB,
         _xludf.XMATCH($D$9,Caracteristicas!$A:$A,0),
         _xludf.XMATCH($A24,Caracteristicas!$1:$1,0)
  ),
"")</f>
        <v/>
      </c>
    </row>
    <row r="25" spans="1:4" ht="15.75" customHeight="1">
      <c r="A25" s="10" t="s">
        <v>23</v>
      </c>
      <c r="B25" s="2" t="str">
        <f t="array" aca="1" ref="B25" ca="1">IFERROR(
  INDEX(Caracteristicas!$A:$AAB,
         _xludf.XMATCH($B$9,Caracteristicas!$A:$A,0),
         _xludf.XMATCH($A25,Caracteristicas!$1:$1,0)
  ),
"")</f>
        <v/>
      </c>
      <c r="C25" s="2" t="str">
        <f t="array" aca="1" ref="C25" ca="1">IFERROR(
  INDEX(Caracteristicas!$A:$AAB,
         _xludf.XMATCH($C$9,Caracteristicas!$A:$A,0),
         _xludf.XMATCH($A25,Caracteristicas!$1:$1,0)
  ),
"")</f>
        <v/>
      </c>
      <c r="D25" s="2" t="str">
        <f t="array" aca="1" ref="D25" ca="1">IFERROR(
  INDEX(Caracteristicas!$A:$AAB,
         _xludf.XMATCH($D$9,Caracteristicas!$A:$A,0),
         _xludf.XMATCH($A25,Caracteristicas!$1:$1,0)
  ),
"")</f>
        <v/>
      </c>
    </row>
    <row r="26" spans="1:4" ht="15.75" customHeight="1">
      <c r="A26" s="10" t="s">
        <v>25</v>
      </c>
      <c r="B26" s="2" t="str">
        <f t="array" aca="1" ref="B26" ca="1">IFERROR(
  INDEX(Caracteristicas!$A:$AAB,
         _xludf.XMATCH($B$9,Caracteristicas!$A:$A,0),
         _xludf.XMATCH($A26,Caracteristicas!$1:$1,0)
  ),
"")</f>
        <v/>
      </c>
      <c r="C26" s="2" t="str">
        <f t="array" aca="1" ref="C26" ca="1">IFERROR(
  INDEX(Caracteristicas!$A:$AAB,
         _xludf.XMATCH($C$9,Caracteristicas!$A:$A,0),
         _xludf.XMATCH($A26,Caracteristicas!$1:$1,0)
  ),
"")</f>
        <v/>
      </c>
      <c r="D26" s="2" t="str">
        <f t="array" aca="1" ref="D26" ca="1">IFERROR(
  INDEX(Caracteristicas!$A:$AAB,
         _xludf.XMATCH($D$9,Caracteristicas!$A:$A,0),
         _xludf.XMATCH($A26,Caracteristicas!$1:$1,0)
  ),
"")</f>
        <v/>
      </c>
    </row>
    <row r="27" spans="1:4" ht="15.75" customHeight="1">
      <c r="A27" s="10" t="s">
        <v>26</v>
      </c>
      <c r="B27" s="2" t="str">
        <f t="array" aca="1" ref="B27" ca="1">IFERROR(
  INDEX(Caracteristicas!$A:$AAB,
         _xludf.XMATCH($B$9,Caracteristicas!$A:$A,0),
         _xludf.XMATCH($A27,Caracteristicas!$1:$1,0)
  ),
"")</f>
        <v/>
      </c>
      <c r="C27" s="2" t="str">
        <f t="array" aca="1" ref="C27" ca="1">IFERROR(
  INDEX(Caracteristicas!$A:$AAB,
         _xludf.XMATCH($C$9,Caracteristicas!$A:$A,0),
         _xludf.XMATCH($A27,Caracteristicas!$1:$1,0)
  ),
"")</f>
        <v/>
      </c>
      <c r="D27" s="2" t="str">
        <f t="array" aca="1" ref="D27" ca="1">IFERROR(
  INDEX(Caracteristicas!$A:$AAB,
         _xludf.XMATCH($D$9,Caracteristicas!$A:$A,0),
         _xludf.XMATCH($A27,Caracteristicas!$1:$1,0)
  ),
"")</f>
        <v/>
      </c>
    </row>
    <row r="28" spans="1:4" ht="15.75" customHeight="1">
      <c r="A28" s="10" t="s">
        <v>27</v>
      </c>
      <c r="B28" s="2" t="str">
        <f t="array" aca="1" ref="B28" ca="1">IFERROR(
  INDEX(Caracteristicas!$A:$AAB,
         _xludf.XMATCH($B$9,Caracteristicas!$A:$A,0),
         _xludf.XMATCH($A28,Caracteristicas!$1:$1,0)
  ),
"")</f>
        <v/>
      </c>
      <c r="C28" s="2" t="str">
        <f t="array" aca="1" ref="C28" ca="1">IFERROR(
  INDEX(Caracteristicas!$A:$AAB,
         _xludf.XMATCH($C$9,Caracteristicas!$A:$A,0),
         _xludf.XMATCH($A28,Caracteristicas!$1:$1,0)
  ),
"")</f>
        <v/>
      </c>
      <c r="D28" s="2" t="str">
        <f t="array" aca="1" ref="D28" ca="1">IFERROR(
  INDEX(Caracteristicas!$A:$AAB,
         _xludf.XMATCH($D$9,Caracteristicas!$A:$A,0),
         _xludf.XMATCH($A28,Caracteristicas!$1:$1,0)
  ),
"")</f>
        <v/>
      </c>
    </row>
    <row r="29" spans="1:4" ht="15.75" customHeight="1">
      <c r="A29" s="10" t="s">
        <v>29</v>
      </c>
      <c r="B29" s="2" t="str">
        <f t="array" aca="1" ref="B29" ca="1">IFERROR(
  INDEX(Caracteristicas!$A:$AAB,
         _xludf.XMATCH($B$9,Caracteristicas!$A:$A,0),
         _xludf.XMATCH($A29,Caracteristicas!$1:$1,0)
  ),
"")</f>
        <v/>
      </c>
      <c r="C29" s="2" t="str">
        <f t="array" aca="1" ref="C29" ca="1">IFERROR(
  INDEX(Caracteristicas!$A:$AAB,
         _xludf.XMATCH($C$9,Caracteristicas!$A:$A,0),
         _xludf.XMATCH($A29,Caracteristicas!$1:$1,0)
  ),
"")</f>
        <v/>
      </c>
      <c r="D29" s="2" t="str">
        <f t="array" aca="1" ref="D29" ca="1">IFERROR(
  INDEX(Caracteristicas!$A:$AAB,
         _xludf.XMATCH($D$9,Caracteristicas!$A:$A,0),
         _xludf.XMATCH($A29,Caracteristicas!$1:$1,0)
  ),
"")</f>
        <v/>
      </c>
    </row>
    <row r="30" spans="1:4" ht="15.75" customHeight="1">
      <c r="A30" s="2"/>
    </row>
    <row r="31" spans="1:4" ht="15.75" customHeight="1">
      <c r="A31" s="2"/>
    </row>
    <row r="32" spans="1:4" ht="15.75" customHeight="1">
      <c r="A32" s="2"/>
    </row>
    <row r="33" spans="1:1" ht="15.75" customHeight="1">
      <c r="A33" s="2"/>
    </row>
    <row r="34" spans="1:1" ht="15.75" customHeight="1">
      <c r="A34" s="2"/>
    </row>
    <row r="35" spans="1:1" ht="15.75" customHeight="1">
      <c r="A35" s="2"/>
    </row>
    <row r="36" spans="1:1" ht="15.75" customHeight="1">
      <c r="A36" s="2"/>
    </row>
    <row r="37" spans="1:1" ht="15.75" customHeight="1">
      <c r="A37" s="2"/>
    </row>
    <row r="38" spans="1:1" ht="15.75" customHeight="1">
      <c r="A38" s="2"/>
    </row>
    <row r="39" spans="1:1" ht="15.75" customHeight="1">
      <c r="A39" s="2"/>
    </row>
    <row r="40" spans="1:1" ht="15.75" customHeight="1">
      <c r="A40" s="2"/>
    </row>
    <row r="41" spans="1:1" ht="15.75" customHeight="1">
      <c r="A41" s="2"/>
    </row>
    <row r="42" spans="1:1" ht="15.75" customHeight="1">
      <c r="A42" s="2"/>
    </row>
    <row r="43" spans="1:1" ht="15.75" customHeight="1">
      <c r="A43" s="2"/>
    </row>
    <row r="44" spans="1:1" ht="15.75" customHeight="1">
      <c r="A44" s="2"/>
    </row>
    <row r="45" spans="1:1" ht="15.75" customHeight="1">
      <c r="A45" s="2"/>
    </row>
    <row r="46" spans="1:1" ht="15.75" customHeight="1">
      <c r="A46" s="2"/>
    </row>
    <row r="47" spans="1:1" ht="15.75" customHeight="1">
      <c r="A47" s="2"/>
    </row>
    <row r="48" spans="1:1" ht="15.75" customHeight="1">
      <c r="A48" s="2"/>
    </row>
    <row r="49" spans="1:1" ht="15.75" customHeight="1">
      <c r="A49" s="2"/>
    </row>
    <row r="50" spans="1:1" ht="15.75" customHeight="1">
      <c r="A50" s="2"/>
    </row>
    <row r="51" spans="1:1" ht="15.75" customHeight="1">
      <c r="A51" s="2"/>
    </row>
    <row r="52" spans="1:1" ht="15.75" customHeight="1">
      <c r="A52" s="2"/>
    </row>
    <row r="53" spans="1:1" ht="15.75" customHeight="1">
      <c r="A53" s="2"/>
    </row>
    <row r="54" spans="1:1" ht="15.75" customHeight="1">
      <c r="A54" s="2"/>
    </row>
    <row r="55" spans="1:1" ht="15.75" customHeight="1">
      <c r="A55" s="2"/>
    </row>
    <row r="56" spans="1:1" ht="15.75" customHeight="1">
      <c r="A56" s="2"/>
    </row>
    <row r="57" spans="1:1" ht="15.75" customHeight="1">
      <c r="A57" s="2"/>
    </row>
    <row r="58" spans="1:1" ht="15.75" customHeight="1">
      <c r="A58" s="2"/>
    </row>
    <row r="59" spans="1:1" ht="15.75" customHeight="1">
      <c r="A59" s="2"/>
    </row>
    <row r="60" spans="1:1" ht="15.75" customHeight="1">
      <c r="A60" s="2"/>
    </row>
    <row r="61" spans="1:1" ht="15.75" customHeight="1">
      <c r="A61" s="2"/>
    </row>
    <row r="62" spans="1:1" ht="15.75" customHeight="1">
      <c r="A62" s="2"/>
    </row>
    <row r="63" spans="1:1" ht="15.75" customHeight="1">
      <c r="A63" s="2"/>
    </row>
    <row r="64" spans="1:1" ht="15.75" customHeight="1">
      <c r="A64" s="2"/>
    </row>
    <row r="65" spans="1:1" ht="15.75" customHeight="1">
      <c r="A65" s="2"/>
    </row>
    <row r="66" spans="1:1" ht="15.75" customHeight="1">
      <c r="A66" s="2"/>
    </row>
    <row r="67" spans="1:1" ht="15.75" customHeight="1">
      <c r="A67" s="2"/>
    </row>
    <row r="68" spans="1:1" ht="15.75" customHeight="1">
      <c r="A68" s="2"/>
    </row>
    <row r="69" spans="1:1" ht="15.75" customHeight="1">
      <c r="A69" s="2"/>
    </row>
    <row r="70" spans="1:1" ht="15.75" customHeight="1">
      <c r="A70" s="2"/>
    </row>
    <row r="71" spans="1:1" ht="15.75" customHeight="1">
      <c r="A71" s="2"/>
    </row>
    <row r="72" spans="1:1" ht="15.75" customHeight="1">
      <c r="A72" s="2"/>
    </row>
    <row r="73" spans="1:1" ht="15.75" customHeight="1">
      <c r="A73" s="2"/>
    </row>
    <row r="74" spans="1:1" ht="15.75" customHeight="1">
      <c r="A74" s="2"/>
    </row>
    <row r="75" spans="1:1" ht="15.75" customHeight="1">
      <c r="A75" s="2"/>
    </row>
    <row r="76" spans="1:1" ht="15.75" customHeight="1">
      <c r="A76" s="2"/>
    </row>
    <row r="77" spans="1:1" ht="15.75" customHeight="1">
      <c r="A77" s="2"/>
    </row>
    <row r="78" spans="1:1" ht="15.75" customHeight="1">
      <c r="A78" s="2"/>
    </row>
    <row r="79" spans="1:1" ht="15.75" customHeight="1">
      <c r="A79" s="2"/>
    </row>
    <row r="80" spans="1:1" ht="15.75" customHeight="1">
      <c r="A80" s="2"/>
    </row>
    <row r="81" spans="1:1" ht="15.75" customHeight="1">
      <c r="A81" s="2"/>
    </row>
    <row r="82" spans="1:1" ht="15.75" customHeight="1">
      <c r="A82" s="2"/>
    </row>
    <row r="83" spans="1:1" ht="15.75" customHeight="1">
      <c r="A83" s="2"/>
    </row>
    <row r="84" spans="1:1" ht="15.75" customHeight="1">
      <c r="A84" s="2"/>
    </row>
    <row r="85" spans="1:1" ht="15.75" customHeight="1">
      <c r="A85" s="2"/>
    </row>
    <row r="86" spans="1:1" ht="15.75" customHeight="1">
      <c r="A86" s="2"/>
    </row>
    <row r="87" spans="1:1" ht="15.75" customHeight="1">
      <c r="A87" s="2"/>
    </row>
    <row r="88" spans="1:1" ht="15.75" customHeight="1">
      <c r="A88" s="2"/>
    </row>
    <row r="89" spans="1:1" ht="15.75" customHeight="1">
      <c r="A89" s="2"/>
    </row>
    <row r="90" spans="1:1" ht="15.75" customHeight="1">
      <c r="A90" s="2"/>
    </row>
    <row r="91" spans="1:1" ht="15.75" customHeight="1">
      <c r="A91" s="2"/>
    </row>
    <row r="92" spans="1:1" ht="15.75" customHeight="1">
      <c r="A92" s="2"/>
    </row>
    <row r="93" spans="1:1" ht="15.75" customHeight="1">
      <c r="A93" s="2"/>
    </row>
    <row r="94" spans="1:1" ht="15.75" customHeight="1">
      <c r="A94" s="2"/>
    </row>
    <row r="95" spans="1:1" ht="15.75" customHeight="1">
      <c r="A95" s="2"/>
    </row>
    <row r="96" spans="1:1" ht="15.75" customHeight="1">
      <c r="A96" s="2"/>
    </row>
    <row r="97" spans="1:1" ht="15.75" customHeight="1">
      <c r="A97" s="2"/>
    </row>
    <row r="98" spans="1:1" ht="15.75" customHeight="1">
      <c r="A98" s="2"/>
    </row>
    <row r="99" spans="1:1" ht="15.75" customHeight="1">
      <c r="A99" s="2"/>
    </row>
    <row r="100" spans="1:1" ht="15.75" customHeight="1">
      <c r="A100" s="2"/>
    </row>
    <row r="101" spans="1:1" ht="15.75" customHeight="1">
      <c r="A101" s="2"/>
    </row>
    <row r="102" spans="1:1" ht="15.75" customHeight="1">
      <c r="A102" s="2"/>
    </row>
    <row r="103" spans="1:1" ht="15.75" customHeight="1">
      <c r="A103" s="2"/>
    </row>
    <row r="104" spans="1:1" ht="15.75" customHeight="1">
      <c r="A104" s="2"/>
    </row>
    <row r="105" spans="1:1" ht="15.75" customHeight="1">
      <c r="A105" s="2"/>
    </row>
    <row r="106" spans="1:1" ht="15.75" customHeight="1">
      <c r="A106" s="2"/>
    </row>
    <row r="107" spans="1:1" ht="15.75" customHeight="1">
      <c r="A107" s="2"/>
    </row>
    <row r="108" spans="1:1" ht="15.75" customHeight="1">
      <c r="A108" s="2"/>
    </row>
    <row r="109" spans="1:1" ht="15.75" customHeight="1">
      <c r="A109" s="2"/>
    </row>
    <row r="110" spans="1:1" ht="15.75" customHeight="1">
      <c r="A110" s="2"/>
    </row>
    <row r="111" spans="1:1" ht="15.75" customHeight="1">
      <c r="A111" s="2"/>
    </row>
    <row r="112" spans="1:1" ht="15.75" customHeight="1">
      <c r="A112" s="2"/>
    </row>
    <row r="113" spans="1:1" ht="15.75" customHeight="1">
      <c r="A113" s="2"/>
    </row>
    <row r="114" spans="1:1" ht="15.75" customHeight="1">
      <c r="A114" s="2"/>
    </row>
    <row r="115" spans="1:1" ht="15.75" customHeight="1">
      <c r="A115" s="2"/>
    </row>
    <row r="116" spans="1:1" ht="15.75" customHeight="1">
      <c r="A116" s="2"/>
    </row>
    <row r="117" spans="1:1" ht="15.75" customHeight="1">
      <c r="A117" s="2"/>
    </row>
    <row r="118" spans="1:1" ht="15.75" customHeight="1">
      <c r="A118" s="2"/>
    </row>
    <row r="119" spans="1:1" ht="15.75" customHeight="1">
      <c r="A119" s="2"/>
    </row>
    <row r="120" spans="1:1" ht="15.75" customHeight="1">
      <c r="A120" s="2"/>
    </row>
    <row r="121" spans="1:1" ht="15.75" customHeight="1">
      <c r="A121" s="2"/>
    </row>
    <row r="122" spans="1:1" ht="15.75" customHeight="1">
      <c r="A122" s="2"/>
    </row>
    <row r="123" spans="1:1" ht="15.75" customHeight="1">
      <c r="A123" s="2"/>
    </row>
    <row r="124" spans="1:1" ht="15.75" customHeight="1">
      <c r="A124" s="2"/>
    </row>
    <row r="125" spans="1:1" ht="15.75" customHeight="1">
      <c r="A125" s="2"/>
    </row>
    <row r="126" spans="1:1" ht="15.75" customHeight="1">
      <c r="A126" s="2"/>
    </row>
    <row r="127" spans="1:1" ht="15.75" customHeight="1">
      <c r="A127" s="2"/>
    </row>
    <row r="128" spans="1:1" ht="15.75" customHeight="1">
      <c r="A128" s="2"/>
    </row>
    <row r="129" spans="1:1" ht="15.75" customHeight="1">
      <c r="A129" s="2"/>
    </row>
    <row r="130" spans="1:1" ht="15.75" customHeight="1">
      <c r="A130" s="2"/>
    </row>
    <row r="131" spans="1:1" ht="15.75" customHeight="1">
      <c r="A131" s="2"/>
    </row>
    <row r="132" spans="1:1" ht="15.75" customHeight="1">
      <c r="A132" s="2"/>
    </row>
    <row r="133" spans="1:1" ht="15.75" customHeight="1">
      <c r="A133" s="2"/>
    </row>
    <row r="134" spans="1:1" ht="15.75" customHeight="1">
      <c r="A134" s="2"/>
    </row>
    <row r="135" spans="1:1" ht="15.75" customHeight="1">
      <c r="A135" s="2"/>
    </row>
    <row r="136" spans="1:1" ht="15.75" customHeight="1">
      <c r="A136" s="2"/>
    </row>
    <row r="137" spans="1:1" ht="15.75" customHeight="1">
      <c r="A137" s="2"/>
    </row>
    <row r="138" spans="1:1" ht="15.75" customHeight="1">
      <c r="A138" s="2"/>
    </row>
    <row r="139" spans="1:1" ht="15.75" customHeight="1">
      <c r="A139" s="2"/>
    </row>
    <row r="140" spans="1:1" ht="15.75" customHeight="1">
      <c r="A140" s="2"/>
    </row>
    <row r="141" spans="1:1" ht="15.75" customHeight="1">
      <c r="A141" s="2"/>
    </row>
    <row r="142" spans="1:1" ht="15.75" customHeight="1">
      <c r="A142" s="2"/>
    </row>
    <row r="143" spans="1:1" ht="15.75" customHeight="1">
      <c r="A143" s="2"/>
    </row>
    <row r="144" spans="1:1" ht="15.75" customHeight="1">
      <c r="A144" s="2"/>
    </row>
    <row r="145" spans="1:1" ht="15.75" customHeight="1">
      <c r="A145" s="2"/>
    </row>
    <row r="146" spans="1:1" ht="15.75" customHeight="1">
      <c r="A146" s="2"/>
    </row>
    <row r="147" spans="1:1" ht="15.75" customHeight="1">
      <c r="A147" s="2"/>
    </row>
    <row r="148" spans="1:1" ht="15.75" customHeight="1">
      <c r="A148" s="2"/>
    </row>
    <row r="149" spans="1:1" ht="15.75" customHeight="1">
      <c r="A149" s="2"/>
    </row>
    <row r="150" spans="1:1" ht="15.75" customHeight="1">
      <c r="A150" s="2"/>
    </row>
    <row r="151" spans="1:1" ht="15.75" customHeight="1">
      <c r="A151" s="2"/>
    </row>
    <row r="152" spans="1:1" ht="15.75" customHeight="1">
      <c r="A152" s="2"/>
    </row>
    <row r="153" spans="1:1" ht="15.75" customHeight="1">
      <c r="A153" s="2"/>
    </row>
    <row r="154" spans="1:1" ht="15.75" customHeight="1">
      <c r="A154" s="2"/>
    </row>
    <row r="155" spans="1:1" ht="15.75" customHeight="1">
      <c r="A155" s="2"/>
    </row>
    <row r="156" spans="1:1" ht="15.75" customHeight="1">
      <c r="A156" s="2"/>
    </row>
    <row r="157" spans="1:1" ht="15.75" customHeight="1">
      <c r="A157" s="2"/>
    </row>
    <row r="158" spans="1:1" ht="15.75" customHeight="1">
      <c r="A158" s="2"/>
    </row>
    <row r="159" spans="1:1" ht="15.75" customHeight="1">
      <c r="A159" s="2"/>
    </row>
    <row r="160" spans="1:1" ht="15.75" customHeight="1">
      <c r="A160" s="2"/>
    </row>
    <row r="161" spans="1:1" ht="15.75" customHeight="1">
      <c r="A161" s="2"/>
    </row>
    <row r="162" spans="1:1" ht="15.75" customHeight="1">
      <c r="A162" s="2"/>
    </row>
    <row r="163" spans="1:1" ht="15.75" customHeight="1">
      <c r="A163" s="2"/>
    </row>
    <row r="164" spans="1:1" ht="15.75" customHeight="1">
      <c r="A164" s="2"/>
    </row>
    <row r="165" spans="1:1" ht="15.75" customHeight="1">
      <c r="A165" s="2"/>
    </row>
    <row r="166" spans="1:1" ht="15.75" customHeight="1">
      <c r="A166" s="2"/>
    </row>
    <row r="167" spans="1:1" ht="15.75" customHeight="1">
      <c r="A167" s="2"/>
    </row>
    <row r="168" spans="1:1" ht="15.75" customHeight="1">
      <c r="A168" s="2"/>
    </row>
    <row r="169" spans="1:1" ht="15.75" customHeight="1">
      <c r="A169" s="2"/>
    </row>
    <row r="170" spans="1:1" ht="15.75" customHeight="1">
      <c r="A170" s="2"/>
    </row>
    <row r="171" spans="1:1" ht="15.75" customHeight="1">
      <c r="A171" s="2"/>
    </row>
    <row r="172" spans="1:1" ht="15.75" customHeight="1">
      <c r="A172" s="2"/>
    </row>
    <row r="173" spans="1:1" ht="15.75" customHeight="1">
      <c r="A173" s="2"/>
    </row>
    <row r="174" spans="1:1" ht="15.75" customHeight="1">
      <c r="A174" s="2"/>
    </row>
    <row r="175" spans="1:1" ht="15.75" customHeight="1">
      <c r="A175" s="2"/>
    </row>
    <row r="176" spans="1:1" ht="15.75" customHeight="1">
      <c r="A176" s="2"/>
    </row>
    <row r="177" spans="1:1" ht="15.75" customHeight="1">
      <c r="A177" s="2"/>
    </row>
    <row r="178" spans="1:1" ht="15.75" customHeight="1">
      <c r="A178" s="2"/>
    </row>
    <row r="179" spans="1:1" ht="15.75" customHeight="1">
      <c r="A179" s="2"/>
    </row>
    <row r="180" spans="1:1" ht="15.75" customHeight="1">
      <c r="A180" s="2"/>
    </row>
    <row r="181" spans="1:1" ht="15.75" customHeight="1">
      <c r="A181" s="2"/>
    </row>
    <row r="182" spans="1:1" ht="15.75" customHeight="1">
      <c r="A182" s="2"/>
    </row>
    <row r="183" spans="1:1" ht="15.75" customHeight="1">
      <c r="A183" s="2"/>
    </row>
    <row r="184" spans="1:1" ht="15.75" customHeight="1">
      <c r="A184" s="2"/>
    </row>
    <row r="185" spans="1:1" ht="15.75" customHeight="1">
      <c r="A185" s="2"/>
    </row>
    <row r="186" spans="1:1" ht="15.75" customHeight="1">
      <c r="A186" s="2"/>
    </row>
    <row r="187" spans="1:1" ht="15.75" customHeight="1">
      <c r="A187" s="2"/>
    </row>
    <row r="188" spans="1:1" ht="15.75" customHeight="1">
      <c r="A188" s="2"/>
    </row>
    <row r="189" spans="1:1" ht="15.75" customHeight="1">
      <c r="A189" s="2"/>
    </row>
    <row r="190" spans="1:1" ht="15.75" customHeight="1">
      <c r="A190" s="2"/>
    </row>
    <row r="191" spans="1:1" ht="15.75" customHeight="1">
      <c r="A191" s="2"/>
    </row>
    <row r="192" spans="1:1" ht="15.75" customHeight="1">
      <c r="A192" s="2"/>
    </row>
    <row r="193" spans="1:1" ht="15.75" customHeight="1">
      <c r="A193" s="2"/>
    </row>
    <row r="194" spans="1:1" ht="15.75" customHeight="1">
      <c r="A194" s="2"/>
    </row>
    <row r="195" spans="1:1" ht="15.75" customHeight="1">
      <c r="A195" s="2"/>
    </row>
    <row r="196" spans="1:1" ht="15.75" customHeight="1">
      <c r="A196" s="2"/>
    </row>
    <row r="197" spans="1:1" ht="15.75" customHeight="1">
      <c r="A197" s="2"/>
    </row>
    <row r="198" spans="1:1" ht="15.75" customHeight="1">
      <c r="A198" s="2"/>
    </row>
    <row r="199" spans="1:1" ht="15.75" customHeight="1">
      <c r="A199" s="2"/>
    </row>
    <row r="200" spans="1:1" ht="15.75" customHeight="1">
      <c r="A200" s="2"/>
    </row>
    <row r="201" spans="1:1" ht="15.75" customHeight="1">
      <c r="A201" s="2"/>
    </row>
    <row r="202" spans="1:1" ht="15.75" customHeight="1">
      <c r="A202" s="2"/>
    </row>
    <row r="203" spans="1:1" ht="15.75" customHeight="1">
      <c r="A203" s="2"/>
    </row>
    <row r="204" spans="1:1" ht="15.75" customHeight="1">
      <c r="A204" s="2"/>
    </row>
    <row r="205" spans="1:1" ht="15.75" customHeight="1">
      <c r="A205" s="2"/>
    </row>
    <row r="206" spans="1:1" ht="15.75" customHeight="1">
      <c r="A206" s="2"/>
    </row>
    <row r="207" spans="1:1" ht="15.75" customHeight="1">
      <c r="A207" s="2"/>
    </row>
    <row r="208" spans="1:1" ht="15.75" customHeight="1">
      <c r="A208" s="2"/>
    </row>
    <row r="209" spans="1:1" ht="15.75" customHeight="1">
      <c r="A209" s="2"/>
    </row>
    <row r="210" spans="1:1" ht="15.75" customHeight="1">
      <c r="A210" s="2"/>
    </row>
    <row r="211" spans="1:1" ht="15.75" customHeight="1">
      <c r="A211" s="2"/>
    </row>
    <row r="212" spans="1:1" ht="15.75" customHeight="1">
      <c r="A212" s="2"/>
    </row>
    <row r="213" spans="1:1" ht="15.75" customHeight="1">
      <c r="A213" s="2"/>
    </row>
    <row r="214" spans="1:1" ht="15.75" customHeight="1">
      <c r="A214" s="2"/>
    </row>
    <row r="215" spans="1:1" ht="15.75" customHeight="1">
      <c r="A215" s="2"/>
    </row>
    <row r="216" spans="1:1" ht="15.75" customHeight="1">
      <c r="A216" s="2"/>
    </row>
    <row r="217" spans="1:1" ht="15.75" customHeight="1">
      <c r="A217" s="2"/>
    </row>
    <row r="218" spans="1:1" ht="15.75" customHeight="1">
      <c r="A218" s="2"/>
    </row>
    <row r="219" spans="1:1" ht="15.75" customHeight="1">
      <c r="A219" s="2"/>
    </row>
    <row r="220" spans="1:1" ht="15.75" customHeight="1">
      <c r="A220" s="2"/>
    </row>
    <row r="221" spans="1:1" ht="15.75" customHeight="1">
      <c r="A221" s="2"/>
    </row>
    <row r="222" spans="1:1" ht="15.75" customHeight="1">
      <c r="A222" s="2"/>
    </row>
    <row r="223" spans="1:1" ht="15.75" customHeight="1">
      <c r="A223" s="2"/>
    </row>
    <row r="224" spans="1:1" ht="15.75" customHeight="1">
      <c r="A224" s="2"/>
    </row>
    <row r="225" spans="1:1" ht="15.75" customHeight="1">
      <c r="A225" s="2"/>
    </row>
    <row r="226" spans="1:1" ht="15.75" customHeight="1">
      <c r="A226" s="2"/>
    </row>
    <row r="227" spans="1:1" ht="15.75" customHeight="1">
      <c r="A227" s="2"/>
    </row>
    <row r="228" spans="1:1" ht="15.75" customHeight="1">
      <c r="A228" s="2"/>
    </row>
    <row r="229" spans="1:1" ht="15.75" customHeight="1">
      <c r="A229" s="2"/>
    </row>
    <row r="230" spans="1:1" ht="15.75" customHeight="1">
      <c r="A230" s="2"/>
    </row>
    <row r="231" spans="1:1" ht="15.75" customHeight="1">
      <c r="A231" s="2"/>
    </row>
    <row r="232" spans="1:1" ht="15.75" customHeight="1">
      <c r="A232" s="2"/>
    </row>
    <row r="233" spans="1:1" ht="15.75" customHeight="1">
      <c r="A233" s="2"/>
    </row>
    <row r="234" spans="1:1" ht="15.75" customHeight="1">
      <c r="A234" s="2"/>
    </row>
    <row r="235" spans="1:1" ht="15.75" customHeight="1">
      <c r="A235" s="2"/>
    </row>
    <row r="236" spans="1:1" ht="15.75" customHeight="1">
      <c r="A236" s="2"/>
    </row>
    <row r="237" spans="1:1" ht="15.75" customHeight="1">
      <c r="A237" s="2"/>
    </row>
    <row r="238" spans="1:1" ht="15.75" customHeight="1">
      <c r="A238" s="2"/>
    </row>
    <row r="239" spans="1:1" ht="15.75" customHeight="1">
      <c r="A239" s="2"/>
    </row>
    <row r="240" spans="1:1" ht="15.75" customHeight="1">
      <c r="A240" s="2"/>
    </row>
    <row r="241" spans="1:1" ht="15.75" customHeight="1">
      <c r="A241" s="2"/>
    </row>
    <row r="242" spans="1:1" ht="15.75" customHeight="1">
      <c r="A242" s="2"/>
    </row>
    <row r="243" spans="1:1" ht="15.75" customHeight="1">
      <c r="A243" s="2"/>
    </row>
    <row r="244" spans="1:1" ht="15.75" customHeight="1">
      <c r="A244" s="2"/>
    </row>
    <row r="245" spans="1:1" ht="15.75" customHeight="1">
      <c r="A245" s="2"/>
    </row>
    <row r="246" spans="1:1" ht="15.75" customHeight="1">
      <c r="A246" s="2"/>
    </row>
    <row r="247" spans="1:1" ht="15.75" customHeight="1">
      <c r="A247" s="2"/>
    </row>
    <row r="248" spans="1:1" ht="15.75" customHeight="1">
      <c r="A248" s="2"/>
    </row>
    <row r="249" spans="1:1" ht="15.75" customHeight="1">
      <c r="A249" s="2"/>
    </row>
    <row r="250" spans="1:1" ht="15.75" customHeight="1">
      <c r="A250" s="2"/>
    </row>
    <row r="251" spans="1:1" ht="15.75" customHeight="1">
      <c r="A251" s="2"/>
    </row>
    <row r="252" spans="1:1" ht="15.75" customHeight="1">
      <c r="A252" s="2"/>
    </row>
    <row r="253" spans="1:1" ht="15.75" customHeight="1">
      <c r="A253" s="2"/>
    </row>
    <row r="254" spans="1:1" ht="15.75" customHeight="1">
      <c r="A254" s="2"/>
    </row>
    <row r="255" spans="1:1" ht="15.75" customHeight="1">
      <c r="A255" s="2"/>
    </row>
    <row r="256" spans="1:1" ht="15.75" customHeight="1">
      <c r="A256" s="2"/>
    </row>
    <row r="257" spans="1:1" ht="15.75" customHeight="1">
      <c r="A257" s="2"/>
    </row>
    <row r="258" spans="1:1" ht="15.75" customHeight="1">
      <c r="A258" s="2"/>
    </row>
    <row r="259" spans="1:1" ht="15.75" customHeight="1">
      <c r="A259" s="2"/>
    </row>
    <row r="260" spans="1:1" ht="15.75" customHeight="1">
      <c r="A260" s="2"/>
    </row>
    <row r="261" spans="1:1" ht="15.75" customHeight="1">
      <c r="A261" s="2"/>
    </row>
    <row r="262" spans="1:1" ht="15.75" customHeight="1">
      <c r="A262" s="2"/>
    </row>
    <row r="263" spans="1:1" ht="15.75" customHeight="1">
      <c r="A263" s="2"/>
    </row>
    <row r="264" spans="1:1" ht="15.75" customHeight="1">
      <c r="A264" s="2"/>
    </row>
    <row r="265" spans="1:1" ht="15.75" customHeight="1">
      <c r="A265" s="2"/>
    </row>
    <row r="266" spans="1:1" ht="15.75" customHeight="1">
      <c r="A266" s="2"/>
    </row>
    <row r="267" spans="1:1" ht="15.75" customHeight="1">
      <c r="A267" s="2"/>
    </row>
    <row r="268" spans="1:1" ht="15.75" customHeight="1">
      <c r="A268" s="2"/>
    </row>
    <row r="269" spans="1:1" ht="15.75" customHeight="1">
      <c r="A269" s="2"/>
    </row>
    <row r="270" spans="1:1" ht="15.75" customHeight="1">
      <c r="A270" s="2"/>
    </row>
    <row r="271" spans="1:1" ht="15.75" customHeight="1">
      <c r="A271" s="2"/>
    </row>
    <row r="272" spans="1:1" ht="15.75" customHeight="1">
      <c r="A272" s="2"/>
    </row>
    <row r="273" spans="1:1" ht="15.75" customHeight="1">
      <c r="A273" s="2"/>
    </row>
    <row r="274" spans="1:1" ht="15.75" customHeight="1">
      <c r="A274" s="2"/>
    </row>
    <row r="275" spans="1:1" ht="15.75" customHeight="1">
      <c r="A275" s="2"/>
    </row>
    <row r="276" spans="1:1" ht="15.75" customHeight="1">
      <c r="A276" s="2"/>
    </row>
    <row r="277" spans="1:1" ht="15.75" customHeight="1">
      <c r="A277" s="2"/>
    </row>
    <row r="278" spans="1:1" ht="15.75" customHeight="1">
      <c r="A278" s="2"/>
    </row>
    <row r="279" spans="1:1" ht="15.75" customHeight="1">
      <c r="A279" s="2"/>
    </row>
    <row r="280" spans="1:1" ht="15.75" customHeight="1">
      <c r="A280" s="2"/>
    </row>
    <row r="281" spans="1:1" ht="15.75" customHeight="1">
      <c r="A281" s="2"/>
    </row>
    <row r="282" spans="1:1" ht="15.75" customHeight="1">
      <c r="A282" s="2"/>
    </row>
    <row r="283" spans="1:1" ht="15.75" customHeight="1">
      <c r="A283" s="2"/>
    </row>
    <row r="284" spans="1:1" ht="15.75" customHeight="1">
      <c r="A284" s="2"/>
    </row>
    <row r="285" spans="1:1" ht="15.75" customHeight="1">
      <c r="A285" s="2"/>
    </row>
    <row r="286" spans="1:1" ht="15.75" customHeight="1">
      <c r="A286" s="2"/>
    </row>
    <row r="287" spans="1:1" ht="15.75" customHeight="1">
      <c r="A287" s="2"/>
    </row>
    <row r="288" spans="1:1" ht="15.75" customHeight="1">
      <c r="A288" s="2"/>
    </row>
    <row r="289" spans="1:1" ht="15.75" customHeight="1">
      <c r="A289" s="2"/>
    </row>
    <row r="290" spans="1:1" ht="15.75" customHeight="1">
      <c r="A290" s="2"/>
    </row>
    <row r="291" spans="1:1" ht="15.75" customHeight="1">
      <c r="A291" s="2"/>
    </row>
    <row r="292" spans="1:1" ht="15.75" customHeight="1">
      <c r="A292" s="2"/>
    </row>
    <row r="293" spans="1:1" ht="15.75" customHeight="1">
      <c r="A293" s="2"/>
    </row>
    <row r="294" spans="1:1" ht="15.75" customHeight="1">
      <c r="A294" s="2"/>
    </row>
    <row r="295" spans="1:1" ht="15.75" customHeight="1">
      <c r="A295" s="2"/>
    </row>
    <row r="296" spans="1:1" ht="15.75" customHeight="1">
      <c r="A296" s="2"/>
    </row>
    <row r="297" spans="1:1" ht="15.75" customHeight="1">
      <c r="A297" s="2"/>
    </row>
    <row r="298" spans="1:1" ht="15.75" customHeight="1">
      <c r="A298" s="2"/>
    </row>
    <row r="299" spans="1:1" ht="15.75" customHeight="1">
      <c r="A299" s="2"/>
    </row>
    <row r="300" spans="1:1" ht="15.75" customHeight="1">
      <c r="A300" s="2"/>
    </row>
    <row r="301" spans="1:1" ht="15.75" customHeight="1">
      <c r="A301" s="2"/>
    </row>
    <row r="302" spans="1:1" ht="15.75" customHeight="1">
      <c r="A302" s="2"/>
    </row>
    <row r="303" spans="1:1" ht="15.75" customHeight="1">
      <c r="A303" s="2"/>
    </row>
    <row r="304" spans="1:1" ht="15.75" customHeight="1">
      <c r="A304" s="2"/>
    </row>
    <row r="305" spans="1:1" ht="15.75" customHeight="1">
      <c r="A305" s="2"/>
    </row>
    <row r="306" spans="1:1" ht="15.75" customHeight="1">
      <c r="A306" s="2"/>
    </row>
    <row r="307" spans="1:1" ht="15.75" customHeight="1">
      <c r="A307" s="2"/>
    </row>
    <row r="308" spans="1:1" ht="15.75" customHeight="1">
      <c r="A308" s="2"/>
    </row>
    <row r="309" spans="1:1" ht="15.75" customHeight="1">
      <c r="A309" s="2"/>
    </row>
    <row r="310" spans="1:1" ht="15.75" customHeight="1">
      <c r="A310" s="2"/>
    </row>
    <row r="311" spans="1:1" ht="15.75" customHeight="1">
      <c r="A311" s="2"/>
    </row>
    <row r="312" spans="1:1" ht="15.75" customHeight="1">
      <c r="A312" s="2"/>
    </row>
    <row r="313" spans="1:1" ht="15.75" customHeight="1">
      <c r="A313" s="2"/>
    </row>
    <row r="314" spans="1:1" ht="15.75" customHeight="1">
      <c r="A314" s="2"/>
    </row>
    <row r="315" spans="1:1" ht="15.75" customHeight="1">
      <c r="A315" s="2"/>
    </row>
    <row r="316" spans="1:1" ht="15.75" customHeight="1">
      <c r="A316" s="2"/>
    </row>
    <row r="317" spans="1:1" ht="15.75" customHeight="1">
      <c r="A317" s="2"/>
    </row>
    <row r="318" spans="1:1" ht="15.75" customHeight="1">
      <c r="A318" s="2"/>
    </row>
    <row r="319" spans="1:1" ht="15.75" customHeight="1">
      <c r="A319" s="2"/>
    </row>
    <row r="320" spans="1:1" ht="15.75" customHeight="1">
      <c r="A320" s="2"/>
    </row>
    <row r="321" spans="1:1" ht="15.75" customHeight="1">
      <c r="A321" s="2"/>
    </row>
    <row r="322" spans="1:1" ht="15.75" customHeight="1">
      <c r="A322" s="2"/>
    </row>
    <row r="323" spans="1:1" ht="15.75" customHeight="1">
      <c r="A323" s="2"/>
    </row>
    <row r="324" spans="1:1" ht="15.75" customHeight="1">
      <c r="A324" s="2"/>
    </row>
    <row r="325" spans="1:1" ht="15.75" customHeight="1">
      <c r="A325" s="2"/>
    </row>
    <row r="326" spans="1:1" ht="15.75" customHeight="1">
      <c r="A326" s="2"/>
    </row>
    <row r="327" spans="1:1" ht="15.75" customHeight="1">
      <c r="A327" s="2"/>
    </row>
    <row r="328" spans="1:1" ht="15.75" customHeight="1">
      <c r="A328" s="2"/>
    </row>
    <row r="329" spans="1:1" ht="15.75" customHeight="1">
      <c r="A329" s="2"/>
    </row>
    <row r="330" spans="1:1" ht="15.75" customHeight="1">
      <c r="A330" s="2"/>
    </row>
    <row r="331" spans="1:1" ht="15.75" customHeight="1">
      <c r="A331" s="2"/>
    </row>
    <row r="332" spans="1:1" ht="15.75" customHeight="1">
      <c r="A332" s="2"/>
    </row>
    <row r="333" spans="1:1" ht="15.75" customHeight="1">
      <c r="A333" s="2"/>
    </row>
    <row r="334" spans="1:1" ht="15.75" customHeight="1">
      <c r="A334" s="2"/>
    </row>
    <row r="335" spans="1:1" ht="15.75" customHeight="1">
      <c r="A335" s="2"/>
    </row>
    <row r="336" spans="1:1" ht="15.75" customHeight="1">
      <c r="A336" s="2"/>
    </row>
    <row r="337" spans="1:1" ht="15.75" customHeight="1">
      <c r="A337" s="2"/>
    </row>
    <row r="338" spans="1:1" ht="15.75" customHeight="1">
      <c r="A338" s="2"/>
    </row>
    <row r="339" spans="1:1" ht="15.75" customHeight="1">
      <c r="A339" s="2"/>
    </row>
    <row r="340" spans="1:1" ht="15.75" customHeight="1">
      <c r="A340" s="2"/>
    </row>
    <row r="341" spans="1:1" ht="15.75" customHeight="1">
      <c r="A341" s="2"/>
    </row>
    <row r="342" spans="1:1" ht="15.75" customHeight="1">
      <c r="A342" s="2"/>
    </row>
    <row r="343" spans="1:1" ht="15.75" customHeight="1">
      <c r="A343" s="2"/>
    </row>
    <row r="344" spans="1:1" ht="15.75" customHeight="1">
      <c r="A344" s="2"/>
    </row>
    <row r="345" spans="1:1" ht="15.75" customHeight="1">
      <c r="A345" s="2"/>
    </row>
    <row r="346" spans="1:1" ht="15.75" customHeight="1">
      <c r="A346" s="2"/>
    </row>
    <row r="347" spans="1:1" ht="15.75" customHeight="1">
      <c r="A347" s="2"/>
    </row>
    <row r="348" spans="1:1" ht="15.75" customHeight="1">
      <c r="A348" s="2"/>
    </row>
    <row r="349" spans="1:1" ht="15.75" customHeight="1">
      <c r="A349" s="2"/>
    </row>
    <row r="350" spans="1:1" ht="15.75" customHeight="1">
      <c r="A350" s="2"/>
    </row>
    <row r="351" spans="1:1" ht="15.75" customHeight="1">
      <c r="A351" s="2"/>
    </row>
    <row r="352" spans="1:1" ht="15.75" customHeight="1">
      <c r="A352" s="2"/>
    </row>
    <row r="353" spans="1:1" ht="15.75" customHeight="1">
      <c r="A353" s="2"/>
    </row>
    <row r="354" spans="1:1" ht="15.75" customHeight="1">
      <c r="A354" s="2"/>
    </row>
    <row r="355" spans="1:1" ht="15.75" customHeight="1">
      <c r="A355" s="2"/>
    </row>
    <row r="356" spans="1:1" ht="15.75" customHeight="1">
      <c r="A356" s="2"/>
    </row>
    <row r="357" spans="1:1" ht="15.75" customHeight="1">
      <c r="A357" s="2"/>
    </row>
    <row r="358" spans="1:1" ht="15.75" customHeight="1">
      <c r="A358" s="2"/>
    </row>
    <row r="359" spans="1:1" ht="15.75" customHeight="1">
      <c r="A359" s="2"/>
    </row>
    <row r="360" spans="1:1" ht="15.75" customHeight="1">
      <c r="A360" s="2"/>
    </row>
    <row r="361" spans="1:1" ht="15.75" customHeight="1">
      <c r="A361" s="2"/>
    </row>
    <row r="362" spans="1:1" ht="15.75" customHeight="1">
      <c r="A362" s="2"/>
    </row>
    <row r="363" spans="1:1" ht="15.75" customHeight="1">
      <c r="A363" s="2"/>
    </row>
    <row r="364" spans="1:1" ht="15.75" customHeight="1">
      <c r="A364" s="2"/>
    </row>
    <row r="365" spans="1:1" ht="15.75" customHeight="1">
      <c r="A365" s="2"/>
    </row>
    <row r="366" spans="1:1" ht="15.75" customHeight="1">
      <c r="A366" s="2"/>
    </row>
    <row r="367" spans="1:1" ht="15.75" customHeight="1">
      <c r="A367" s="2"/>
    </row>
    <row r="368" spans="1:1" ht="15.75" customHeight="1">
      <c r="A368" s="2"/>
    </row>
    <row r="369" spans="1:1" ht="15.75" customHeight="1">
      <c r="A369" s="2"/>
    </row>
    <row r="370" spans="1:1" ht="15.75" customHeight="1">
      <c r="A370" s="2"/>
    </row>
    <row r="371" spans="1:1" ht="15.75" customHeight="1">
      <c r="A371" s="2"/>
    </row>
    <row r="372" spans="1:1" ht="15.75" customHeight="1">
      <c r="A372" s="2"/>
    </row>
    <row r="373" spans="1:1" ht="15.75" customHeight="1">
      <c r="A373" s="2"/>
    </row>
    <row r="374" spans="1:1" ht="15.75" customHeight="1">
      <c r="A374" s="2"/>
    </row>
    <row r="375" spans="1:1" ht="15.75" customHeight="1">
      <c r="A375" s="2"/>
    </row>
    <row r="376" spans="1:1" ht="15.75" customHeight="1">
      <c r="A376" s="2"/>
    </row>
    <row r="377" spans="1:1" ht="15.75" customHeight="1">
      <c r="A377" s="2"/>
    </row>
    <row r="378" spans="1:1" ht="15.75" customHeight="1">
      <c r="A378" s="2"/>
    </row>
    <row r="379" spans="1:1" ht="15.75" customHeight="1">
      <c r="A379" s="2"/>
    </row>
    <row r="380" spans="1:1" ht="15.75" customHeight="1">
      <c r="A380" s="2"/>
    </row>
    <row r="381" spans="1:1" ht="15.75" customHeight="1">
      <c r="A381" s="2"/>
    </row>
    <row r="382" spans="1:1" ht="15.75" customHeight="1">
      <c r="A382" s="2"/>
    </row>
    <row r="383" spans="1:1" ht="15.75" customHeight="1">
      <c r="A383" s="2"/>
    </row>
    <row r="384" spans="1:1" ht="15.75" customHeight="1">
      <c r="A384" s="2"/>
    </row>
    <row r="385" spans="1:1" ht="15.75" customHeight="1">
      <c r="A385" s="2"/>
    </row>
    <row r="386" spans="1:1" ht="15.75" customHeight="1">
      <c r="A386" s="2"/>
    </row>
    <row r="387" spans="1:1" ht="15.75" customHeight="1">
      <c r="A387" s="2"/>
    </row>
    <row r="388" spans="1:1" ht="15.75" customHeight="1">
      <c r="A388" s="2"/>
    </row>
    <row r="389" spans="1:1" ht="15.75" customHeight="1">
      <c r="A389" s="2"/>
    </row>
    <row r="390" spans="1:1" ht="15.75" customHeight="1">
      <c r="A390" s="2"/>
    </row>
    <row r="391" spans="1:1" ht="15.75" customHeight="1">
      <c r="A391" s="2"/>
    </row>
    <row r="392" spans="1:1" ht="15.75" customHeight="1">
      <c r="A392" s="2"/>
    </row>
    <row r="393" spans="1:1" ht="15.75" customHeight="1">
      <c r="A393" s="2"/>
    </row>
    <row r="394" spans="1:1" ht="15.75" customHeight="1">
      <c r="A394" s="2"/>
    </row>
    <row r="395" spans="1:1" ht="15.75" customHeight="1">
      <c r="A395" s="2"/>
    </row>
    <row r="396" spans="1:1" ht="15.75" customHeight="1">
      <c r="A396" s="2"/>
    </row>
    <row r="397" spans="1:1" ht="15.75" customHeight="1">
      <c r="A397" s="2"/>
    </row>
    <row r="398" spans="1:1" ht="15.75" customHeight="1">
      <c r="A398" s="2"/>
    </row>
    <row r="399" spans="1:1" ht="15.75" customHeight="1">
      <c r="A399" s="2"/>
    </row>
    <row r="400" spans="1:1" ht="15.75" customHeight="1">
      <c r="A400" s="2"/>
    </row>
    <row r="401" spans="1:1" ht="15.75" customHeight="1">
      <c r="A401" s="2"/>
    </row>
    <row r="402" spans="1:1" ht="15.75" customHeight="1">
      <c r="A402" s="2"/>
    </row>
    <row r="403" spans="1:1" ht="15.75" customHeight="1">
      <c r="A403" s="2"/>
    </row>
    <row r="404" spans="1:1" ht="15.75" customHeight="1">
      <c r="A404" s="2"/>
    </row>
    <row r="405" spans="1:1" ht="15.75" customHeight="1">
      <c r="A405" s="2"/>
    </row>
    <row r="406" spans="1:1" ht="15.75" customHeight="1">
      <c r="A406" s="2"/>
    </row>
    <row r="407" spans="1:1" ht="15.75" customHeight="1">
      <c r="A407" s="2"/>
    </row>
    <row r="408" spans="1:1" ht="15.75" customHeight="1">
      <c r="A408" s="2"/>
    </row>
    <row r="409" spans="1:1" ht="15.75" customHeight="1">
      <c r="A409" s="2"/>
    </row>
    <row r="410" spans="1:1" ht="15.75" customHeight="1">
      <c r="A410" s="2"/>
    </row>
    <row r="411" spans="1:1" ht="15.75" customHeight="1">
      <c r="A411" s="2"/>
    </row>
    <row r="412" spans="1:1" ht="15.75" customHeight="1">
      <c r="A412" s="2"/>
    </row>
    <row r="413" spans="1:1" ht="15.75" customHeight="1">
      <c r="A413" s="2"/>
    </row>
    <row r="414" spans="1:1" ht="15.75" customHeight="1">
      <c r="A414" s="2"/>
    </row>
    <row r="415" spans="1:1" ht="15.75" customHeight="1">
      <c r="A415" s="2"/>
    </row>
    <row r="416" spans="1:1" ht="15.75" customHeight="1">
      <c r="A416" s="2"/>
    </row>
    <row r="417" spans="1:1" ht="15.75" customHeight="1">
      <c r="A417" s="2"/>
    </row>
    <row r="418" spans="1:1" ht="15.75" customHeight="1">
      <c r="A418" s="2"/>
    </row>
    <row r="419" spans="1:1" ht="15.75" customHeight="1">
      <c r="A419" s="2"/>
    </row>
    <row r="420" spans="1:1" ht="15.75" customHeight="1">
      <c r="A420" s="2"/>
    </row>
    <row r="421" spans="1:1" ht="15.75" customHeight="1">
      <c r="A421" s="2"/>
    </row>
    <row r="422" spans="1:1" ht="15.75" customHeight="1">
      <c r="A422" s="2"/>
    </row>
    <row r="423" spans="1:1" ht="15.75" customHeight="1">
      <c r="A423" s="2"/>
    </row>
    <row r="424" spans="1:1" ht="15.75" customHeight="1">
      <c r="A424" s="2"/>
    </row>
    <row r="425" spans="1:1" ht="15.75" customHeight="1">
      <c r="A425" s="2"/>
    </row>
    <row r="426" spans="1:1" ht="15.75" customHeight="1">
      <c r="A426" s="2"/>
    </row>
    <row r="427" spans="1:1" ht="15.75" customHeight="1">
      <c r="A427" s="2"/>
    </row>
    <row r="428" spans="1:1" ht="15.75" customHeight="1">
      <c r="A428" s="2"/>
    </row>
    <row r="429" spans="1:1" ht="15.75" customHeight="1">
      <c r="A429" s="2"/>
    </row>
    <row r="430" spans="1:1" ht="15.75" customHeight="1">
      <c r="A430" s="2"/>
    </row>
    <row r="431" spans="1:1" ht="15.75" customHeight="1">
      <c r="A431" s="2"/>
    </row>
    <row r="432" spans="1:1" ht="15.75" customHeight="1">
      <c r="A432" s="2"/>
    </row>
    <row r="433" spans="1:1" ht="15.75" customHeight="1">
      <c r="A433" s="2"/>
    </row>
    <row r="434" spans="1:1" ht="15.75" customHeight="1">
      <c r="A434" s="2"/>
    </row>
    <row r="435" spans="1:1" ht="15.75" customHeight="1">
      <c r="A435" s="2"/>
    </row>
    <row r="436" spans="1:1" ht="15.75" customHeight="1">
      <c r="A436" s="2"/>
    </row>
    <row r="437" spans="1:1" ht="15.75" customHeight="1">
      <c r="A437" s="2"/>
    </row>
    <row r="438" spans="1:1" ht="15.75" customHeight="1">
      <c r="A438" s="2"/>
    </row>
    <row r="439" spans="1:1" ht="15.75" customHeight="1">
      <c r="A439" s="2"/>
    </row>
    <row r="440" spans="1:1" ht="15.75" customHeight="1">
      <c r="A440" s="2"/>
    </row>
    <row r="441" spans="1:1" ht="15.75" customHeight="1">
      <c r="A441" s="2"/>
    </row>
    <row r="442" spans="1:1" ht="15.75" customHeight="1">
      <c r="A442" s="2"/>
    </row>
    <row r="443" spans="1:1" ht="15.75" customHeight="1">
      <c r="A443" s="2"/>
    </row>
    <row r="444" spans="1:1" ht="15.75" customHeight="1">
      <c r="A444" s="2"/>
    </row>
    <row r="445" spans="1:1" ht="15.75" customHeight="1">
      <c r="A445" s="2"/>
    </row>
    <row r="446" spans="1:1" ht="15.75" customHeight="1">
      <c r="A446" s="2"/>
    </row>
    <row r="447" spans="1:1" ht="15.75" customHeight="1">
      <c r="A447" s="2"/>
    </row>
    <row r="448" spans="1:1" ht="15.75" customHeight="1">
      <c r="A448" s="2"/>
    </row>
    <row r="449" spans="1:1" ht="15.75" customHeight="1">
      <c r="A449" s="2"/>
    </row>
    <row r="450" spans="1:1" ht="15.75" customHeight="1">
      <c r="A450" s="2"/>
    </row>
    <row r="451" spans="1:1" ht="15.75" customHeight="1">
      <c r="A451" s="2"/>
    </row>
    <row r="452" spans="1:1" ht="15.75" customHeight="1">
      <c r="A452" s="2"/>
    </row>
    <row r="453" spans="1:1" ht="15.75" customHeight="1">
      <c r="A453" s="2"/>
    </row>
    <row r="454" spans="1:1" ht="15.75" customHeight="1">
      <c r="A454" s="2"/>
    </row>
    <row r="455" spans="1:1" ht="15.75" customHeight="1">
      <c r="A455" s="2"/>
    </row>
    <row r="456" spans="1:1" ht="15.75" customHeight="1">
      <c r="A456" s="2"/>
    </row>
    <row r="457" spans="1:1" ht="15.75" customHeight="1">
      <c r="A457" s="2"/>
    </row>
    <row r="458" spans="1:1" ht="15.75" customHeight="1">
      <c r="A458" s="2"/>
    </row>
    <row r="459" spans="1:1" ht="15.75" customHeight="1">
      <c r="A459" s="2"/>
    </row>
    <row r="460" spans="1:1" ht="15.75" customHeight="1">
      <c r="A460" s="2"/>
    </row>
    <row r="461" spans="1:1" ht="15.75" customHeight="1">
      <c r="A461" s="2"/>
    </row>
    <row r="462" spans="1:1" ht="15.75" customHeight="1">
      <c r="A462" s="2"/>
    </row>
    <row r="463" spans="1:1" ht="15.75" customHeight="1">
      <c r="A463" s="2"/>
    </row>
    <row r="464" spans="1:1" ht="15.75" customHeight="1">
      <c r="A464" s="2"/>
    </row>
    <row r="465" spans="1:1" ht="15.75" customHeight="1">
      <c r="A465" s="2"/>
    </row>
    <row r="466" spans="1:1" ht="15.75" customHeight="1">
      <c r="A466" s="2"/>
    </row>
    <row r="467" spans="1:1" ht="15.75" customHeight="1">
      <c r="A467" s="2"/>
    </row>
    <row r="468" spans="1:1" ht="15.75" customHeight="1">
      <c r="A468" s="2"/>
    </row>
    <row r="469" spans="1:1" ht="15.75" customHeight="1">
      <c r="A469" s="2"/>
    </row>
    <row r="470" spans="1:1" ht="15.75" customHeight="1">
      <c r="A470" s="2"/>
    </row>
    <row r="471" spans="1:1" ht="15.75" customHeight="1">
      <c r="A471" s="2"/>
    </row>
    <row r="472" spans="1:1" ht="15.75" customHeight="1">
      <c r="A472" s="2"/>
    </row>
    <row r="473" spans="1:1" ht="15.75" customHeight="1">
      <c r="A473" s="2"/>
    </row>
    <row r="474" spans="1:1" ht="15.75" customHeight="1">
      <c r="A474" s="2"/>
    </row>
    <row r="475" spans="1:1" ht="15.75" customHeight="1">
      <c r="A475" s="2"/>
    </row>
    <row r="476" spans="1:1" ht="15.75" customHeight="1">
      <c r="A476" s="2"/>
    </row>
    <row r="477" spans="1:1" ht="15.75" customHeight="1">
      <c r="A477" s="2"/>
    </row>
    <row r="478" spans="1:1" ht="15.75" customHeight="1">
      <c r="A478" s="2"/>
    </row>
    <row r="479" spans="1:1" ht="15.75" customHeight="1">
      <c r="A479" s="2"/>
    </row>
    <row r="480" spans="1:1" ht="15.75" customHeight="1">
      <c r="A480" s="2"/>
    </row>
    <row r="481" spans="1:1" ht="15.75" customHeight="1">
      <c r="A481" s="2"/>
    </row>
    <row r="482" spans="1:1" ht="15.75" customHeight="1">
      <c r="A482" s="2"/>
    </row>
    <row r="483" spans="1:1" ht="15.75" customHeight="1">
      <c r="A483" s="2"/>
    </row>
    <row r="484" spans="1:1" ht="15.75" customHeight="1">
      <c r="A484" s="2"/>
    </row>
    <row r="485" spans="1:1" ht="15.75" customHeight="1">
      <c r="A485" s="2"/>
    </row>
    <row r="486" spans="1:1" ht="15.75" customHeight="1">
      <c r="A486" s="2"/>
    </row>
    <row r="487" spans="1:1" ht="15.75" customHeight="1">
      <c r="A487" s="2"/>
    </row>
    <row r="488" spans="1:1" ht="15.75" customHeight="1">
      <c r="A488" s="2"/>
    </row>
    <row r="489" spans="1:1" ht="15.75" customHeight="1">
      <c r="A489" s="2"/>
    </row>
    <row r="490" spans="1:1" ht="15.75" customHeight="1">
      <c r="A490" s="2"/>
    </row>
    <row r="491" spans="1:1" ht="15.75" customHeight="1">
      <c r="A491" s="2"/>
    </row>
    <row r="492" spans="1:1" ht="15.75" customHeight="1">
      <c r="A492" s="2"/>
    </row>
    <row r="493" spans="1:1" ht="15.75" customHeight="1">
      <c r="A493" s="2"/>
    </row>
    <row r="494" spans="1:1" ht="15.75" customHeight="1">
      <c r="A494" s="2"/>
    </row>
    <row r="495" spans="1:1" ht="15.75" customHeight="1">
      <c r="A495" s="2"/>
    </row>
    <row r="496" spans="1:1" ht="15.75" customHeight="1">
      <c r="A496" s="2"/>
    </row>
    <row r="497" spans="1:1" ht="15.75" customHeight="1">
      <c r="A497" s="2"/>
    </row>
    <row r="498" spans="1:1" ht="15.75" customHeight="1">
      <c r="A498" s="2"/>
    </row>
    <row r="499" spans="1:1" ht="15.75" customHeight="1">
      <c r="A499" s="2"/>
    </row>
    <row r="500" spans="1:1" ht="15.75" customHeight="1">
      <c r="A500" s="2"/>
    </row>
    <row r="501" spans="1:1" ht="15.75" customHeight="1">
      <c r="A501" s="2"/>
    </row>
    <row r="502" spans="1:1" ht="15.75" customHeight="1">
      <c r="A502" s="2"/>
    </row>
    <row r="503" spans="1:1" ht="15.75" customHeight="1">
      <c r="A503" s="2"/>
    </row>
    <row r="504" spans="1:1" ht="15.75" customHeight="1">
      <c r="A504" s="2"/>
    </row>
    <row r="505" spans="1:1" ht="15.75" customHeight="1">
      <c r="A505" s="2"/>
    </row>
    <row r="506" spans="1:1" ht="15.75" customHeight="1">
      <c r="A506" s="2"/>
    </row>
    <row r="507" spans="1:1" ht="15.75" customHeight="1">
      <c r="A507" s="2"/>
    </row>
    <row r="508" spans="1:1" ht="15.75" customHeight="1">
      <c r="A508" s="2"/>
    </row>
    <row r="509" spans="1:1" ht="15.75" customHeight="1">
      <c r="A509" s="2"/>
    </row>
    <row r="510" spans="1:1" ht="15.75" customHeight="1">
      <c r="A510" s="2"/>
    </row>
    <row r="511" spans="1:1" ht="15.75" customHeight="1">
      <c r="A511" s="2"/>
    </row>
    <row r="512" spans="1:1" ht="15.75" customHeight="1">
      <c r="A512" s="2"/>
    </row>
    <row r="513" spans="1:1" ht="15.75" customHeight="1">
      <c r="A513" s="2"/>
    </row>
    <row r="514" spans="1:1" ht="15.75" customHeight="1">
      <c r="A514" s="2"/>
    </row>
    <row r="515" spans="1:1" ht="15.75" customHeight="1">
      <c r="A515" s="2"/>
    </row>
    <row r="516" spans="1:1" ht="15.75" customHeight="1">
      <c r="A516" s="2"/>
    </row>
    <row r="517" spans="1:1" ht="15.75" customHeight="1">
      <c r="A517" s="2"/>
    </row>
    <row r="518" spans="1:1" ht="15.75" customHeight="1">
      <c r="A518" s="2"/>
    </row>
    <row r="519" spans="1:1" ht="15.75" customHeight="1">
      <c r="A519" s="2"/>
    </row>
    <row r="520" spans="1:1" ht="15.75" customHeight="1">
      <c r="A520" s="2"/>
    </row>
    <row r="521" spans="1:1" ht="15.75" customHeight="1">
      <c r="A521" s="2"/>
    </row>
    <row r="522" spans="1:1" ht="15.75" customHeight="1">
      <c r="A522" s="2"/>
    </row>
    <row r="523" spans="1:1" ht="15.75" customHeight="1">
      <c r="A523" s="2"/>
    </row>
    <row r="524" spans="1:1" ht="15.75" customHeight="1">
      <c r="A524" s="2"/>
    </row>
    <row r="525" spans="1:1" ht="15.75" customHeight="1">
      <c r="A525" s="2"/>
    </row>
    <row r="526" spans="1:1" ht="15.75" customHeight="1">
      <c r="A526" s="2"/>
    </row>
    <row r="527" spans="1:1" ht="15.75" customHeight="1">
      <c r="A527" s="2"/>
    </row>
    <row r="528" spans="1:1" ht="15.75" customHeight="1">
      <c r="A528" s="2"/>
    </row>
    <row r="529" spans="1:1" ht="15.75" customHeight="1">
      <c r="A529" s="2"/>
    </row>
    <row r="530" spans="1:1" ht="15.75" customHeight="1">
      <c r="A530" s="2"/>
    </row>
    <row r="531" spans="1:1" ht="15.75" customHeight="1">
      <c r="A531" s="2"/>
    </row>
    <row r="532" spans="1:1" ht="15.75" customHeight="1">
      <c r="A532" s="2"/>
    </row>
    <row r="533" spans="1:1" ht="15.75" customHeight="1">
      <c r="A533" s="2"/>
    </row>
    <row r="534" spans="1:1" ht="15.75" customHeight="1">
      <c r="A534" s="2"/>
    </row>
    <row r="535" spans="1:1" ht="15.75" customHeight="1">
      <c r="A535" s="2"/>
    </row>
    <row r="536" spans="1:1" ht="15.75" customHeight="1">
      <c r="A536" s="2"/>
    </row>
    <row r="537" spans="1:1" ht="15.75" customHeight="1">
      <c r="A537" s="2"/>
    </row>
    <row r="538" spans="1:1" ht="15.75" customHeight="1">
      <c r="A538" s="2"/>
    </row>
    <row r="539" spans="1:1" ht="15.75" customHeight="1">
      <c r="A539" s="2"/>
    </row>
    <row r="540" spans="1:1" ht="15.75" customHeight="1">
      <c r="A540" s="2"/>
    </row>
    <row r="541" spans="1:1" ht="15.75" customHeight="1">
      <c r="A541" s="2"/>
    </row>
    <row r="542" spans="1:1" ht="15.75" customHeight="1">
      <c r="A542" s="2"/>
    </row>
    <row r="543" spans="1:1" ht="15.75" customHeight="1">
      <c r="A543" s="2"/>
    </row>
    <row r="544" spans="1:1" ht="15.75" customHeight="1">
      <c r="A544" s="2"/>
    </row>
    <row r="545" spans="1:1" ht="15.75" customHeight="1">
      <c r="A545" s="2"/>
    </row>
    <row r="546" spans="1:1" ht="15.75" customHeight="1">
      <c r="A546" s="2"/>
    </row>
    <row r="547" spans="1:1" ht="15.75" customHeight="1">
      <c r="A547" s="2"/>
    </row>
    <row r="548" spans="1:1" ht="15.75" customHeight="1">
      <c r="A548" s="2"/>
    </row>
    <row r="549" spans="1:1" ht="15.75" customHeight="1">
      <c r="A549" s="2"/>
    </row>
    <row r="550" spans="1:1" ht="15.75" customHeight="1">
      <c r="A550" s="2"/>
    </row>
    <row r="551" spans="1:1" ht="15.75" customHeight="1">
      <c r="A551" s="2"/>
    </row>
    <row r="552" spans="1:1" ht="15.75" customHeight="1">
      <c r="A552" s="2"/>
    </row>
    <row r="553" spans="1:1" ht="15.75" customHeight="1">
      <c r="A553" s="2"/>
    </row>
    <row r="554" spans="1:1" ht="15.75" customHeight="1">
      <c r="A554" s="2"/>
    </row>
    <row r="555" spans="1:1" ht="15.75" customHeight="1">
      <c r="A555" s="2"/>
    </row>
    <row r="556" spans="1:1" ht="15.75" customHeight="1">
      <c r="A556" s="2"/>
    </row>
    <row r="557" spans="1:1" ht="15.75" customHeight="1">
      <c r="A557" s="2"/>
    </row>
    <row r="558" spans="1:1" ht="15.75" customHeight="1">
      <c r="A558" s="2"/>
    </row>
    <row r="559" spans="1:1" ht="15.75" customHeight="1">
      <c r="A559" s="2"/>
    </row>
    <row r="560" spans="1:1" ht="15.75" customHeight="1">
      <c r="A560" s="2"/>
    </row>
    <row r="561" spans="1:1" ht="15.75" customHeight="1">
      <c r="A561" s="2"/>
    </row>
    <row r="562" spans="1:1" ht="15.75" customHeight="1">
      <c r="A562" s="2"/>
    </row>
    <row r="563" spans="1:1" ht="15.75" customHeight="1">
      <c r="A563" s="2"/>
    </row>
    <row r="564" spans="1:1" ht="15.75" customHeight="1">
      <c r="A564" s="2"/>
    </row>
    <row r="565" spans="1:1" ht="15.75" customHeight="1">
      <c r="A565" s="2"/>
    </row>
    <row r="566" spans="1:1" ht="15.75" customHeight="1">
      <c r="A566" s="2"/>
    </row>
    <row r="567" spans="1:1" ht="15.75" customHeight="1">
      <c r="A567" s="2"/>
    </row>
    <row r="568" spans="1:1" ht="15.75" customHeight="1">
      <c r="A568" s="2"/>
    </row>
    <row r="569" spans="1:1" ht="15.75" customHeight="1">
      <c r="A569" s="2"/>
    </row>
    <row r="570" spans="1:1" ht="15.75" customHeight="1">
      <c r="A570" s="2"/>
    </row>
    <row r="571" spans="1:1" ht="15.75" customHeight="1">
      <c r="A571" s="2"/>
    </row>
    <row r="572" spans="1:1" ht="15.75" customHeight="1">
      <c r="A572" s="2"/>
    </row>
    <row r="573" spans="1:1" ht="15.75" customHeight="1">
      <c r="A573" s="2"/>
    </row>
    <row r="574" spans="1:1" ht="15.75" customHeight="1">
      <c r="A574" s="2"/>
    </row>
    <row r="575" spans="1:1" ht="15.75" customHeight="1">
      <c r="A575" s="2"/>
    </row>
    <row r="576" spans="1:1" ht="15.75" customHeight="1">
      <c r="A576" s="2"/>
    </row>
    <row r="577" spans="1:1" ht="15.75" customHeight="1">
      <c r="A577" s="2"/>
    </row>
    <row r="578" spans="1:1" ht="15.75" customHeight="1">
      <c r="A578" s="2"/>
    </row>
    <row r="579" spans="1:1" ht="15.75" customHeight="1">
      <c r="A579" s="2"/>
    </row>
    <row r="580" spans="1:1" ht="15.75" customHeight="1">
      <c r="A580" s="2"/>
    </row>
    <row r="581" spans="1:1" ht="15.75" customHeight="1">
      <c r="A581" s="2"/>
    </row>
    <row r="582" spans="1:1" ht="15.75" customHeight="1">
      <c r="A582" s="2"/>
    </row>
    <row r="583" spans="1:1" ht="15.75" customHeight="1">
      <c r="A583" s="2"/>
    </row>
    <row r="584" spans="1:1" ht="15.75" customHeight="1">
      <c r="A584" s="2"/>
    </row>
    <row r="585" spans="1:1" ht="15.75" customHeight="1">
      <c r="A585" s="2"/>
    </row>
    <row r="586" spans="1:1" ht="15.75" customHeight="1">
      <c r="A586" s="2"/>
    </row>
    <row r="587" spans="1:1" ht="15.75" customHeight="1">
      <c r="A587" s="2"/>
    </row>
    <row r="588" spans="1:1" ht="15.75" customHeight="1">
      <c r="A588" s="2"/>
    </row>
    <row r="589" spans="1:1" ht="15.75" customHeight="1">
      <c r="A589" s="2"/>
    </row>
    <row r="590" spans="1:1" ht="15.75" customHeight="1">
      <c r="A590" s="2"/>
    </row>
    <row r="591" spans="1:1" ht="15.75" customHeight="1">
      <c r="A591" s="2"/>
    </row>
    <row r="592" spans="1:1" ht="15.75" customHeight="1">
      <c r="A592" s="2"/>
    </row>
    <row r="593" spans="1:1" ht="15.75" customHeight="1">
      <c r="A593" s="2"/>
    </row>
    <row r="594" spans="1:1" ht="15.75" customHeight="1">
      <c r="A594" s="2"/>
    </row>
    <row r="595" spans="1:1" ht="15.75" customHeight="1">
      <c r="A595" s="2"/>
    </row>
    <row r="596" spans="1:1" ht="15.75" customHeight="1">
      <c r="A596" s="2"/>
    </row>
    <row r="597" spans="1:1" ht="15.75" customHeight="1">
      <c r="A597" s="2"/>
    </row>
    <row r="598" spans="1:1" ht="15.75" customHeight="1">
      <c r="A598" s="2"/>
    </row>
    <row r="599" spans="1:1" ht="15.75" customHeight="1">
      <c r="A599" s="2"/>
    </row>
    <row r="600" spans="1:1" ht="15.75" customHeight="1">
      <c r="A600" s="2"/>
    </row>
    <row r="601" spans="1:1" ht="15.75" customHeight="1">
      <c r="A601" s="2"/>
    </row>
    <row r="602" spans="1:1" ht="15.75" customHeight="1">
      <c r="A602" s="2"/>
    </row>
    <row r="603" spans="1:1" ht="15.75" customHeight="1">
      <c r="A603" s="2"/>
    </row>
    <row r="604" spans="1:1" ht="15.75" customHeight="1">
      <c r="A604" s="2"/>
    </row>
    <row r="605" spans="1:1" ht="15.75" customHeight="1">
      <c r="A605" s="2"/>
    </row>
    <row r="606" spans="1:1" ht="15.75" customHeight="1">
      <c r="A606" s="2"/>
    </row>
    <row r="607" spans="1:1" ht="15.75" customHeight="1">
      <c r="A607" s="2"/>
    </row>
    <row r="608" spans="1:1" ht="15.75" customHeight="1">
      <c r="A608" s="2"/>
    </row>
    <row r="609" spans="1:1" ht="15.75" customHeight="1">
      <c r="A609" s="2"/>
    </row>
    <row r="610" spans="1:1" ht="15.75" customHeight="1">
      <c r="A610" s="2"/>
    </row>
    <row r="611" spans="1:1" ht="15.75" customHeight="1">
      <c r="A611" s="2"/>
    </row>
    <row r="612" spans="1:1" ht="15.75" customHeight="1">
      <c r="A612" s="2"/>
    </row>
    <row r="613" spans="1:1" ht="15.75" customHeight="1">
      <c r="A613" s="2"/>
    </row>
    <row r="614" spans="1:1" ht="15.75" customHeight="1">
      <c r="A614" s="2"/>
    </row>
    <row r="615" spans="1:1" ht="15.75" customHeight="1">
      <c r="A615" s="2"/>
    </row>
    <row r="616" spans="1:1" ht="15.75" customHeight="1">
      <c r="A616" s="2"/>
    </row>
    <row r="617" spans="1:1" ht="15.75" customHeight="1">
      <c r="A617" s="2"/>
    </row>
    <row r="618" spans="1:1" ht="15.75" customHeight="1">
      <c r="A618" s="2"/>
    </row>
    <row r="619" spans="1:1" ht="15.75" customHeight="1">
      <c r="A619" s="2"/>
    </row>
    <row r="620" spans="1:1" ht="15.75" customHeight="1">
      <c r="A620" s="2"/>
    </row>
    <row r="621" spans="1:1" ht="15.75" customHeight="1">
      <c r="A621" s="2"/>
    </row>
    <row r="622" spans="1:1" ht="15.75" customHeight="1">
      <c r="A622" s="2"/>
    </row>
    <row r="623" spans="1:1" ht="15.75" customHeight="1">
      <c r="A623" s="2"/>
    </row>
    <row r="624" spans="1:1" ht="15.75" customHeight="1">
      <c r="A624" s="2"/>
    </row>
    <row r="625" spans="1:1" ht="15.75" customHeight="1">
      <c r="A625" s="2"/>
    </row>
    <row r="626" spans="1:1" ht="15.75" customHeight="1">
      <c r="A626" s="2"/>
    </row>
    <row r="627" spans="1:1" ht="15.75" customHeight="1">
      <c r="A627" s="2"/>
    </row>
    <row r="628" spans="1:1" ht="15.75" customHeight="1">
      <c r="A628" s="2"/>
    </row>
    <row r="629" spans="1:1" ht="15.75" customHeight="1">
      <c r="A629" s="2"/>
    </row>
    <row r="630" spans="1:1" ht="15.75" customHeight="1">
      <c r="A630" s="2"/>
    </row>
    <row r="631" spans="1:1" ht="15.75" customHeight="1">
      <c r="A631" s="2"/>
    </row>
    <row r="632" spans="1:1" ht="15.75" customHeight="1">
      <c r="A632" s="2"/>
    </row>
    <row r="633" spans="1:1" ht="15.75" customHeight="1">
      <c r="A633" s="2"/>
    </row>
    <row r="634" spans="1:1" ht="15.75" customHeight="1">
      <c r="A634" s="2"/>
    </row>
    <row r="635" spans="1:1" ht="15.75" customHeight="1">
      <c r="A635" s="2"/>
    </row>
    <row r="636" spans="1:1" ht="15.75" customHeight="1">
      <c r="A636" s="2"/>
    </row>
    <row r="637" spans="1:1" ht="15.75" customHeight="1">
      <c r="A637" s="2"/>
    </row>
    <row r="638" spans="1:1" ht="15.75" customHeight="1">
      <c r="A638" s="2"/>
    </row>
    <row r="639" spans="1:1" ht="15.75" customHeight="1">
      <c r="A639" s="2"/>
    </row>
    <row r="640" spans="1:1" ht="15.75" customHeight="1">
      <c r="A640" s="2"/>
    </row>
    <row r="641" spans="1:1" ht="15.75" customHeight="1">
      <c r="A641" s="2"/>
    </row>
    <row r="642" spans="1:1" ht="15.75" customHeight="1">
      <c r="A642" s="2"/>
    </row>
    <row r="643" spans="1:1" ht="15.75" customHeight="1">
      <c r="A643" s="2"/>
    </row>
    <row r="644" spans="1:1" ht="15.75" customHeight="1">
      <c r="A644" s="2"/>
    </row>
    <row r="645" spans="1:1" ht="15.75" customHeight="1">
      <c r="A645" s="2"/>
    </row>
    <row r="646" spans="1:1" ht="15.75" customHeight="1">
      <c r="A646" s="2"/>
    </row>
    <row r="647" spans="1:1" ht="15.75" customHeight="1">
      <c r="A647" s="2"/>
    </row>
    <row r="648" spans="1:1" ht="15.75" customHeight="1">
      <c r="A648" s="2"/>
    </row>
    <row r="649" spans="1:1" ht="15.75" customHeight="1">
      <c r="A649" s="2"/>
    </row>
    <row r="650" spans="1:1" ht="15.75" customHeight="1">
      <c r="A650" s="2"/>
    </row>
    <row r="651" spans="1:1" ht="15.75" customHeight="1">
      <c r="A651" s="2"/>
    </row>
    <row r="652" spans="1:1" ht="15.75" customHeight="1">
      <c r="A652" s="2"/>
    </row>
    <row r="653" spans="1:1" ht="15.75" customHeight="1">
      <c r="A653" s="2"/>
    </row>
    <row r="654" spans="1:1" ht="15.75" customHeight="1">
      <c r="A654" s="2"/>
    </row>
    <row r="655" spans="1:1" ht="15.75" customHeight="1">
      <c r="A655" s="2"/>
    </row>
    <row r="656" spans="1:1" ht="15.75" customHeight="1">
      <c r="A656" s="2"/>
    </row>
    <row r="657" spans="1:1" ht="15.75" customHeight="1">
      <c r="A657" s="2"/>
    </row>
    <row r="658" spans="1:1" ht="15.75" customHeight="1">
      <c r="A658" s="2"/>
    </row>
    <row r="659" spans="1:1" ht="15.75" customHeight="1">
      <c r="A659" s="2"/>
    </row>
    <row r="660" spans="1:1" ht="15.75" customHeight="1">
      <c r="A660" s="2"/>
    </row>
    <row r="661" spans="1:1" ht="15.75" customHeight="1">
      <c r="A661" s="2"/>
    </row>
    <row r="662" spans="1:1" ht="15.75" customHeight="1">
      <c r="A662" s="2"/>
    </row>
    <row r="663" spans="1:1" ht="15.75" customHeight="1">
      <c r="A663" s="2"/>
    </row>
    <row r="664" spans="1:1" ht="15.75" customHeight="1">
      <c r="A664" s="2"/>
    </row>
    <row r="665" spans="1:1" ht="15.75" customHeight="1">
      <c r="A665" s="2"/>
    </row>
    <row r="666" spans="1:1" ht="15.75" customHeight="1">
      <c r="A666" s="2"/>
    </row>
    <row r="667" spans="1:1" ht="15.75" customHeight="1">
      <c r="A667" s="2"/>
    </row>
    <row r="668" spans="1:1" ht="15.75" customHeight="1">
      <c r="A668" s="2"/>
    </row>
    <row r="669" spans="1:1" ht="15.75" customHeight="1">
      <c r="A669" s="2"/>
    </row>
    <row r="670" spans="1:1" ht="15.75" customHeight="1">
      <c r="A670" s="2"/>
    </row>
    <row r="671" spans="1:1" ht="15.75" customHeight="1">
      <c r="A671" s="2"/>
    </row>
    <row r="672" spans="1:1" ht="15.75" customHeight="1">
      <c r="A672" s="2"/>
    </row>
    <row r="673" spans="1:1" ht="15.75" customHeight="1">
      <c r="A673" s="2"/>
    </row>
    <row r="674" spans="1:1" ht="15.75" customHeight="1">
      <c r="A674" s="2"/>
    </row>
    <row r="675" spans="1:1" ht="15.75" customHeight="1">
      <c r="A675" s="2"/>
    </row>
    <row r="676" spans="1:1" ht="15.75" customHeight="1">
      <c r="A676" s="2"/>
    </row>
    <row r="677" spans="1:1" ht="15.75" customHeight="1">
      <c r="A677" s="2"/>
    </row>
    <row r="678" spans="1:1" ht="15.75" customHeight="1">
      <c r="A678" s="2"/>
    </row>
    <row r="679" spans="1:1" ht="15.75" customHeight="1">
      <c r="A679" s="2"/>
    </row>
    <row r="680" spans="1:1" ht="15.75" customHeight="1">
      <c r="A680" s="2"/>
    </row>
    <row r="681" spans="1:1" ht="15.75" customHeight="1">
      <c r="A681" s="2"/>
    </row>
    <row r="682" spans="1:1" ht="15.75" customHeight="1">
      <c r="A682" s="2"/>
    </row>
    <row r="683" spans="1:1" ht="15.75" customHeight="1">
      <c r="A683" s="2"/>
    </row>
    <row r="684" spans="1:1" ht="15.75" customHeight="1">
      <c r="A684" s="2"/>
    </row>
    <row r="685" spans="1:1" ht="15.75" customHeight="1">
      <c r="A685" s="2"/>
    </row>
    <row r="686" spans="1:1" ht="15.75" customHeight="1">
      <c r="A686" s="2"/>
    </row>
    <row r="687" spans="1:1" ht="15.75" customHeight="1">
      <c r="A687" s="2"/>
    </row>
    <row r="688" spans="1:1" ht="15.75" customHeight="1">
      <c r="A688" s="2"/>
    </row>
    <row r="689" spans="1:1" ht="15.75" customHeight="1">
      <c r="A689" s="2"/>
    </row>
    <row r="690" spans="1:1" ht="15.75" customHeight="1">
      <c r="A690" s="2"/>
    </row>
    <row r="691" spans="1:1" ht="15.75" customHeight="1">
      <c r="A691" s="2"/>
    </row>
    <row r="692" spans="1:1" ht="15.75" customHeight="1">
      <c r="A692" s="2"/>
    </row>
    <row r="693" spans="1:1" ht="15.75" customHeight="1">
      <c r="A693" s="2"/>
    </row>
    <row r="694" spans="1:1" ht="15.75" customHeight="1">
      <c r="A694" s="2"/>
    </row>
    <row r="695" spans="1:1" ht="15.75" customHeight="1">
      <c r="A695" s="2"/>
    </row>
    <row r="696" spans="1:1" ht="15.75" customHeight="1">
      <c r="A696" s="2"/>
    </row>
    <row r="697" spans="1:1" ht="15.75" customHeight="1">
      <c r="A697" s="2"/>
    </row>
    <row r="698" spans="1:1" ht="15.75" customHeight="1">
      <c r="A698" s="2"/>
    </row>
    <row r="699" spans="1:1" ht="15.75" customHeight="1">
      <c r="A699" s="2"/>
    </row>
    <row r="700" spans="1:1" ht="15.75" customHeight="1">
      <c r="A700" s="2"/>
    </row>
    <row r="701" spans="1:1" ht="15.75" customHeight="1">
      <c r="A701" s="2"/>
    </row>
    <row r="702" spans="1:1" ht="15.75" customHeight="1">
      <c r="A702" s="2"/>
    </row>
    <row r="703" spans="1:1" ht="15.75" customHeight="1">
      <c r="A703" s="2"/>
    </row>
    <row r="704" spans="1:1" ht="15.75" customHeight="1">
      <c r="A704" s="2"/>
    </row>
    <row r="705" spans="1:1" ht="15.75" customHeight="1">
      <c r="A705" s="2"/>
    </row>
    <row r="706" spans="1:1" ht="15.75" customHeight="1">
      <c r="A706" s="2"/>
    </row>
    <row r="707" spans="1:1" ht="15.75" customHeight="1">
      <c r="A707" s="2"/>
    </row>
    <row r="708" spans="1:1" ht="15.75" customHeight="1">
      <c r="A708" s="2"/>
    </row>
    <row r="709" spans="1:1" ht="15.75" customHeight="1">
      <c r="A709" s="2"/>
    </row>
    <row r="710" spans="1:1" ht="15.75" customHeight="1">
      <c r="A710" s="2"/>
    </row>
    <row r="711" spans="1:1" ht="15.75" customHeight="1">
      <c r="A711" s="2"/>
    </row>
    <row r="712" spans="1:1" ht="15.75" customHeight="1">
      <c r="A712" s="2"/>
    </row>
    <row r="713" spans="1:1" ht="15.75" customHeight="1">
      <c r="A713" s="2"/>
    </row>
    <row r="714" spans="1:1" ht="15.75" customHeight="1">
      <c r="A714" s="2"/>
    </row>
    <row r="715" spans="1:1" ht="15.75" customHeight="1">
      <c r="A715" s="2"/>
    </row>
    <row r="716" spans="1:1" ht="15.75" customHeight="1">
      <c r="A716" s="2"/>
    </row>
    <row r="717" spans="1:1" ht="15.75" customHeight="1">
      <c r="A717" s="2"/>
    </row>
    <row r="718" spans="1:1" ht="15.75" customHeight="1">
      <c r="A718" s="2"/>
    </row>
    <row r="719" spans="1:1" ht="15.75" customHeight="1">
      <c r="A719" s="2"/>
    </row>
    <row r="720" spans="1:1" ht="15.75" customHeight="1">
      <c r="A720" s="2"/>
    </row>
    <row r="721" spans="1:1" ht="15.75" customHeight="1">
      <c r="A721" s="2"/>
    </row>
    <row r="722" spans="1:1" ht="15.75" customHeight="1">
      <c r="A722" s="2"/>
    </row>
    <row r="723" spans="1:1" ht="15.75" customHeight="1">
      <c r="A723" s="2"/>
    </row>
    <row r="724" spans="1:1" ht="15.75" customHeight="1">
      <c r="A724" s="2"/>
    </row>
    <row r="725" spans="1:1" ht="15.75" customHeight="1">
      <c r="A725" s="2"/>
    </row>
    <row r="726" spans="1:1" ht="15.75" customHeight="1">
      <c r="A726" s="2"/>
    </row>
    <row r="727" spans="1:1" ht="15.75" customHeight="1">
      <c r="A727" s="2"/>
    </row>
    <row r="728" spans="1:1" ht="15.75" customHeight="1">
      <c r="A728" s="2"/>
    </row>
    <row r="729" spans="1:1" ht="15.75" customHeight="1">
      <c r="A729" s="2"/>
    </row>
    <row r="730" spans="1:1" ht="15.75" customHeight="1">
      <c r="A730" s="2"/>
    </row>
    <row r="731" spans="1:1" ht="15.75" customHeight="1">
      <c r="A731" s="2"/>
    </row>
    <row r="732" spans="1:1" ht="15.75" customHeight="1">
      <c r="A732" s="2"/>
    </row>
    <row r="733" spans="1:1" ht="15.75" customHeight="1">
      <c r="A733" s="2"/>
    </row>
    <row r="734" spans="1:1" ht="15.75" customHeight="1">
      <c r="A734" s="2"/>
    </row>
    <row r="735" spans="1:1" ht="15.75" customHeight="1">
      <c r="A735" s="2"/>
    </row>
    <row r="736" spans="1:1" ht="15.75" customHeight="1">
      <c r="A736" s="2"/>
    </row>
    <row r="737" spans="1:1" ht="15.75" customHeight="1">
      <c r="A737" s="2"/>
    </row>
    <row r="738" spans="1:1" ht="15.75" customHeight="1">
      <c r="A738" s="2"/>
    </row>
    <row r="739" spans="1:1" ht="15.75" customHeight="1">
      <c r="A739" s="2"/>
    </row>
    <row r="740" spans="1:1" ht="15.75" customHeight="1">
      <c r="A740" s="2"/>
    </row>
    <row r="741" spans="1:1" ht="15.75" customHeight="1">
      <c r="A741" s="2"/>
    </row>
    <row r="742" spans="1:1" ht="15.75" customHeight="1">
      <c r="A742" s="2"/>
    </row>
    <row r="743" spans="1:1" ht="15.75" customHeight="1">
      <c r="A743" s="2"/>
    </row>
    <row r="744" spans="1:1" ht="15.75" customHeight="1">
      <c r="A744" s="2"/>
    </row>
    <row r="745" spans="1:1" ht="15.75" customHeight="1">
      <c r="A745" s="2"/>
    </row>
    <row r="746" spans="1:1" ht="15.75" customHeight="1">
      <c r="A746" s="2"/>
    </row>
    <row r="747" spans="1:1" ht="15.75" customHeight="1">
      <c r="A747" s="2"/>
    </row>
    <row r="748" spans="1:1" ht="15.75" customHeight="1">
      <c r="A748" s="2"/>
    </row>
    <row r="749" spans="1:1" ht="15.75" customHeight="1">
      <c r="A749" s="2"/>
    </row>
    <row r="750" spans="1:1" ht="15.75" customHeight="1">
      <c r="A750" s="2"/>
    </row>
    <row r="751" spans="1:1" ht="15.75" customHeight="1">
      <c r="A751" s="2"/>
    </row>
    <row r="752" spans="1:1" ht="15.75" customHeight="1">
      <c r="A752" s="2"/>
    </row>
    <row r="753" spans="1:1" ht="15.75" customHeight="1">
      <c r="A753" s="2"/>
    </row>
    <row r="754" spans="1:1" ht="15.75" customHeight="1">
      <c r="A754" s="2"/>
    </row>
    <row r="755" spans="1:1" ht="15.75" customHeight="1">
      <c r="A755" s="2"/>
    </row>
    <row r="756" spans="1:1" ht="15.75" customHeight="1">
      <c r="A756" s="2"/>
    </row>
    <row r="757" spans="1:1" ht="15.75" customHeight="1">
      <c r="A757" s="2"/>
    </row>
    <row r="758" spans="1:1" ht="15.75" customHeight="1">
      <c r="A758" s="2"/>
    </row>
    <row r="759" spans="1:1" ht="15.75" customHeight="1">
      <c r="A759" s="2"/>
    </row>
    <row r="760" spans="1:1" ht="15.75" customHeight="1">
      <c r="A760" s="2"/>
    </row>
    <row r="761" spans="1:1" ht="15.75" customHeight="1">
      <c r="A761" s="2"/>
    </row>
    <row r="762" spans="1:1" ht="15.75" customHeight="1">
      <c r="A762" s="2"/>
    </row>
    <row r="763" spans="1:1" ht="15.75" customHeight="1">
      <c r="A763" s="2"/>
    </row>
    <row r="764" spans="1:1" ht="15.75" customHeight="1">
      <c r="A764" s="2"/>
    </row>
    <row r="765" spans="1:1" ht="15.75" customHeight="1">
      <c r="A765" s="2"/>
    </row>
    <row r="766" spans="1:1" ht="15.75" customHeight="1">
      <c r="A766" s="2"/>
    </row>
    <row r="767" spans="1:1" ht="15.75" customHeight="1">
      <c r="A767" s="2"/>
    </row>
    <row r="768" spans="1:1" ht="15.75" customHeight="1">
      <c r="A768" s="2"/>
    </row>
    <row r="769" spans="1:1" ht="15.75" customHeight="1">
      <c r="A769" s="2"/>
    </row>
    <row r="770" spans="1:1" ht="15.75" customHeight="1">
      <c r="A770" s="2"/>
    </row>
    <row r="771" spans="1:1" ht="15.75" customHeight="1">
      <c r="A771" s="2"/>
    </row>
    <row r="772" spans="1:1" ht="15.75" customHeight="1">
      <c r="A772" s="2"/>
    </row>
    <row r="773" spans="1:1" ht="15.75" customHeight="1">
      <c r="A773" s="2"/>
    </row>
    <row r="774" spans="1:1" ht="15.75" customHeight="1">
      <c r="A774" s="2"/>
    </row>
    <row r="775" spans="1:1" ht="15.75" customHeight="1">
      <c r="A775" s="2"/>
    </row>
    <row r="776" spans="1:1" ht="15.75" customHeight="1">
      <c r="A776" s="2"/>
    </row>
    <row r="777" spans="1:1" ht="15.75" customHeight="1">
      <c r="A777" s="2"/>
    </row>
    <row r="778" spans="1:1" ht="15.75" customHeight="1">
      <c r="A778" s="2"/>
    </row>
    <row r="779" spans="1:1" ht="15.75" customHeight="1">
      <c r="A779" s="2"/>
    </row>
    <row r="780" spans="1:1" ht="15.75" customHeight="1">
      <c r="A780" s="2"/>
    </row>
    <row r="781" spans="1:1" ht="15.75" customHeight="1">
      <c r="A781" s="2"/>
    </row>
    <row r="782" spans="1:1" ht="15.75" customHeight="1">
      <c r="A782" s="2"/>
    </row>
    <row r="783" spans="1:1" ht="15.75" customHeight="1">
      <c r="A783" s="2"/>
    </row>
    <row r="784" spans="1:1" ht="15.75" customHeight="1">
      <c r="A784" s="2"/>
    </row>
    <row r="785" spans="1:1" ht="15.75" customHeight="1">
      <c r="A785" s="2"/>
    </row>
    <row r="786" spans="1:1" ht="15.75" customHeight="1">
      <c r="A786" s="2"/>
    </row>
    <row r="787" spans="1:1" ht="15.75" customHeight="1">
      <c r="A787" s="2"/>
    </row>
    <row r="788" spans="1:1" ht="15.75" customHeight="1">
      <c r="A788" s="2"/>
    </row>
    <row r="789" spans="1:1" ht="15.75" customHeight="1">
      <c r="A789" s="2"/>
    </row>
    <row r="790" spans="1:1" ht="15.75" customHeight="1">
      <c r="A790" s="2"/>
    </row>
    <row r="791" spans="1:1" ht="15.75" customHeight="1">
      <c r="A791" s="2"/>
    </row>
    <row r="792" spans="1:1" ht="15.75" customHeight="1">
      <c r="A792" s="2"/>
    </row>
    <row r="793" spans="1:1" ht="15.75" customHeight="1">
      <c r="A793" s="2"/>
    </row>
    <row r="794" spans="1:1" ht="15.75" customHeight="1">
      <c r="A794" s="2"/>
    </row>
    <row r="795" spans="1:1" ht="15.75" customHeight="1">
      <c r="A795" s="2"/>
    </row>
    <row r="796" spans="1:1" ht="15.75" customHeight="1">
      <c r="A796" s="2"/>
    </row>
    <row r="797" spans="1:1" ht="15.75" customHeight="1">
      <c r="A797" s="2"/>
    </row>
    <row r="798" spans="1:1" ht="15.75" customHeight="1">
      <c r="A798" s="2"/>
    </row>
    <row r="799" spans="1:1" ht="15.75" customHeight="1">
      <c r="A799" s="2"/>
    </row>
    <row r="800" spans="1:1" ht="15.75" customHeight="1">
      <c r="A800" s="2"/>
    </row>
    <row r="801" spans="1:1" ht="15.75" customHeight="1">
      <c r="A801" s="2"/>
    </row>
    <row r="802" spans="1:1" ht="15.75" customHeight="1">
      <c r="A802" s="2"/>
    </row>
    <row r="803" spans="1:1" ht="15.75" customHeight="1">
      <c r="A803" s="2"/>
    </row>
    <row r="804" spans="1:1" ht="15.75" customHeight="1">
      <c r="A804" s="2"/>
    </row>
    <row r="805" spans="1:1" ht="15.75" customHeight="1">
      <c r="A805" s="2"/>
    </row>
    <row r="806" spans="1:1" ht="15.75" customHeight="1">
      <c r="A806" s="2"/>
    </row>
    <row r="807" spans="1:1" ht="15.75" customHeight="1">
      <c r="A807" s="2"/>
    </row>
    <row r="808" spans="1:1" ht="15.75" customHeight="1">
      <c r="A808" s="2"/>
    </row>
    <row r="809" spans="1:1" ht="15.75" customHeight="1">
      <c r="A809" s="2"/>
    </row>
    <row r="810" spans="1:1" ht="15.75" customHeight="1">
      <c r="A810" s="2"/>
    </row>
    <row r="811" spans="1:1" ht="15.75" customHeight="1">
      <c r="A811" s="2"/>
    </row>
    <row r="812" spans="1:1" ht="15.75" customHeight="1">
      <c r="A812" s="2"/>
    </row>
    <row r="813" spans="1:1" ht="15.75" customHeight="1">
      <c r="A813" s="2"/>
    </row>
    <row r="814" spans="1:1" ht="15.75" customHeight="1">
      <c r="A814" s="2"/>
    </row>
    <row r="815" spans="1:1" ht="15.75" customHeight="1">
      <c r="A815" s="2"/>
    </row>
    <row r="816" spans="1:1" ht="15.75" customHeight="1">
      <c r="A816" s="2"/>
    </row>
    <row r="817" spans="1:1" ht="15.75" customHeight="1">
      <c r="A817" s="2"/>
    </row>
    <row r="818" spans="1:1" ht="15.75" customHeight="1">
      <c r="A818" s="2"/>
    </row>
    <row r="819" spans="1:1" ht="15.75" customHeight="1">
      <c r="A819" s="2"/>
    </row>
    <row r="820" spans="1:1" ht="15.75" customHeight="1">
      <c r="A820" s="2"/>
    </row>
    <row r="821" spans="1:1" ht="15.75" customHeight="1">
      <c r="A821" s="2"/>
    </row>
    <row r="822" spans="1:1" ht="15.75" customHeight="1">
      <c r="A822" s="2"/>
    </row>
    <row r="823" spans="1:1" ht="15.75" customHeight="1">
      <c r="A823" s="2"/>
    </row>
    <row r="824" spans="1:1" ht="15.75" customHeight="1">
      <c r="A824" s="2"/>
    </row>
    <row r="825" spans="1:1" ht="15.75" customHeight="1">
      <c r="A825" s="2"/>
    </row>
    <row r="826" spans="1:1" ht="15.75" customHeight="1">
      <c r="A826" s="2"/>
    </row>
    <row r="827" spans="1:1" ht="15.75" customHeight="1">
      <c r="A827" s="2"/>
    </row>
    <row r="828" spans="1:1" ht="15.75" customHeight="1">
      <c r="A828" s="2"/>
    </row>
    <row r="829" spans="1:1" ht="15.75" customHeight="1">
      <c r="A829" s="2"/>
    </row>
    <row r="830" spans="1:1" ht="15.75" customHeight="1">
      <c r="A830" s="2"/>
    </row>
    <row r="831" spans="1:1" ht="15.75" customHeight="1">
      <c r="A831" s="2"/>
    </row>
    <row r="832" spans="1:1" ht="15.75" customHeight="1">
      <c r="A832" s="2"/>
    </row>
    <row r="833" spans="1:1" ht="15.75" customHeight="1">
      <c r="A833" s="2"/>
    </row>
    <row r="834" spans="1:1" ht="15.75" customHeight="1">
      <c r="A834" s="2"/>
    </row>
    <row r="835" spans="1:1" ht="15.75" customHeight="1">
      <c r="A835" s="2"/>
    </row>
    <row r="836" spans="1:1" ht="15.75" customHeight="1">
      <c r="A836" s="2"/>
    </row>
    <row r="837" spans="1:1" ht="15.75" customHeight="1">
      <c r="A837" s="2"/>
    </row>
    <row r="838" spans="1:1" ht="15.75" customHeight="1">
      <c r="A838" s="2"/>
    </row>
    <row r="839" spans="1:1" ht="15.75" customHeight="1">
      <c r="A839" s="2"/>
    </row>
    <row r="840" spans="1:1" ht="15.75" customHeight="1">
      <c r="A840" s="2"/>
    </row>
    <row r="841" spans="1:1" ht="15.75" customHeight="1">
      <c r="A841" s="2"/>
    </row>
    <row r="842" spans="1:1" ht="15.75" customHeight="1">
      <c r="A842" s="2"/>
    </row>
    <row r="843" spans="1:1" ht="15.75" customHeight="1">
      <c r="A843" s="2"/>
    </row>
    <row r="844" spans="1:1" ht="15.75" customHeight="1">
      <c r="A844" s="2"/>
    </row>
    <row r="845" spans="1:1" ht="15.75" customHeight="1">
      <c r="A845" s="2"/>
    </row>
    <row r="846" spans="1:1" ht="15.75" customHeight="1">
      <c r="A846" s="2"/>
    </row>
    <row r="847" spans="1:1" ht="15.75" customHeight="1">
      <c r="A847" s="2"/>
    </row>
    <row r="848" spans="1:1" ht="15.75" customHeight="1">
      <c r="A848" s="2"/>
    </row>
    <row r="849" spans="1:1" ht="15.75" customHeight="1">
      <c r="A849" s="2"/>
    </row>
    <row r="850" spans="1:1" ht="15.75" customHeight="1">
      <c r="A850" s="2"/>
    </row>
    <row r="851" spans="1:1" ht="15.75" customHeight="1">
      <c r="A851" s="2"/>
    </row>
    <row r="852" spans="1:1" ht="15.75" customHeight="1">
      <c r="A852" s="2"/>
    </row>
    <row r="853" spans="1:1" ht="15.75" customHeight="1">
      <c r="A853" s="2"/>
    </row>
    <row r="854" spans="1:1" ht="15.75" customHeight="1">
      <c r="A854" s="2"/>
    </row>
    <row r="855" spans="1:1" ht="15.75" customHeight="1">
      <c r="A855" s="2"/>
    </row>
    <row r="856" spans="1:1" ht="15.75" customHeight="1">
      <c r="A856" s="2"/>
    </row>
    <row r="857" spans="1:1" ht="15.75" customHeight="1">
      <c r="A857" s="2"/>
    </row>
    <row r="858" spans="1:1" ht="15.75" customHeight="1">
      <c r="A858" s="2"/>
    </row>
    <row r="859" spans="1:1" ht="15.75" customHeight="1">
      <c r="A859" s="2"/>
    </row>
    <row r="860" spans="1:1" ht="15.75" customHeight="1">
      <c r="A860" s="2"/>
    </row>
    <row r="861" spans="1:1" ht="15.75" customHeight="1">
      <c r="A861" s="2"/>
    </row>
    <row r="862" spans="1:1" ht="15.75" customHeight="1">
      <c r="A862" s="2"/>
    </row>
    <row r="863" spans="1:1" ht="15.75" customHeight="1">
      <c r="A863" s="2"/>
    </row>
    <row r="864" spans="1:1" ht="15.75" customHeight="1">
      <c r="A864" s="2"/>
    </row>
    <row r="865" spans="1:1" ht="15.75" customHeight="1">
      <c r="A865" s="2"/>
    </row>
    <row r="866" spans="1:1" ht="15.75" customHeight="1">
      <c r="A866" s="2"/>
    </row>
    <row r="867" spans="1:1" ht="15.75" customHeight="1">
      <c r="A867" s="2"/>
    </row>
    <row r="868" spans="1:1" ht="15.75" customHeight="1">
      <c r="A868" s="2"/>
    </row>
    <row r="869" spans="1:1" ht="15.75" customHeight="1">
      <c r="A869" s="2"/>
    </row>
    <row r="870" spans="1:1" ht="15.75" customHeight="1">
      <c r="A870" s="2"/>
    </row>
    <row r="871" spans="1:1" ht="15.75" customHeight="1">
      <c r="A871" s="2"/>
    </row>
    <row r="872" spans="1:1" ht="15.75" customHeight="1">
      <c r="A872" s="2"/>
    </row>
    <row r="873" spans="1:1" ht="15.75" customHeight="1">
      <c r="A873" s="2"/>
    </row>
    <row r="874" spans="1:1" ht="15.75" customHeight="1">
      <c r="A874" s="2"/>
    </row>
    <row r="875" spans="1:1" ht="15.75" customHeight="1">
      <c r="A875" s="2"/>
    </row>
    <row r="876" spans="1:1" ht="15.75" customHeight="1">
      <c r="A876" s="2"/>
    </row>
    <row r="877" spans="1:1" ht="15.75" customHeight="1">
      <c r="A877" s="2"/>
    </row>
    <row r="878" spans="1:1" ht="15.75" customHeight="1">
      <c r="A878" s="2"/>
    </row>
    <row r="879" spans="1:1" ht="15.75" customHeight="1">
      <c r="A879" s="2"/>
    </row>
    <row r="880" spans="1:1" ht="15.75" customHeight="1">
      <c r="A880" s="2"/>
    </row>
    <row r="881" spans="1:1" ht="15.75" customHeight="1">
      <c r="A881" s="2"/>
    </row>
    <row r="882" spans="1:1" ht="15.75" customHeight="1">
      <c r="A882" s="2"/>
    </row>
    <row r="883" spans="1:1" ht="15.75" customHeight="1">
      <c r="A883" s="2"/>
    </row>
    <row r="884" spans="1:1" ht="15.75" customHeight="1">
      <c r="A884" s="2"/>
    </row>
    <row r="885" spans="1:1" ht="15.75" customHeight="1">
      <c r="A885" s="2"/>
    </row>
    <row r="886" spans="1:1" ht="15.75" customHeight="1">
      <c r="A886" s="2"/>
    </row>
    <row r="887" spans="1:1" ht="15.75" customHeight="1">
      <c r="A887" s="2"/>
    </row>
    <row r="888" spans="1:1" ht="15.75" customHeight="1">
      <c r="A888" s="2"/>
    </row>
    <row r="889" spans="1:1" ht="15.75" customHeight="1">
      <c r="A889" s="2"/>
    </row>
    <row r="890" spans="1:1" ht="15.75" customHeight="1">
      <c r="A890" s="2"/>
    </row>
    <row r="891" spans="1:1" ht="15.75" customHeight="1">
      <c r="A891" s="2"/>
    </row>
    <row r="892" spans="1:1" ht="15.75" customHeight="1">
      <c r="A892" s="2"/>
    </row>
    <row r="893" spans="1:1" ht="15.75" customHeight="1">
      <c r="A893" s="2"/>
    </row>
    <row r="894" spans="1:1" ht="15.75" customHeight="1">
      <c r="A894" s="2"/>
    </row>
    <row r="895" spans="1:1" ht="15.75" customHeight="1">
      <c r="A895" s="2"/>
    </row>
    <row r="896" spans="1:1" ht="15.75" customHeight="1">
      <c r="A896" s="2"/>
    </row>
    <row r="897" spans="1:1" ht="15.75" customHeight="1">
      <c r="A897" s="2"/>
    </row>
    <row r="898" spans="1:1" ht="15.75" customHeight="1">
      <c r="A898" s="2"/>
    </row>
    <row r="899" spans="1:1" ht="15.75" customHeight="1">
      <c r="A899" s="2"/>
    </row>
    <row r="900" spans="1:1" ht="15.75" customHeight="1">
      <c r="A900" s="2"/>
    </row>
    <row r="901" spans="1:1" ht="15.75" customHeight="1">
      <c r="A901" s="2"/>
    </row>
    <row r="902" spans="1:1" ht="15.75" customHeight="1">
      <c r="A902" s="2"/>
    </row>
    <row r="903" spans="1:1" ht="15.75" customHeight="1">
      <c r="A903" s="2"/>
    </row>
    <row r="904" spans="1:1" ht="15.75" customHeight="1">
      <c r="A904" s="2"/>
    </row>
    <row r="905" spans="1:1" ht="15.75" customHeight="1">
      <c r="A905" s="2"/>
    </row>
    <row r="906" spans="1:1" ht="15.75" customHeight="1">
      <c r="A906" s="2"/>
    </row>
    <row r="907" spans="1:1" ht="15.75" customHeight="1">
      <c r="A907" s="2"/>
    </row>
    <row r="908" spans="1:1" ht="15.75" customHeight="1">
      <c r="A908" s="2"/>
    </row>
    <row r="909" spans="1:1" ht="15.75" customHeight="1">
      <c r="A909" s="2"/>
    </row>
    <row r="910" spans="1:1" ht="15.75" customHeight="1">
      <c r="A910" s="2"/>
    </row>
    <row r="911" spans="1:1" ht="15.75" customHeight="1">
      <c r="A911" s="2"/>
    </row>
    <row r="912" spans="1:1" ht="15.75" customHeight="1">
      <c r="A912" s="2"/>
    </row>
    <row r="913" spans="1:1" ht="15.75" customHeight="1">
      <c r="A913" s="2"/>
    </row>
    <row r="914" spans="1:1" ht="15.75" customHeight="1">
      <c r="A914" s="2"/>
    </row>
    <row r="915" spans="1:1" ht="15.75" customHeight="1">
      <c r="A915" s="2"/>
    </row>
    <row r="916" spans="1:1" ht="15.75" customHeight="1">
      <c r="A916" s="2"/>
    </row>
    <row r="917" spans="1:1" ht="15.75" customHeight="1">
      <c r="A917" s="2"/>
    </row>
    <row r="918" spans="1:1" ht="15.75" customHeight="1">
      <c r="A918" s="2"/>
    </row>
    <row r="919" spans="1:1" ht="15.75" customHeight="1">
      <c r="A919" s="2"/>
    </row>
    <row r="920" spans="1:1" ht="15.75" customHeight="1">
      <c r="A920" s="2"/>
    </row>
    <row r="921" spans="1:1" ht="15.75" customHeight="1">
      <c r="A921" s="2"/>
    </row>
    <row r="922" spans="1:1" ht="15.75" customHeight="1">
      <c r="A922" s="2"/>
    </row>
    <row r="923" spans="1:1" ht="15.75" customHeight="1">
      <c r="A923" s="2"/>
    </row>
    <row r="924" spans="1:1" ht="15.75" customHeight="1">
      <c r="A924" s="2"/>
    </row>
    <row r="925" spans="1:1" ht="15.75" customHeight="1">
      <c r="A925" s="2"/>
    </row>
    <row r="926" spans="1:1" ht="15.75" customHeight="1">
      <c r="A926" s="2"/>
    </row>
    <row r="927" spans="1:1" ht="15.75" customHeight="1">
      <c r="A927" s="2"/>
    </row>
    <row r="928" spans="1:1" ht="15.75" customHeight="1">
      <c r="A928" s="2"/>
    </row>
    <row r="929" spans="1:1" ht="15.75" customHeight="1">
      <c r="A929" s="2"/>
    </row>
    <row r="930" spans="1:1" ht="15.75" customHeight="1">
      <c r="A930" s="2"/>
    </row>
    <row r="931" spans="1:1" ht="15.75" customHeight="1">
      <c r="A931" s="2"/>
    </row>
    <row r="932" spans="1:1" ht="15.75" customHeight="1">
      <c r="A932" s="2"/>
    </row>
    <row r="933" spans="1:1" ht="15.75" customHeight="1">
      <c r="A933" s="2"/>
    </row>
    <row r="934" spans="1:1" ht="15.75" customHeight="1">
      <c r="A934" s="2"/>
    </row>
    <row r="935" spans="1:1" ht="15.75" customHeight="1">
      <c r="A935" s="2"/>
    </row>
    <row r="936" spans="1:1" ht="15.75" customHeight="1">
      <c r="A936" s="2"/>
    </row>
    <row r="937" spans="1:1" ht="15.75" customHeight="1">
      <c r="A937" s="2"/>
    </row>
    <row r="938" spans="1:1" ht="15.75" customHeight="1">
      <c r="A938" s="2"/>
    </row>
    <row r="939" spans="1:1" ht="15.75" customHeight="1">
      <c r="A939" s="2"/>
    </row>
    <row r="940" spans="1:1" ht="15.75" customHeight="1">
      <c r="A940" s="2"/>
    </row>
    <row r="941" spans="1:1" ht="15.75" customHeight="1">
      <c r="A941" s="2"/>
    </row>
    <row r="942" spans="1:1" ht="15.75" customHeight="1">
      <c r="A942" s="2"/>
    </row>
    <row r="943" spans="1:1" ht="15.75" customHeight="1">
      <c r="A943" s="2"/>
    </row>
    <row r="944" spans="1:1" ht="15.75" customHeight="1">
      <c r="A944" s="2"/>
    </row>
    <row r="945" spans="1:1" ht="15.75" customHeight="1">
      <c r="A945" s="2"/>
    </row>
    <row r="946" spans="1:1" ht="15.75" customHeight="1">
      <c r="A946" s="2"/>
    </row>
    <row r="947" spans="1:1" ht="15.75" customHeight="1">
      <c r="A947" s="2"/>
    </row>
    <row r="948" spans="1:1" ht="15.75" customHeight="1">
      <c r="A948" s="2"/>
    </row>
    <row r="949" spans="1:1" ht="15.75" customHeight="1">
      <c r="A949" s="2"/>
    </row>
    <row r="950" spans="1:1" ht="15.75" customHeight="1">
      <c r="A950" s="2"/>
    </row>
    <row r="951" spans="1:1" ht="15.75" customHeight="1">
      <c r="A951" s="2"/>
    </row>
    <row r="952" spans="1:1" ht="15.75" customHeight="1">
      <c r="A952" s="2"/>
    </row>
    <row r="953" spans="1:1" ht="15.75" customHeight="1">
      <c r="A953" s="2"/>
    </row>
    <row r="954" spans="1:1" ht="15.75" customHeight="1">
      <c r="A954" s="2"/>
    </row>
    <row r="955" spans="1:1" ht="15.75" customHeight="1">
      <c r="A955" s="2"/>
    </row>
    <row r="956" spans="1:1" ht="15.75" customHeight="1">
      <c r="A956" s="2"/>
    </row>
    <row r="957" spans="1:1" ht="15.75" customHeight="1">
      <c r="A957" s="2"/>
    </row>
    <row r="958" spans="1:1" ht="15.75" customHeight="1">
      <c r="A958" s="2"/>
    </row>
    <row r="959" spans="1:1" ht="15.75" customHeight="1">
      <c r="A959" s="2"/>
    </row>
    <row r="960" spans="1:1" ht="15.75" customHeight="1">
      <c r="A960" s="2"/>
    </row>
    <row r="961" spans="1:1" ht="15.75" customHeight="1">
      <c r="A961" s="2"/>
    </row>
    <row r="962" spans="1:1" ht="15.75" customHeight="1">
      <c r="A962" s="2"/>
    </row>
    <row r="963" spans="1:1" ht="15.75" customHeight="1">
      <c r="A963" s="2"/>
    </row>
    <row r="964" spans="1:1" ht="15.75" customHeight="1">
      <c r="A964" s="2"/>
    </row>
    <row r="965" spans="1:1" ht="15.75" customHeight="1">
      <c r="A965" s="2"/>
    </row>
    <row r="966" spans="1:1" ht="15.75" customHeight="1">
      <c r="A966" s="2"/>
    </row>
    <row r="967" spans="1:1" ht="15.75" customHeight="1">
      <c r="A967" s="2"/>
    </row>
    <row r="968" spans="1:1" ht="15.75" customHeight="1">
      <c r="A968" s="2"/>
    </row>
    <row r="969" spans="1:1" ht="15.75" customHeight="1">
      <c r="A969" s="2"/>
    </row>
    <row r="970" spans="1:1" ht="15.75" customHeight="1">
      <c r="A970" s="2"/>
    </row>
    <row r="971" spans="1:1" ht="15.75" customHeight="1">
      <c r="A971" s="2"/>
    </row>
    <row r="972" spans="1:1" ht="15.75" customHeight="1">
      <c r="A972" s="2"/>
    </row>
    <row r="973" spans="1:1" ht="15.75" customHeight="1">
      <c r="A973" s="2"/>
    </row>
    <row r="974" spans="1:1" ht="15.75" customHeight="1">
      <c r="A974" s="2"/>
    </row>
    <row r="975" spans="1:1" ht="15.75" customHeight="1">
      <c r="A975" s="2"/>
    </row>
    <row r="976" spans="1:1" ht="15.75" customHeight="1">
      <c r="A976" s="2"/>
    </row>
    <row r="977" spans="1:1" ht="15.75" customHeight="1">
      <c r="A977" s="2"/>
    </row>
    <row r="978" spans="1:1" ht="15.75" customHeight="1">
      <c r="A978" s="2"/>
    </row>
    <row r="979" spans="1:1" ht="15.75" customHeight="1">
      <c r="A979" s="2"/>
    </row>
    <row r="980" spans="1:1" ht="15.75" customHeight="1">
      <c r="A980" s="2"/>
    </row>
    <row r="981" spans="1:1" ht="15.75" customHeight="1">
      <c r="A981" s="2"/>
    </row>
    <row r="982" spans="1:1" ht="15.75" customHeight="1">
      <c r="A982" s="2"/>
    </row>
    <row r="983" spans="1:1" ht="15.75" customHeight="1">
      <c r="A983" s="2"/>
    </row>
    <row r="984" spans="1:1" ht="15.75" customHeight="1">
      <c r="A984" s="2"/>
    </row>
    <row r="985" spans="1:1" ht="15.75" customHeight="1">
      <c r="A985" s="2"/>
    </row>
    <row r="986" spans="1:1" ht="15.75" customHeight="1">
      <c r="A986" s="2"/>
    </row>
    <row r="987" spans="1:1" ht="15.75" customHeight="1">
      <c r="A987" s="2"/>
    </row>
    <row r="988" spans="1:1" ht="15.75" customHeight="1">
      <c r="A988" s="2"/>
    </row>
    <row r="989" spans="1:1" ht="15.75" customHeight="1">
      <c r="A989" s="2"/>
    </row>
    <row r="990" spans="1:1" ht="15.75" customHeight="1">
      <c r="A990" s="2"/>
    </row>
    <row r="991" spans="1:1" ht="15.75" customHeight="1">
      <c r="A991" s="2"/>
    </row>
    <row r="992" spans="1:1" ht="15.75" customHeight="1">
      <c r="A992" s="2"/>
    </row>
    <row r="993" spans="1:1" ht="15.75" customHeight="1">
      <c r="A993" s="2"/>
    </row>
    <row r="994" spans="1:1" ht="15.75" customHeight="1">
      <c r="A994" s="2"/>
    </row>
    <row r="995" spans="1:1" ht="15.75" customHeight="1">
      <c r="A995" s="2"/>
    </row>
    <row r="996" spans="1:1" ht="15.75" customHeight="1">
      <c r="A996" s="2"/>
    </row>
    <row r="997" spans="1:1" ht="15.75" customHeight="1">
      <c r="A997" s="2"/>
    </row>
    <row r="998" spans="1:1" ht="15.75" customHeight="1">
      <c r="A998" s="2"/>
    </row>
    <row r="999" spans="1:1" ht="15.75" customHeight="1">
      <c r="A999" s="2"/>
    </row>
    <row r="1000" spans="1:1" ht="15.75" customHeight="1">
      <c r="A1000" s="2"/>
    </row>
  </sheetData>
  <mergeCells count="3">
    <mergeCell ref="A1:D1"/>
    <mergeCell ref="B3:D3"/>
    <mergeCell ref="A8:D8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Caracteristicas!$AF$2:$AF$17</xm:f>
          </x14:formula1>
          <xm:sqref>B10:D10</xm:sqref>
        </x14:dataValidation>
        <x14:dataValidation type="list" allowBlank="1" showErrorMessage="1" xr:uid="{00000000-0002-0000-0000-000001000000}">
          <x14:formula1>
            <xm:f>Caracteristicas!$A$2:$A$60</xm:f>
          </x14:formula1>
          <xm:sqref>C6:D6</xm:sqref>
        </x14:dataValidation>
        <x14:dataValidation type="list" allowBlank="1" showErrorMessage="1" xr:uid="{00000000-0002-0000-0000-000002000000}">
          <x14:formula1>
            <xm:f>Caracteristicas!$A$2:$A$72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985"/>
  <sheetViews>
    <sheetView tabSelected="1" workbookViewId="0">
      <pane xSplit="1" ySplit="1" topLeftCell="M69" activePane="bottomRight" state="frozen"/>
      <selection pane="topRight" activeCell="B1" sqref="B1"/>
      <selection pane="bottomLeft" activeCell="A2" sqref="A2"/>
      <selection pane="bottomRight" activeCell="H74" sqref="H74"/>
    </sheetView>
  </sheetViews>
  <sheetFormatPr baseColWidth="10" defaultColWidth="14.42578125" defaultRowHeight="15" customHeight="1"/>
  <cols>
    <col min="1" max="1" width="33.7109375" customWidth="1"/>
    <col min="2" max="2" width="9.42578125" customWidth="1"/>
    <col min="3" max="3" width="15.28515625" customWidth="1"/>
    <col min="4" max="4" width="10.7109375" customWidth="1"/>
    <col min="5" max="5" width="11" style="78" customWidth="1"/>
    <col min="6" max="6" width="10.7109375" customWidth="1"/>
    <col min="7" max="7" width="11" customWidth="1"/>
    <col min="8" max="8" width="10.7109375" customWidth="1"/>
    <col min="9" max="9" width="11" customWidth="1"/>
    <col min="10" max="10" width="10.7109375" customWidth="1"/>
    <col min="11" max="11" width="10.7109375" style="70" customWidth="1"/>
    <col min="12" max="12" width="10.7109375" customWidth="1"/>
    <col min="13" max="13" width="23.85546875" customWidth="1"/>
    <col min="14" max="14" width="11" customWidth="1"/>
    <col min="15" max="15" width="10.7109375" customWidth="1"/>
    <col min="16" max="20" width="11" customWidth="1"/>
    <col min="21" max="21" width="11.42578125" customWidth="1"/>
    <col min="22" max="22" width="11" customWidth="1"/>
    <col min="23" max="23" width="11.5703125" customWidth="1"/>
    <col min="24" max="31" width="10.7109375" customWidth="1"/>
    <col min="32" max="32" width="11" customWidth="1"/>
  </cols>
  <sheetData>
    <row r="1" spans="1:32">
      <c r="A1" s="1" t="s">
        <v>1</v>
      </c>
      <c r="B1" s="2" t="s">
        <v>3</v>
      </c>
      <c r="C1" s="2" t="s">
        <v>6</v>
      </c>
      <c r="D1" s="1" t="s">
        <v>7</v>
      </c>
      <c r="E1" s="2" t="s">
        <v>8</v>
      </c>
      <c r="F1" s="1" t="s">
        <v>10</v>
      </c>
      <c r="G1" s="2" t="s">
        <v>11</v>
      </c>
      <c r="H1" s="1" t="s">
        <v>13</v>
      </c>
      <c r="I1" s="2" t="s">
        <v>15</v>
      </c>
      <c r="J1" s="1" t="s">
        <v>16</v>
      </c>
      <c r="K1" s="68" t="s">
        <v>17</v>
      </c>
      <c r="L1" s="1" t="s">
        <v>18</v>
      </c>
      <c r="M1" s="1" t="s">
        <v>19</v>
      </c>
      <c r="N1" s="2" t="s">
        <v>20</v>
      </c>
      <c r="O1" s="1" t="s">
        <v>21</v>
      </c>
      <c r="P1" s="2" t="s">
        <v>22</v>
      </c>
      <c r="Q1" s="2" t="s">
        <v>23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AF1" s="1" t="s">
        <v>14</v>
      </c>
    </row>
    <row r="2" spans="1:32">
      <c r="A2" s="1" t="s">
        <v>31</v>
      </c>
      <c r="B2" s="2" t="str" cm="1">
        <f t="array" aca="1" ref="B2" ca="1">IFERROR(
  _xludf.XLOOKUP("*"&amp;SUBSTITUTE(TRIM(A2)," ","*")&amp;"*", 'RENO CONT'!$C:$C, 'RENO CONT'!$D:$D, "", 2),
"")</f>
        <v/>
      </c>
      <c r="C2" s="2" t="str">
        <f t="array" aca="1" ref="C2" ca="1">IFERROR(
  _xludf.XLOOKUP("*"&amp;SUBSTITUTE(TRIM(A2)," ","*")&amp;"*", 'RENO FINAN'!$A:$A, 'RENO FINAN'!$C:$C, "", 2),
"")</f>
        <v/>
      </c>
      <c r="D2" s="1" t="s">
        <v>51</v>
      </c>
      <c r="E2" s="2" t="s">
        <v>53</v>
      </c>
      <c r="F2" s="2" t="s">
        <v>48</v>
      </c>
      <c r="G2" s="2" t="s">
        <v>54</v>
      </c>
      <c r="H2" s="1" t="s">
        <v>56</v>
      </c>
      <c r="I2" s="2" t="s">
        <v>57</v>
      </c>
      <c r="J2" s="1" t="s">
        <v>60</v>
      </c>
      <c r="K2" s="68" t="s">
        <v>61</v>
      </c>
      <c r="L2" s="1" t="s">
        <v>62</v>
      </c>
      <c r="M2" s="1" t="s">
        <v>63</v>
      </c>
      <c r="N2" s="2" t="s">
        <v>64</v>
      </c>
      <c r="O2" s="1" t="s">
        <v>65</v>
      </c>
      <c r="P2" s="2" t="s">
        <v>67</v>
      </c>
      <c r="Q2" s="2" t="s">
        <v>68</v>
      </c>
      <c r="R2" s="2" t="s">
        <v>69</v>
      </c>
      <c r="S2" s="2" t="s">
        <v>64</v>
      </c>
      <c r="T2" s="2">
        <v>5.0999999999999996</v>
      </c>
      <c r="U2" s="2" t="s">
        <v>64</v>
      </c>
      <c r="V2" s="2" t="s">
        <v>71</v>
      </c>
      <c r="W2" s="8" t="s">
        <v>73</v>
      </c>
      <c r="AF2" s="1">
        <v>29.9</v>
      </c>
    </row>
    <row r="3" spans="1:32">
      <c r="A3" s="1" t="s">
        <v>74</v>
      </c>
      <c r="B3" s="2" t="str">
        <f t="array" aca="1" ref="B3" ca="1">IFERROR(
  _xludf.XLOOKUP("*"&amp;SUBSTITUTE(TRIM(A3)," ","*")&amp;"*", 'RENO CONT'!$C:$C, 'RENO CONT'!$D:$D, "", 2),
"")</f>
        <v/>
      </c>
      <c r="C3" s="2" t="str">
        <f t="array" aca="1" ref="C3" ca="1">IFERROR(
  _xludf.XLOOKUP("*"&amp;SUBSTITUTE(TRIM(A3)," ","*")&amp;"*", 'RENO FINAN'!$A:$A, 'RENO FINAN'!$C:$C, "", 2),
"")</f>
        <v/>
      </c>
      <c r="D3" s="1" t="s">
        <v>80</v>
      </c>
      <c r="E3" s="2" t="s">
        <v>82</v>
      </c>
      <c r="F3" s="2" t="s">
        <v>48</v>
      </c>
      <c r="G3" s="2" t="s">
        <v>54</v>
      </c>
      <c r="H3" s="1" t="s">
        <v>84</v>
      </c>
      <c r="I3" s="2" t="s">
        <v>85</v>
      </c>
      <c r="J3" s="1" t="s">
        <v>60</v>
      </c>
      <c r="K3" s="68" t="s">
        <v>61</v>
      </c>
      <c r="L3" s="1" t="s">
        <v>62</v>
      </c>
      <c r="M3" s="1" t="s">
        <v>88</v>
      </c>
      <c r="N3" s="2" t="s">
        <v>64</v>
      </c>
      <c r="O3" s="1" t="s">
        <v>65</v>
      </c>
      <c r="P3" s="2" t="s">
        <v>67</v>
      </c>
      <c r="Q3" s="2" t="s">
        <v>89</v>
      </c>
      <c r="R3" s="2" t="s">
        <v>90</v>
      </c>
      <c r="S3" s="2" t="s">
        <v>64</v>
      </c>
      <c r="T3" s="2">
        <v>5.0999999999999996</v>
      </c>
      <c r="U3" s="2" t="s">
        <v>64</v>
      </c>
      <c r="V3" s="2" t="s">
        <v>71</v>
      </c>
      <c r="W3" s="8" t="s">
        <v>48</v>
      </c>
    </row>
    <row r="4" spans="1:32">
      <c r="A4" s="1" t="s">
        <v>92</v>
      </c>
      <c r="B4" s="2" t="str">
        <f t="array" aca="1" ref="B4" ca="1">IFERROR(
  _xludf.XLOOKUP("*"&amp;SUBSTITUTE(TRIM(A4)," ","*")&amp;"*", 'RENO CONT'!$C:$C, 'RENO CONT'!$D:$D, "", 2),
"")</f>
        <v/>
      </c>
      <c r="C4" s="2" t="str">
        <f t="array" aca="1" ref="C4" ca="1">IFERROR(
  _xludf.XLOOKUP("*"&amp;SUBSTITUTE(TRIM(A4)," ","*")&amp;"*", 'RENO FINAN'!$A:$A, 'RENO FINAN'!$C:$C, "", 2),
"")</f>
        <v/>
      </c>
      <c r="D4" s="1" t="s">
        <v>51</v>
      </c>
      <c r="E4" s="2" t="s">
        <v>96</v>
      </c>
      <c r="F4" s="1" t="s">
        <v>98</v>
      </c>
      <c r="G4" s="2" t="s">
        <v>99</v>
      </c>
      <c r="H4" s="1" t="s">
        <v>101</v>
      </c>
      <c r="I4" s="2" t="s">
        <v>102</v>
      </c>
      <c r="J4" s="1" t="s">
        <v>103</v>
      </c>
      <c r="K4" s="68" t="s">
        <v>104</v>
      </c>
      <c r="L4" s="1" t="s">
        <v>62</v>
      </c>
      <c r="M4" s="1" t="s">
        <v>105</v>
      </c>
      <c r="N4" s="2" t="s">
        <v>64</v>
      </c>
      <c r="O4" s="1" t="s">
        <v>65</v>
      </c>
      <c r="P4" s="2" t="s">
        <v>67</v>
      </c>
      <c r="Q4" s="2" t="s">
        <v>107</v>
      </c>
      <c r="R4" s="2" t="s">
        <v>108</v>
      </c>
      <c r="S4" s="2" t="s">
        <v>64</v>
      </c>
      <c r="T4" s="2">
        <v>5.0999999999999996</v>
      </c>
      <c r="U4" s="2" t="s">
        <v>64</v>
      </c>
      <c r="V4" s="2" t="s">
        <v>71</v>
      </c>
      <c r="W4" s="8" t="s">
        <v>73</v>
      </c>
      <c r="AF4" s="1">
        <v>39.9</v>
      </c>
    </row>
    <row r="5" spans="1:32">
      <c r="A5" s="1" t="s">
        <v>97</v>
      </c>
      <c r="B5" s="2" t="str">
        <f t="array" aca="1" ref="B5" ca="1">IFERROR(
  _xludf.XLOOKUP("*"&amp;SUBSTITUTE(TRIM(A5)," ","*")&amp;"*", 'RENO CONT'!$C:$C, 'RENO CONT'!$D:$D, "", 2),
"")</f>
        <v/>
      </c>
      <c r="C5" s="2" t="str">
        <f t="array" aca="1" ref="C5" ca="1">IFERROR(
  _xludf.XLOOKUP("*"&amp;SUBSTITUTE(TRIM(A5)," ","*")&amp;"*", 'RENO FINAN'!$A:$A, 'RENO FINAN'!$C:$C, "", 2),
"")</f>
        <v/>
      </c>
      <c r="D5" s="1" t="s">
        <v>113</v>
      </c>
      <c r="E5" s="2" t="s">
        <v>114</v>
      </c>
      <c r="F5" s="1" t="s">
        <v>98</v>
      </c>
      <c r="G5" s="2" t="s">
        <v>99</v>
      </c>
      <c r="H5" s="1" t="s">
        <v>115</v>
      </c>
      <c r="I5" s="2" t="s">
        <v>116</v>
      </c>
      <c r="J5" s="1" t="s">
        <v>117</v>
      </c>
      <c r="K5" s="68" t="s">
        <v>104</v>
      </c>
      <c r="L5" s="1" t="s">
        <v>48</v>
      </c>
      <c r="M5" s="1" t="s">
        <v>118</v>
      </c>
      <c r="N5" s="2" t="s">
        <v>64</v>
      </c>
      <c r="O5" s="1" t="s">
        <v>65</v>
      </c>
      <c r="P5" s="2" t="s">
        <v>119</v>
      </c>
      <c r="Q5" s="2" t="s">
        <v>120</v>
      </c>
      <c r="R5" s="2" t="s">
        <v>121</v>
      </c>
      <c r="S5" s="2" t="s">
        <v>64</v>
      </c>
      <c r="T5" s="2">
        <v>5.0999999999999996</v>
      </c>
      <c r="U5" s="2" t="s">
        <v>64</v>
      </c>
      <c r="V5" s="2" t="s">
        <v>71</v>
      </c>
      <c r="W5" s="8" t="s">
        <v>73</v>
      </c>
      <c r="AF5" s="1">
        <v>49.9</v>
      </c>
    </row>
    <row r="6" spans="1:32">
      <c r="A6" s="1" t="s">
        <v>122</v>
      </c>
      <c r="B6" s="2" t="str">
        <f t="array" aca="1" ref="B6" ca="1">IFERROR(
  _xludf.XLOOKUP("*"&amp;SUBSTITUTE(TRIM(A6)," ","*")&amp;"*", 'RENO CONT'!$C:$C, 'RENO CONT'!$D:$D, "", 2),
"")</f>
        <v/>
      </c>
      <c r="C6" s="2" t="str">
        <f t="array" aca="1" ref="C6" ca="1">IFERROR(
  _xludf.XLOOKUP("*"&amp;SUBSTITUTE(TRIM(A6)," ","*")&amp;"*", 'RENO FINAN'!$A:$A, 'RENO FINAN'!$C:$C, "", 2),
"")</f>
        <v/>
      </c>
      <c r="D6" s="1" t="s">
        <v>127</v>
      </c>
      <c r="E6" s="2" t="s">
        <v>128</v>
      </c>
      <c r="F6" s="1" t="s">
        <v>129</v>
      </c>
      <c r="G6" s="2" t="s">
        <v>99</v>
      </c>
      <c r="H6" s="1" t="s">
        <v>115</v>
      </c>
      <c r="I6" s="2" t="s">
        <v>130</v>
      </c>
      <c r="J6" s="1" t="s">
        <v>117</v>
      </c>
      <c r="K6" s="68" t="s">
        <v>104</v>
      </c>
      <c r="L6" s="1" t="s">
        <v>48</v>
      </c>
      <c r="M6" s="1" t="s">
        <v>133</v>
      </c>
      <c r="N6" s="2" t="s">
        <v>64</v>
      </c>
      <c r="O6" s="1" t="s">
        <v>65</v>
      </c>
      <c r="P6" s="2" t="s">
        <v>119</v>
      </c>
      <c r="Q6" s="2" t="s">
        <v>134</v>
      </c>
      <c r="R6" s="2" t="s">
        <v>121</v>
      </c>
      <c r="S6" s="2" t="s">
        <v>64</v>
      </c>
      <c r="T6" s="13">
        <v>5</v>
      </c>
      <c r="U6" s="13" t="s">
        <v>48</v>
      </c>
      <c r="V6" s="2" t="s">
        <v>71</v>
      </c>
      <c r="W6" s="8" t="s">
        <v>48</v>
      </c>
    </row>
    <row r="7" spans="1:32">
      <c r="A7" s="1" t="s">
        <v>123</v>
      </c>
      <c r="B7" s="2" t="str">
        <f t="array" aca="1" ref="B7" ca="1">IFERROR(
  _xludf.XLOOKUP("*"&amp;SUBSTITUTE(TRIM(A7)," ","*")&amp;"*", 'RENO CONT'!$C:$C, 'RENO CONT'!$D:$D, "", 2),
"")</f>
        <v/>
      </c>
      <c r="C7" s="2" t="str">
        <f t="array" aca="1" ref="C7" ca="1">IFERROR(
  _xludf.XLOOKUP("*"&amp;SUBSTITUTE(TRIM(A7)," ","*")&amp;"*", 'RENO FINAN'!$A:$A, 'RENO FINAN'!$C:$C, "", 2),
"")</f>
        <v/>
      </c>
      <c r="D7" s="1" t="s">
        <v>139</v>
      </c>
      <c r="E7" s="2" t="s">
        <v>140</v>
      </c>
      <c r="F7" s="1" t="s">
        <v>98</v>
      </c>
      <c r="G7" s="2" t="s">
        <v>99</v>
      </c>
      <c r="H7" s="1" t="s">
        <v>115</v>
      </c>
      <c r="I7" s="2" t="s">
        <v>116</v>
      </c>
      <c r="J7" s="1" t="s">
        <v>117</v>
      </c>
      <c r="K7" s="68" t="s">
        <v>104</v>
      </c>
      <c r="L7" s="1" t="s">
        <v>48</v>
      </c>
      <c r="M7" s="1" t="s">
        <v>143</v>
      </c>
      <c r="N7" s="2" t="s">
        <v>144</v>
      </c>
      <c r="O7" s="1" t="s">
        <v>65</v>
      </c>
      <c r="P7" s="2" t="s">
        <v>145</v>
      </c>
      <c r="Q7" s="2" t="s">
        <v>147</v>
      </c>
      <c r="R7" s="2" t="s">
        <v>121</v>
      </c>
      <c r="S7" s="2" t="s">
        <v>64</v>
      </c>
      <c r="T7" s="13">
        <v>5</v>
      </c>
      <c r="U7" s="13" t="s">
        <v>64</v>
      </c>
      <c r="V7" s="2" t="s">
        <v>7</v>
      </c>
      <c r="W7" s="8" t="s">
        <v>73</v>
      </c>
      <c r="AF7" s="1">
        <v>59.9</v>
      </c>
    </row>
    <row r="8" spans="1:32">
      <c r="A8" s="1" t="s">
        <v>46</v>
      </c>
      <c r="B8" s="2" t="str">
        <f t="array" aca="1" ref="B8" ca="1">IFERROR(
  _xludf.XLOOKUP("*"&amp;SUBSTITUTE(TRIM(A8)," ","*")&amp;"*", 'RENO CONT'!$C:$C, 'RENO CONT'!$D:$D, "", 2),
"")</f>
        <v/>
      </c>
      <c r="C8" s="2" t="str">
        <f t="array" aca="1" ref="C8" ca="1">IFERROR(
  _xludf.XLOOKUP("*"&amp;SUBSTITUTE(TRIM(A8)," ","*")&amp;"*", 'RENO FINAN'!$A:$A, 'RENO FINAN'!$C:$C, "", 2),
"")</f>
        <v/>
      </c>
      <c r="D8" s="1" t="s">
        <v>154</v>
      </c>
      <c r="E8" s="2" t="s">
        <v>155</v>
      </c>
      <c r="F8" s="1" t="s">
        <v>129</v>
      </c>
      <c r="G8" s="2" t="s">
        <v>156</v>
      </c>
      <c r="H8" s="1" t="s">
        <v>157</v>
      </c>
      <c r="I8" s="2" t="s">
        <v>158</v>
      </c>
      <c r="J8" s="1" t="s">
        <v>117</v>
      </c>
      <c r="K8" s="68" t="s">
        <v>159</v>
      </c>
      <c r="L8" s="1" t="s">
        <v>48</v>
      </c>
      <c r="M8" s="1" t="s">
        <v>160</v>
      </c>
      <c r="N8" s="2" t="s">
        <v>144</v>
      </c>
      <c r="O8" s="1" t="s">
        <v>161</v>
      </c>
      <c r="P8" s="2" t="s">
        <v>162</v>
      </c>
      <c r="Q8" s="2" t="s">
        <v>163</v>
      </c>
      <c r="R8" s="2" t="s">
        <v>164</v>
      </c>
      <c r="S8" s="2" t="s">
        <v>64</v>
      </c>
      <c r="T8" s="2">
        <v>5.0999999999999996</v>
      </c>
      <c r="U8" s="2" t="s">
        <v>48</v>
      </c>
      <c r="V8" s="2" t="s">
        <v>7</v>
      </c>
      <c r="W8" s="14" t="s">
        <v>167</v>
      </c>
      <c r="AF8" s="1">
        <v>69.900000000000006</v>
      </c>
    </row>
    <row r="9" spans="1:32">
      <c r="A9" s="1" t="s">
        <v>55</v>
      </c>
      <c r="B9" s="2" t="str">
        <f t="array" aca="1" ref="B9" ca="1">IFERROR(
  _xludf.XLOOKUP("*"&amp;SUBSTITUTE(TRIM(A9)," ","*")&amp;"*", 'RENO CONT'!$C:$C, 'RENO CONT'!$D:$D, "", 2),
"")</f>
        <v/>
      </c>
      <c r="C9" s="2" t="str">
        <f t="array" aca="1" ref="C9" ca="1">IFERROR(
  _xludf.XLOOKUP("*"&amp;SUBSTITUTE(TRIM(A9)," ","*")&amp;"*", 'RENO FINAN'!$A:$A, 'RENO FINAN'!$C:$C, "", 2),
"")</f>
        <v/>
      </c>
      <c r="D9" s="1" t="s">
        <v>172</v>
      </c>
      <c r="E9" s="2" t="s">
        <v>173</v>
      </c>
      <c r="F9" s="15" t="s">
        <v>174</v>
      </c>
      <c r="G9" s="2" t="s">
        <v>156</v>
      </c>
      <c r="H9" s="15" t="s">
        <v>176</v>
      </c>
      <c r="I9" s="2" t="s">
        <v>177</v>
      </c>
      <c r="J9" s="1" t="s">
        <v>117</v>
      </c>
      <c r="K9" s="68" t="s">
        <v>159</v>
      </c>
      <c r="L9" s="1" t="s">
        <v>48</v>
      </c>
      <c r="M9" s="1" t="s">
        <v>160</v>
      </c>
      <c r="N9" s="2" t="s">
        <v>144</v>
      </c>
      <c r="O9" s="1" t="s">
        <v>161</v>
      </c>
      <c r="P9" s="2" t="s">
        <v>162</v>
      </c>
      <c r="Q9" s="2" t="s">
        <v>178</v>
      </c>
      <c r="R9" s="2" t="s">
        <v>164</v>
      </c>
      <c r="S9" s="2" t="s">
        <v>64</v>
      </c>
      <c r="T9" s="2">
        <v>5.2</v>
      </c>
      <c r="U9" s="2" t="s">
        <v>64</v>
      </c>
      <c r="V9" s="2" t="s">
        <v>7</v>
      </c>
      <c r="W9" s="14" t="s">
        <v>48</v>
      </c>
    </row>
    <row r="10" spans="1:32">
      <c r="A10" s="1" t="s">
        <v>36</v>
      </c>
      <c r="B10" s="2" t="str">
        <f t="array" aca="1" ref="B10" ca="1">IFERROR(
  _xludf.XLOOKUP("*"&amp;SUBSTITUTE(TRIM(A10)," ","*")&amp;"*", 'RENO CONT'!$C:$C, 'RENO CONT'!$D:$D, "", 2),
"")</f>
        <v/>
      </c>
      <c r="C10" s="2" t="str">
        <f t="array" aca="1" ref="C10" ca="1">IFERROR(
  _xludf.XLOOKUP("*"&amp;SUBSTITUTE(TRIM(A10)," ","*")&amp;"*", 'RENO FINAN'!$A:$A, 'RENO FINAN'!$C:$C, "", 2),
"")</f>
        <v/>
      </c>
      <c r="D10" s="1" t="s">
        <v>185</v>
      </c>
      <c r="E10" s="2" t="s">
        <v>186</v>
      </c>
      <c r="F10" s="15" t="s">
        <v>187</v>
      </c>
      <c r="G10" s="2" t="s">
        <v>156</v>
      </c>
      <c r="H10" s="15" t="s">
        <v>188</v>
      </c>
      <c r="I10" s="2" t="s">
        <v>190</v>
      </c>
      <c r="J10" s="1" t="s">
        <v>117</v>
      </c>
      <c r="K10" s="68" t="s">
        <v>104</v>
      </c>
      <c r="L10" s="1" t="s">
        <v>48</v>
      </c>
      <c r="M10" s="1" t="s">
        <v>160</v>
      </c>
      <c r="N10" s="2" t="s">
        <v>64</v>
      </c>
      <c r="O10" s="1" t="s">
        <v>65</v>
      </c>
      <c r="P10" s="2" t="s">
        <v>162</v>
      </c>
      <c r="Q10" s="2" t="s">
        <v>191</v>
      </c>
      <c r="R10" s="2" t="s">
        <v>192</v>
      </c>
      <c r="S10" s="2" t="s">
        <v>64</v>
      </c>
      <c r="T10" s="2">
        <v>5.3</v>
      </c>
      <c r="U10" s="2" t="s">
        <v>64</v>
      </c>
      <c r="V10" s="2" t="s">
        <v>7</v>
      </c>
      <c r="W10" s="14" t="s">
        <v>48</v>
      </c>
    </row>
    <row r="11" spans="1:32">
      <c r="A11" s="1" t="s">
        <v>4</v>
      </c>
      <c r="B11" s="2" t="str">
        <f t="array" aca="1" ref="B11" ca="1">IFERROR(
  _xludf.XLOOKUP("*"&amp;SUBSTITUTE(TRIM(A11)," ","*")&amp;"*", 'RENO CONT'!$C:$C, 'RENO CONT'!$D:$D, "", 2),
"")</f>
        <v/>
      </c>
      <c r="C11" s="2" t="str">
        <f t="array" aca="1" ref="C11" ca="1">IFERROR(
  _xludf.XLOOKUP("*"&amp;SUBSTITUTE(TRIM(A11)," ","*")&amp;"*", 'RENO FINAN'!$A:$A, 'RENO FINAN'!$C:$C, "", 2),
"")</f>
        <v/>
      </c>
      <c r="D11" s="1" t="s">
        <v>198</v>
      </c>
      <c r="E11" s="2" t="s">
        <v>199</v>
      </c>
      <c r="F11" s="1" t="s">
        <v>200</v>
      </c>
      <c r="G11" s="2" t="s">
        <v>156</v>
      </c>
      <c r="H11" s="1" t="s">
        <v>201</v>
      </c>
      <c r="I11" s="2" t="s">
        <v>202</v>
      </c>
      <c r="J11" s="1" t="s">
        <v>203</v>
      </c>
      <c r="K11" s="68" t="s">
        <v>204</v>
      </c>
      <c r="L11" s="1" t="s">
        <v>48</v>
      </c>
      <c r="M11" s="1" t="s">
        <v>205</v>
      </c>
      <c r="N11" s="2" t="s">
        <v>144</v>
      </c>
      <c r="O11" s="1" t="s">
        <v>161</v>
      </c>
      <c r="P11" s="2" t="s">
        <v>207</v>
      </c>
      <c r="Q11" s="2" t="s">
        <v>107</v>
      </c>
      <c r="R11" s="2" t="s">
        <v>164</v>
      </c>
      <c r="S11" s="2" t="s">
        <v>64</v>
      </c>
      <c r="T11" s="2">
        <v>5.4</v>
      </c>
      <c r="U11" s="2" t="s">
        <v>144</v>
      </c>
      <c r="V11" s="2" t="s">
        <v>7</v>
      </c>
      <c r="W11" s="14" t="s">
        <v>208</v>
      </c>
      <c r="AF11" s="1">
        <v>79.900000000000006</v>
      </c>
    </row>
    <row r="12" spans="1:32">
      <c r="A12" s="1" t="s">
        <v>131</v>
      </c>
      <c r="B12" s="2" t="str">
        <f t="array" aca="1" ref="B12" ca="1">IFERROR(
  _xludf.XLOOKUP("*"&amp;SUBSTITUTE(TRIM(A12)," ","*")&amp;"*", 'RENO CONT'!$C:$C, 'RENO CONT'!$D:$D, "", 2),
"")</f>
        <v/>
      </c>
      <c r="C12" s="2" t="str">
        <f t="array" aca="1" ref="C12" ca="1">IFERROR(
  _xludf.XLOOKUP("*"&amp;SUBSTITUTE(TRIM(A12)," ","*")&amp;"*", 'RENO FINAN'!$A:$A, 'RENO FINAN'!$C:$C, "", 2),
"")</f>
        <v/>
      </c>
      <c r="D12" s="1" t="s">
        <v>216</v>
      </c>
      <c r="E12" s="2" t="s">
        <v>140</v>
      </c>
      <c r="F12" s="1" t="s">
        <v>219</v>
      </c>
      <c r="G12" s="2" t="s">
        <v>220</v>
      </c>
      <c r="H12" s="1" t="s">
        <v>221</v>
      </c>
      <c r="I12" s="2" t="s">
        <v>222</v>
      </c>
      <c r="J12" s="1" t="s">
        <v>223</v>
      </c>
      <c r="K12" s="68" t="s">
        <v>225</v>
      </c>
      <c r="L12" s="1" t="s">
        <v>64</v>
      </c>
      <c r="M12" s="1" t="s">
        <v>227</v>
      </c>
      <c r="N12" s="2" t="s">
        <v>144</v>
      </c>
      <c r="O12" s="1" t="s">
        <v>161</v>
      </c>
      <c r="P12" s="2" t="s">
        <v>228</v>
      </c>
      <c r="Q12" s="2" t="s">
        <v>229</v>
      </c>
      <c r="R12" s="2" t="s">
        <v>230</v>
      </c>
      <c r="S12" s="2" t="s">
        <v>144</v>
      </c>
      <c r="T12" s="13">
        <v>5</v>
      </c>
      <c r="U12" s="13" t="s">
        <v>144</v>
      </c>
      <c r="V12" s="2" t="s">
        <v>64</v>
      </c>
      <c r="W12" s="14" t="s">
        <v>232</v>
      </c>
      <c r="AF12" s="1">
        <v>99.9</v>
      </c>
    </row>
    <row r="13" spans="1:32">
      <c r="A13" s="1" t="s">
        <v>136</v>
      </c>
      <c r="B13" s="2" t="str">
        <f t="array" aca="1" ref="B13" ca="1">IFERROR(
  _xludf.XLOOKUP("*"&amp;SUBSTITUTE(TRIM(A13)," ","*")&amp;"*", 'RENO CONT'!$C:$C, 'RENO CONT'!$D:$D, "", 2),
"")</f>
        <v/>
      </c>
      <c r="C13" s="2" t="str">
        <f t="array" aca="1" ref="C13" ca="1">IFERROR(
  _xludf.XLOOKUP("*"&amp;SUBSTITUTE(TRIM(A13)," ","*")&amp;"*", 'RENO FINAN'!$A:$A, 'RENO FINAN'!$C:$C, "", 2),
"")</f>
        <v/>
      </c>
      <c r="D13" s="1" t="s">
        <v>237</v>
      </c>
      <c r="E13" s="2" t="s">
        <v>186</v>
      </c>
      <c r="F13" s="1" t="s">
        <v>219</v>
      </c>
      <c r="G13" s="2" t="s">
        <v>220</v>
      </c>
      <c r="H13" s="1" t="s">
        <v>238</v>
      </c>
      <c r="I13" s="2" t="s">
        <v>239</v>
      </c>
      <c r="J13" s="1" t="s">
        <v>240</v>
      </c>
      <c r="K13" s="68" t="s">
        <v>225</v>
      </c>
      <c r="L13" s="1" t="s">
        <v>64</v>
      </c>
      <c r="M13" s="1" t="s">
        <v>241</v>
      </c>
      <c r="N13" s="2" t="s">
        <v>144</v>
      </c>
      <c r="O13" s="1" t="s">
        <v>161</v>
      </c>
      <c r="P13" s="2" t="s">
        <v>228</v>
      </c>
      <c r="Q13" s="2" t="s">
        <v>243</v>
      </c>
      <c r="R13" s="2" t="s">
        <v>245</v>
      </c>
      <c r="S13" s="2" t="s">
        <v>144</v>
      </c>
      <c r="T13" s="2">
        <v>5.3</v>
      </c>
      <c r="U13" s="2" t="s">
        <v>144</v>
      </c>
      <c r="V13" s="2" t="s">
        <v>64</v>
      </c>
      <c r="W13" s="14" t="s">
        <v>246</v>
      </c>
    </row>
    <row r="14" spans="1:32">
      <c r="A14" s="1" t="s">
        <v>142</v>
      </c>
      <c r="B14" s="2" t="str">
        <f t="array" aca="1" ref="B14" ca="1">IFERROR(
  _xludf.XLOOKUP("*"&amp;SUBSTITUTE(TRIM(A14)," ","*")&amp;"*", 'RENO CONT'!$C:$C, 'RENO CONT'!$D:$D, "", 2),
"")</f>
        <v/>
      </c>
      <c r="C14" s="2" t="str">
        <f t="array" aca="1" ref="C14" ca="1">IFERROR(
  _xludf.XLOOKUP("*"&amp;SUBSTITUTE(TRIM(A14)," ","*")&amp;"*", 'RENO FINAN'!$A:$A, 'RENO FINAN'!$C:$C, "", 2),
"")</f>
        <v/>
      </c>
      <c r="D14" s="1" t="s">
        <v>237</v>
      </c>
      <c r="E14" s="2" t="s">
        <v>186</v>
      </c>
      <c r="F14" s="1" t="s">
        <v>219</v>
      </c>
      <c r="G14" s="2" t="s">
        <v>220</v>
      </c>
      <c r="H14" s="1" t="s">
        <v>251</v>
      </c>
      <c r="I14" s="2" t="s">
        <v>252</v>
      </c>
      <c r="J14" s="1" t="s">
        <v>253</v>
      </c>
      <c r="K14" s="68" t="s">
        <v>225</v>
      </c>
      <c r="L14" s="1" t="s">
        <v>64</v>
      </c>
      <c r="M14" s="1" t="s">
        <v>255</v>
      </c>
      <c r="N14" s="2" t="s">
        <v>144</v>
      </c>
      <c r="O14" s="1" t="s">
        <v>161</v>
      </c>
      <c r="P14" s="2" t="s">
        <v>228</v>
      </c>
      <c r="Q14" s="2" t="s">
        <v>258</v>
      </c>
      <c r="R14" s="2" t="s">
        <v>245</v>
      </c>
      <c r="S14" s="2" t="s">
        <v>144</v>
      </c>
      <c r="T14" s="2">
        <v>5.3</v>
      </c>
      <c r="U14" s="2" t="s">
        <v>144</v>
      </c>
      <c r="V14" s="2" t="s">
        <v>64</v>
      </c>
      <c r="W14" s="14" t="s">
        <v>259</v>
      </c>
    </row>
    <row r="15" spans="1:32">
      <c r="A15" s="1" t="s">
        <v>149</v>
      </c>
      <c r="B15" s="2" t="str">
        <f t="array" aca="1" ref="B15" ca="1">IFERROR(
  _xludf.XLOOKUP("*"&amp;SUBSTITUTE(TRIM(A15)," ","*")&amp;"*", 'RENO CONT'!$C:$C, 'RENO CONT'!$D:$D, "", 2),
"")</f>
        <v/>
      </c>
      <c r="C15" s="2" t="str">
        <f t="array" aca="1" ref="C15" ca="1">IFERROR(
  _xludf.XLOOKUP("*"&amp;SUBSTITUTE(TRIM(A15)," ","*")&amp;"*", 'RENO FINAN'!$A:$A, 'RENO FINAN'!$C:$C, "", 2),
"")</f>
        <v/>
      </c>
      <c r="D15" s="1" t="s">
        <v>265</v>
      </c>
      <c r="E15" s="2" t="s">
        <v>266</v>
      </c>
      <c r="F15" s="1" t="s">
        <v>219</v>
      </c>
      <c r="G15" s="2" t="s">
        <v>156</v>
      </c>
      <c r="H15" s="1" t="s">
        <v>267</v>
      </c>
      <c r="I15" s="2" t="s">
        <v>268</v>
      </c>
      <c r="J15" s="1" t="s">
        <v>253</v>
      </c>
      <c r="K15" s="68" t="s">
        <v>269</v>
      </c>
      <c r="L15" s="1" t="s">
        <v>64</v>
      </c>
      <c r="M15" s="1" t="s">
        <v>255</v>
      </c>
      <c r="N15" s="2" t="s">
        <v>144</v>
      </c>
      <c r="O15" s="1" t="s">
        <v>270</v>
      </c>
      <c r="P15" s="2" t="s">
        <v>271</v>
      </c>
      <c r="Q15" s="2" t="s">
        <v>272</v>
      </c>
      <c r="R15" s="2" t="s">
        <v>245</v>
      </c>
      <c r="S15" s="2" t="s">
        <v>144</v>
      </c>
      <c r="T15" s="2">
        <v>6</v>
      </c>
      <c r="U15" s="2" t="s">
        <v>144</v>
      </c>
      <c r="V15" s="2" t="s">
        <v>64</v>
      </c>
      <c r="W15" s="14" t="s">
        <v>273</v>
      </c>
    </row>
    <row r="16" spans="1:32">
      <c r="A16" s="1" t="s">
        <v>274</v>
      </c>
      <c r="B16" s="2" t="str">
        <f t="array" aca="1" ref="B16" ca="1">IFERROR(
  _xludf.XLOOKUP("*"&amp;SUBSTITUTE(TRIM(A16)," ","*")&amp;"*", 'RENO CONT'!$C:$C, 'RENO CONT'!$D:$D, "", 2),
"")</f>
        <v/>
      </c>
      <c r="C16" s="2" t="str">
        <f t="array" aca="1" ref="C16" ca="1">IFERROR(
  _xludf.XLOOKUP("*"&amp;SUBSTITUTE(TRIM(A16)," ","*")&amp;"*", 'RENO FINAN'!$A:$A, 'RENO FINAN'!$C:$C, "", 2),
"")</f>
        <v/>
      </c>
      <c r="D16" s="1" t="s">
        <v>281</v>
      </c>
      <c r="E16" s="2" t="s">
        <v>282</v>
      </c>
      <c r="F16" s="1" t="s">
        <v>219</v>
      </c>
      <c r="G16" s="2" t="s">
        <v>156</v>
      </c>
      <c r="H16" s="1" t="s">
        <v>283</v>
      </c>
      <c r="I16" s="2" t="s">
        <v>284</v>
      </c>
      <c r="J16" s="1" t="s">
        <v>285</v>
      </c>
      <c r="K16" s="68" t="s">
        <v>286</v>
      </c>
      <c r="L16" s="1" t="s">
        <v>64</v>
      </c>
      <c r="M16" s="1" t="s">
        <v>287</v>
      </c>
      <c r="N16" s="2" t="s">
        <v>144</v>
      </c>
      <c r="O16" s="1" t="s">
        <v>270</v>
      </c>
      <c r="P16" s="2" t="s">
        <v>271</v>
      </c>
      <c r="Q16" s="2" t="s">
        <v>288</v>
      </c>
      <c r="R16" s="2" t="s">
        <v>289</v>
      </c>
      <c r="S16" s="2" t="s">
        <v>290</v>
      </c>
      <c r="T16" s="2">
        <v>6</v>
      </c>
      <c r="U16" s="2" t="s">
        <v>144</v>
      </c>
      <c r="V16" s="2" t="s">
        <v>291</v>
      </c>
      <c r="W16" s="14" t="s">
        <v>292</v>
      </c>
    </row>
    <row r="17" spans="1:32">
      <c r="A17" s="1" t="s">
        <v>52</v>
      </c>
      <c r="B17" s="2" t="str">
        <f t="array" aca="1" ref="B17" ca="1">IFERROR(
  _xludf.XLOOKUP("*"&amp;SUBSTITUTE(TRIM(A17)," ","*")&amp;"*", 'RENO CONT'!$C:$C, 'RENO CONT'!$D:$D, "", 2),
"")</f>
        <v/>
      </c>
      <c r="C17" s="2" t="str">
        <f t="array" aca="1" ref="C17" ca="1">IFERROR(
  _xludf.XLOOKUP("*"&amp;SUBSTITUTE(TRIM(A17)," ","*")&amp;"*", 'RENO FINAN'!$A:$A, 'RENO FINAN'!$C:$C, "", 2),
"")</f>
        <v/>
      </c>
      <c r="D17" s="1" t="s">
        <v>296</v>
      </c>
      <c r="E17" s="2" t="s">
        <v>155</v>
      </c>
      <c r="F17" s="1" t="s">
        <v>297</v>
      </c>
      <c r="G17" s="2" t="s">
        <v>54</v>
      </c>
      <c r="H17" s="1" t="s">
        <v>299</v>
      </c>
      <c r="I17" s="2" t="s">
        <v>300</v>
      </c>
      <c r="J17" s="1" t="s">
        <v>301</v>
      </c>
      <c r="K17" s="68" t="s">
        <v>302</v>
      </c>
      <c r="L17" s="1" t="s">
        <v>62</v>
      </c>
      <c r="M17" s="1" t="s">
        <v>303</v>
      </c>
      <c r="N17" s="2" t="s">
        <v>64</v>
      </c>
      <c r="O17" s="1" t="s">
        <v>65</v>
      </c>
      <c r="P17" s="2" t="s">
        <v>305</v>
      </c>
      <c r="Q17" s="2" t="s">
        <v>68</v>
      </c>
      <c r="R17" s="2" t="s">
        <v>245</v>
      </c>
      <c r="S17" s="2" t="s">
        <v>64</v>
      </c>
      <c r="T17" s="2">
        <v>5.4</v>
      </c>
      <c r="U17" s="2" t="s">
        <v>64</v>
      </c>
      <c r="V17" s="2" t="s">
        <v>71</v>
      </c>
      <c r="W17" s="14" t="s">
        <v>307</v>
      </c>
      <c r="AF17" s="1" t="s">
        <v>308</v>
      </c>
    </row>
    <row r="18" spans="1:32">
      <c r="A18" s="1" t="s">
        <v>179</v>
      </c>
      <c r="B18" s="2" t="str">
        <f t="array" aca="1" ref="B18" ca="1">IFERROR(
  _xludf.XLOOKUP("*"&amp;SUBSTITUTE(TRIM(A18)," ","*")&amp;"*", 'RENO CONT'!$C:$C, 'RENO CONT'!$D:$D, "", 2),
"")</f>
        <v/>
      </c>
      <c r="C18" s="2" t="str">
        <f t="array" aca="1" ref="C18" ca="1">IFERROR(
  _xludf.XLOOKUP("*"&amp;SUBSTITUTE(TRIM(A18)," ","*")&amp;"*", 'RENO FINAN'!$A:$A, 'RENO FINAN'!$C:$C, "", 2),
"")</f>
        <v/>
      </c>
      <c r="D18" s="1" t="s">
        <v>296</v>
      </c>
      <c r="E18" s="2" t="s">
        <v>53</v>
      </c>
      <c r="F18" s="1" t="s">
        <v>98</v>
      </c>
      <c r="G18" s="2" t="s">
        <v>156</v>
      </c>
      <c r="H18" s="1" t="s">
        <v>299</v>
      </c>
      <c r="I18" s="2" t="s">
        <v>300</v>
      </c>
      <c r="J18" s="1" t="s">
        <v>301</v>
      </c>
      <c r="K18" s="68" t="s">
        <v>302</v>
      </c>
      <c r="L18" s="1" t="s">
        <v>62</v>
      </c>
      <c r="M18" s="1" t="s">
        <v>313</v>
      </c>
      <c r="N18" s="2" t="s">
        <v>64</v>
      </c>
      <c r="O18" s="1" t="s">
        <v>65</v>
      </c>
      <c r="P18" s="2" t="s">
        <v>305</v>
      </c>
      <c r="Q18" s="2" t="s">
        <v>68</v>
      </c>
      <c r="R18" s="2" t="s">
        <v>245</v>
      </c>
      <c r="S18" s="2" t="s">
        <v>64</v>
      </c>
      <c r="T18" s="2">
        <v>5.4</v>
      </c>
      <c r="U18" s="2" t="s">
        <v>64</v>
      </c>
      <c r="V18" s="2" t="s">
        <v>71</v>
      </c>
      <c r="W18" s="16" t="s">
        <v>314</v>
      </c>
    </row>
    <row r="19" spans="1:32">
      <c r="A19" s="1" t="s">
        <v>183</v>
      </c>
      <c r="B19" s="2" t="str">
        <f t="array" aca="1" ref="B19" ca="1">IFERROR(
  _xludf.XLOOKUP("*"&amp;SUBSTITUTE(TRIM(A19)," ","*")&amp;"*", 'RENO CONT'!$C:$C, 'RENO CONT'!$D:$D, "", 2),
"")</f>
        <v/>
      </c>
      <c r="C19" s="2" t="str">
        <f t="array" aca="1" ref="C19" ca="1">IFERROR(
  _xludf.XLOOKUP("*"&amp;SUBSTITUTE(TRIM(A19)," ","*")&amp;"*", 'RENO FINAN'!$A:$A, 'RENO FINAN'!$C:$C, "", 2),
"")</f>
        <v/>
      </c>
      <c r="D19" s="1" t="s">
        <v>321</v>
      </c>
      <c r="E19" s="2" t="s">
        <v>322</v>
      </c>
      <c r="F19" s="1" t="s">
        <v>297</v>
      </c>
      <c r="G19" s="2" t="s">
        <v>220</v>
      </c>
      <c r="H19" s="1" t="s">
        <v>299</v>
      </c>
      <c r="I19" s="2" t="s">
        <v>323</v>
      </c>
      <c r="J19" s="1" t="s">
        <v>301</v>
      </c>
      <c r="K19" s="68" t="s">
        <v>324</v>
      </c>
      <c r="L19" s="1" t="s">
        <v>48</v>
      </c>
      <c r="M19" s="1" t="s">
        <v>325</v>
      </c>
      <c r="N19" s="2" t="s">
        <v>64</v>
      </c>
      <c r="O19" s="1" t="s">
        <v>65</v>
      </c>
      <c r="P19" s="2" t="s">
        <v>305</v>
      </c>
      <c r="Q19" s="2" t="s">
        <v>68</v>
      </c>
      <c r="R19" s="2" t="s">
        <v>326</v>
      </c>
      <c r="S19" s="2" t="s">
        <v>64</v>
      </c>
      <c r="T19" s="13">
        <v>5.4</v>
      </c>
      <c r="U19" s="13" t="s">
        <v>144</v>
      </c>
      <c r="V19" s="2" t="s">
        <v>71</v>
      </c>
      <c r="W19" s="8" t="s">
        <v>327</v>
      </c>
    </row>
    <row r="20" spans="1:32">
      <c r="A20" s="1" t="s">
        <v>328</v>
      </c>
      <c r="B20" s="2" t="str">
        <f t="array" aca="1" ref="B20" ca="1">IFERROR(
  _xludf.XLOOKUP("*"&amp;SUBSTITUTE(TRIM(A20)," ","*")&amp;"*", 'RENO CONT'!$C:$C, 'RENO CONT'!$D:$D, "", 2),
"")</f>
        <v/>
      </c>
      <c r="C20" s="2" t="str">
        <f t="array" aca="1" ref="C20" ca="1">IFERROR(
  _xludf.XLOOKUP("*"&amp;SUBSTITUTE(TRIM(A20)," ","*")&amp;"*", 'RENO FINAN'!$A:$A, 'RENO FINAN'!$C:$C, "", 2),
"")</f>
        <v/>
      </c>
      <c r="D20" s="1" t="s">
        <v>321</v>
      </c>
      <c r="E20" s="2" t="s">
        <v>322</v>
      </c>
      <c r="F20" s="1" t="s">
        <v>98</v>
      </c>
      <c r="G20" s="2" t="s">
        <v>54</v>
      </c>
      <c r="H20" s="1" t="s">
        <v>299</v>
      </c>
      <c r="I20" s="2" t="s">
        <v>323</v>
      </c>
      <c r="J20" s="1" t="s">
        <v>301</v>
      </c>
      <c r="K20" s="68" t="s">
        <v>324</v>
      </c>
      <c r="L20" s="1" t="s">
        <v>48</v>
      </c>
      <c r="M20" s="1" t="s">
        <v>332</v>
      </c>
      <c r="N20" s="2" t="s">
        <v>64</v>
      </c>
      <c r="O20" s="1" t="s">
        <v>65</v>
      </c>
      <c r="P20" s="2" t="s">
        <v>336</v>
      </c>
      <c r="Q20" s="2" t="s">
        <v>68</v>
      </c>
      <c r="R20" s="2" t="s">
        <v>245</v>
      </c>
      <c r="S20" s="2" t="s">
        <v>64</v>
      </c>
      <c r="T20" s="13">
        <v>5.4</v>
      </c>
      <c r="U20" s="13" t="s">
        <v>64</v>
      </c>
      <c r="V20" s="2" t="s">
        <v>71</v>
      </c>
      <c r="W20" s="8" t="s">
        <v>48</v>
      </c>
    </row>
    <row r="21" spans="1:32" ht="15.75" customHeight="1">
      <c r="A21" s="1" t="s">
        <v>337</v>
      </c>
      <c r="B21" s="2" t="str">
        <f t="array" aca="1" ref="B21" ca="1">IFERROR(
  _xludf.XLOOKUP("*"&amp;SUBSTITUTE(TRIM(A21)," ","*")&amp;"*", 'RENO CONT'!$C:$C, 'RENO CONT'!$D:$D, "", 2),
"")</f>
        <v/>
      </c>
      <c r="C21" s="2" t="str">
        <f t="array" aca="1" ref="C21" ca="1">IFERROR(
  _xludf.XLOOKUP("*"&amp;SUBSTITUTE(TRIM(A21)," ","*")&amp;"*", 'RENO FINAN'!$A:$A, 'RENO FINAN'!$C:$C, "", 2),
"")</f>
        <v/>
      </c>
      <c r="D21" s="1" t="s">
        <v>321</v>
      </c>
      <c r="E21" s="2" t="s">
        <v>341</v>
      </c>
      <c r="F21" s="1" t="s">
        <v>342</v>
      </c>
      <c r="G21" s="2" t="s">
        <v>156</v>
      </c>
      <c r="H21" s="1" t="s">
        <v>343</v>
      </c>
      <c r="I21" s="2" t="s">
        <v>344</v>
      </c>
      <c r="J21" s="1" t="s">
        <v>345</v>
      </c>
      <c r="K21" s="68" t="s">
        <v>346</v>
      </c>
      <c r="L21" s="1" t="s">
        <v>347</v>
      </c>
      <c r="M21" s="1" t="s">
        <v>348</v>
      </c>
      <c r="N21" s="2" t="s">
        <v>144</v>
      </c>
      <c r="O21" s="1" t="s">
        <v>65</v>
      </c>
      <c r="P21" s="2" t="s">
        <v>336</v>
      </c>
      <c r="Q21" s="2" t="s">
        <v>68</v>
      </c>
      <c r="R21" s="2" t="s">
        <v>349</v>
      </c>
      <c r="S21" s="2" t="s">
        <v>64</v>
      </c>
      <c r="T21" s="2">
        <v>5.3</v>
      </c>
      <c r="U21" s="2" t="s">
        <v>144</v>
      </c>
      <c r="V21" s="2" t="s">
        <v>71</v>
      </c>
      <c r="W21" s="8" t="s">
        <v>351</v>
      </c>
    </row>
    <row r="22" spans="1:32" ht="15.75" customHeight="1">
      <c r="A22" s="1" t="s">
        <v>353</v>
      </c>
      <c r="B22" s="2" t="str">
        <f t="array" aca="1" ref="B22" ca="1">IFERROR(
  _xludf.XLOOKUP("*"&amp;SUBSTITUTE(TRIM(A22)," ","*")&amp;"*", 'RENO CONT'!$C:$C, 'RENO CONT'!$D:$D, "", 2),
"")</f>
        <v/>
      </c>
      <c r="C22" s="2" t="str">
        <f t="array" aca="1" ref="C22" ca="1">IFERROR(
  _xludf.XLOOKUP("*"&amp;SUBSTITUTE(TRIM(A22)," ","*")&amp;"*", 'RENO FINAN'!$A:$A, 'RENO FINAN'!$C:$C, "", 2),
"")</f>
        <v/>
      </c>
      <c r="D22" s="1" t="s">
        <v>356</v>
      </c>
      <c r="E22" s="2" t="s">
        <v>357</v>
      </c>
      <c r="F22" s="15" t="s">
        <v>358</v>
      </c>
      <c r="G22" s="2" t="s">
        <v>156</v>
      </c>
      <c r="H22" s="15" t="s">
        <v>360</v>
      </c>
      <c r="I22" s="2" t="s">
        <v>361</v>
      </c>
      <c r="J22" s="1" t="s">
        <v>345</v>
      </c>
      <c r="K22" s="68" t="s">
        <v>346</v>
      </c>
      <c r="L22" s="1" t="s">
        <v>347</v>
      </c>
      <c r="M22" s="1" t="s">
        <v>363</v>
      </c>
      <c r="N22" s="2" t="s">
        <v>144</v>
      </c>
      <c r="O22" s="1" t="s">
        <v>65</v>
      </c>
      <c r="P22" s="2" t="s">
        <v>336</v>
      </c>
      <c r="Q22" s="2" t="s">
        <v>68</v>
      </c>
      <c r="R22" s="2" t="s">
        <v>349</v>
      </c>
      <c r="S22" s="2" t="s">
        <v>64</v>
      </c>
      <c r="T22" s="2">
        <v>5.4</v>
      </c>
      <c r="U22" s="2" t="s">
        <v>144</v>
      </c>
      <c r="V22" s="2" t="s">
        <v>7</v>
      </c>
      <c r="W22" s="8" t="s">
        <v>351</v>
      </c>
    </row>
    <row r="23" spans="1:32" ht="15.75" customHeight="1">
      <c r="A23" s="1" t="s">
        <v>151</v>
      </c>
      <c r="B23" s="2" t="str">
        <f t="array" aca="1" ref="B23" ca="1">IFERROR(
  _xludf.XLOOKUP("*"&amp;SUBSTITUTE(TRIM(A23)," ","*")&amp;"*", 'RENO CONT'!$C:$C, 'RENO CONT'!$D:$D, "", 2),
"")</f>
        <v/>
      </c>
      <c r="C23" s="2" t="str">
        <f t="array" aca="1" ref="C23" ca="1">IFERROR(
  _xludf.XLOOKUP("*"&amp;SUBSTITUTE(TRIM(A23)," ","*")&amp;"*", 'RENO FINAN'!$A:$A, 'RENO FINAN'!$C:$C, "", 2),
"")</f>
        <v/>
      </c>
      <c r="D23" s="1" t="s">
        <v>367</v>
      </c>
      <c r="E23" s="2" t="s">
        <v>368</v>
      </c>
      <c r="F23" s="1" t="s">
        <v>342</v>
      </c>
      <c r="G23" s="2" t="s">
        <v>156</v>
      </c>
      <c r="H23" s="1" t="s">
        <v>369</v>
      </c>
      <c r="I23" s="2" t="s">
        <v>370</v>
      </c>
      <c r="J23" s="1" t="s">
        <v>117</v>
      </c>
      <c r="K23" s="68" t="s">
        <v>346</v>
      </c>
      <c r="L23" s="1" t="s">
        <v>48</v>
      </c>
      <c r="M23" s="1" t="s">
        <v>372</v>
      </c>
      <c r="N23" s="2" t="s">
        <v>144</v>
      </c>
      <c r="O23" s="1" t="s">
        <v>161</v>
      </c>
      <c r="P23" s="2" t="s">
        <v>336</v>
      </c>
      <c r="Q23" s="2" t="s">
        <v>68</v>
      </c>
      <c r="R23" s="2" t="s">
        <v>373</v>
      </c>
      <c r="S23" s="2" t="s">
        <v>64</v>
      </c>
      <c r="T23" s="13">
        <v>5.4</v>
      </c>
      <c r="U23" s="13" t="s">
        <v>144</v>
      </c>
      <c r="V23" s="2" t="s">
        <v>7</v>
      </c>
      <c r="W23" s="1" t="s">
        <v>246</v>
      </c>
    </row>
    <row r="24" spans="1:32" ht="15.75" customHeight="1">
      <c r="A24" s="1" t="s">
        <v>166</v>
      </c>
      <c r="B24" s="2" t="str">
        <f t="array" aca="1" ref="B24" ca="1">IFERROR(
  _xludf.XLOOKUP("*"&amp;SUBSTITUTE(TRIM(A24)," ","*")&amp;"*", 'RENO CONT'!$C:$C, 'RENO CONT'!$D:$D, "", 2),
"")</f>
        <v/>
      </c>
      <c r="C24" s="2" t="str">
        <f t="array" aca="1" ref="C24" ca="1">IFERROR(
  _xludf.XLOOKUP("*"&amp;SUBSTITUTE(TRIM(A24)," ","*")&amp;"*", 'RENO FINAN'!$A:$A, 'RENO FINAN'!$C:$C, "", 2),
"")</f>
        <v/>
      </c>
      <c r="D24" s="1" t="s">
        <v>379</v>
      </c>
      <c r="E24" s="2" t="s">
        <v>266</v>
      </c>
      <c r="F24" s="1" t="s">
        <v>342</v>
      </c>
      <c r="G24" s="2" t="s">
        <v>380</v>
      </c>
      <c r="H24" s="15" t="s">
        <v>381</v>
      </c>
      <c r="I24" s="2" t="s">
        <v>382</v>
      </c>
      <c r="J24" s="1" t="s">
        <v>383</v>
      </c>
      <c r="K24" s="68" t="s">
        <v>384</v>
      </c>
      <c r="L24" s="1" t="s">
        <v>64</v>
      </c>
      <c r="M24" s="1" t="s">
        <v>385</v>
      </c>
      <c r="N24" s="2" t="s">
        <v>144</v>
      </c>
      <c r="O24" s="1" t="s">
        <v>161</v>
      </c>
      <c r="P24" s="2" t="s">
        <v>336</v>
      </c>
      <c r="Q24" s="2" t="s">
        <v>68</v>
      </c>
      <c r="R24" s="2" t="s">
        <v>373</v>
      </c>
      <c r="S24" s="2" t="s">
        <v>144</v>
      </c>
      <c r="T24" s="2">
        <v>6</v>
      </c>
      <c r="U24" s="2" t="s">
        <v>386</v>
      </c>
      <c r="V24" s="2" t="s">
        <v>7</v>
      </c>
      <c r="W24" s="8" t="s">
        <v>273</v>
      </c>
    </row>
    <row r="25" spans="1:32" ht="15.75" customHeight="1">
      <c r="A25" s="1" t="s">
        <v>218</v>
      </c>
      <c r="B25" s="2" t="str">
        <f t="array" aca="1" ref="B25" ca="1">IFERROR(
  _xludf.XLOOKUP("*"&amp;SUBSTITUTE(TRIM(A25)," ","*")&amp;"*", 'RENO CONT'!$C:$C, 'RENO CONT'!$D:$D, "", 2),
"")</f>
        <v/>
      </c>
      <c r="C25" s="2" t="str">
        <f t="array" aca="1" ref="C25" ca="1">IFERROR(
  _xludf.XLOOKUP("*"&amp;SUBSTITUTE(TRIM(A25)," ","*")&amp;"*", 'RENO FINAN'!$A:$A, 'RENO FINAN'!$C:$C, "", 2),
"")</f>
        <v/>
      </c>
      <c r="D25" s="1" t="s">
        <v>390</v>
      </c>
      <c r="E25" s="2" t="s">
        <v>391</v>
      </c>
      <c r="F25" s="1" t="s">
        <v>392</v>
      </c>
      <c r="G25" s="2" t="s">
        <v>54</v>
      </c>
      <c r="H25" s="1" t="s">
        <v>394</v>
      </c>
      <c r="I25" s="2" t="s">
        <v>395</v>
      </c>
      <c r="J25" s="1" t="s">
        <v>60</v>
      </c>
      <c r="K25" s="68" t="s">
        <v>346</v>
      </c>
      <c r="L25" s="1" t="s">
        <v>396</v>
      </c>
      <c r="M25" s="1" t="s">
        <v>397</v>
      </c>
      <c r="N25" s="2" t="s">
        <v>144</v>
      </c>
      <c r="O25" s="1" t="s">
        <v>65</v>
      </c>
      <c r="P25" s="2" t="s">
        <v>67</v>
      </c>
      <c r="Q25" s="2" t="s">
        <v>120</v>
      </c>
      <c r="R25" s="2" t="s">
        <v>398</v>
      </c>
      <c r="S25" s="2" t="s">
        <v>64</v>
      </c>
      <c r="T25" s="13">
        <v>5</v>
      </c>
      <c r="U25" s="13" t="s">
        <v>144</v>
      </c>
      <c r="V25" s="2" t="s">
        <v>71</v>
      </c>
      <c r="W25" s="8" t="s">
        <v>399</v>
      </c>
    </row>
    <row r="26" spans="1:32" ht="15.75" customHeight="1">
      <c r="A26" s="1" t="s">
        <v>213</v>
      </c>
      <c r="B26" s="2" t="str">
        <f t="array" aca="1" ref="B26" ca="1">IFERROR(
  _xludf.XLOOKUP("*"&amp;SUBSTITUTE(TRIM(A26)," ","*")&amp;"*", 'RENO CONT'!$C:$C, 'RENO CONT'!$D:$D, "", 2),
"")</f>
        <v/>
      </c>
      <c r="C26" s="2" t="str">
        <f t="array" aca="1" ref="C26" ca="1">IFERROR(
  _xludf.XLOOKUP("*"&amp;SUBSTITUTE(TRIM(A26)," ","*")&amp;"*", 'RENO FINAN'!$A:$A, 'RENO FINAN'!$C:$C, "", 2),
"")</f>
        <v/>
      </c>
      <c r="D26" s="1" t="s">
        <v>390</v>
      </c>
      <c r="E26" s="2" t="s">
        <v>53</v>
      </c>
      <c r="F26" s="1" t="s">
        <v>392</v>
      </c>
      <c r="G26" s="2" t="s">
        <v>99</v>
      </c>
      <c r="H26" s="1" t="s">
        <v>403</v>
      </c>
      <c r="I26" s="2" t="s">
        <v>395</v>
      </c>
      <c r="J26" s="1" t="s">
        <v>117</v>
      </c>
      <c r="K26" s="68" t="s">
        <v>384</v>
      </c>
      <c r="L26" s="1" t="s">
        <v>396</v>
      </c>
      <c r="M26" s="1" t="s">
        <v>397</v>
      </c>
      <c r="N26" s="2" t="s">
        <v>144</v>
      </c>
      <c r="O26" s="1" t="s">
        <v>161</v>
      </c>
      <c r="P26" s="2" t="s">
        <v>305</v>
      </c>
      <c r="Q26" s="2" t="s">
        <v>120</v>
      </c>
      <c r="R26" s="2" t="s">
        <v>398</v>
      </c>
      <c r="S26" s="2" t="s">
        <v>64</v>
      </c>
      <c r="T26" s="2">
        <v>5.3</v>
      </c>
      <c r="U26" s="2" t="s">
        <v>144</v>
      </c>
      <c r="V26" s="2" t="s">
        <v>71</v>
      </c>
      <c r="W26" s="8" t="s">
        <v>399</v>
      </c>
    </row>
    <row r="27" spans="1:32" ht="15.75" customHeight="1">
      <c r="A27" s="1" t="s">
        <v>224</v>
      </c>
      <c r="B27" s="2" t="str">
        <f t="array" aca="1" ref="B27" ca="1">IFERROR(
  _xludf.XLOOKUP("*"&amp;SUBSTITUTE(TRIM(A27)," ","*")&amp;"*", 'RENO CONT'!$C:$C, 'RENO CONT'!$D:$D, "", 2),
"")</f>
        <v/>
      </c>
      <c r="C27" s="2" t="str">
        <f t="array" aca="1" ref="C27" ca="1">IFERROR(
  _xludf.XLOOKUP("*"&amp;SUBSTITUTE(TRIM(A27)," ","*")&amp;"*", 'RENO FINAN'!$A:$A, 'RENO FINAN'!$C:$C, "", 2),
"")</f>
        <v/>
      </c>
      <c r="D27" s="1" t="s">
        <v>390</v>
      </c>
      <c r="E27" s="2" t="s">
        <v>53</v>
      </c>
      <c r="F27" s="1" t="s">
        <v>342</v>
      </c>
      <c r="G27" s="2" t="s">
        <v>99</v>
      </c>
      <c r="H27" s="1" t="s">
        <v>403</v>
      </c>
      <c r="I27" s="2" t="s">
        <v>395</v>
      </c>
      <c r="J27" s="1" t="s">
        <v>117</v>
      </c>
      <c r="K27" s="68" t="s">
        <v>384</v>
      </c>
      <c r="L27" s="1" t="s">
        <v>396</v>
      </c>
      <c r="M27" s="1" t="s">
        <v>397</v>
      </c>
      <c r="N27" s="2" t="s">
        <v>144</v>
      </c>
      <c r="O27" s="1" t="s">
        <v>161</v>
      </c>
      <c r="P27" s="2" t="s">
        <v>305</v>
      </c>
      <c r="Q27" s="2" t="s">
        <v>414</v>
      </c>
      <c r="R27" s="2" t="s">
        <v>398</v>
      </c>
      <c r="S27" s="2" t="s">
        <v>64</v>
      </c>
      <c r="T27" s="13">
        <v>5.3</v>
      </c>
      <c r="U27" s="13" t="s">
        <v>144</v>
      </c>
      <c r="V27" s="2" t="s">
        <v>71</v>
      </c>
      <c r="W27" s="8" t="s">
        <v>399</v>
      </c>
    </row>
    <row r="28" spans="1:32" ht="15.75" customHeight="1">
      <c r="A28" s="1" t="s">
        <v>242</v>
      </c>
      <c r="B28" s="2" t="str">
        <f t="array" aca="1" ref="B28" ca="1">IFERROR(
  _xludf.XLOOKUP("*"&amp;SUBSTITUTE(TRIM(A28)," ","*")&amp;"*", 'RENO CONT'!$C:$C, 'RENO CONT'!$D:$D, "", 2),
"")</f>
        <v/>
      </c>
      <c r="C28" s="2" t="str">
        <f t="array" aca="1" ref="C28" ca="1">IFERROR(
  _xludf.XLOOKUP("*"&amp;SUBSTITUTE(TRIM(A28)," ","*")&amp;"*", 'RENO FINAN'!$A:$A, 'RENO FINAN'!$C:$C, "", 2),
"")</f>
        <v/>
      </c>
      <c r="D28" s="1" t="s">
        <v>418</v>
      </c>
      <c r="E28" s="2" t="s">
        <v>419</v>
      </c>
      <c r="F28" s="15" t="s">
        <v>420</v>
      </c>
      <c r="G28" s="2" t="s">
        <v>99</v>
      </c>
      <c r="H28" s="1" t="s">
        <v>403</v>
      </c>
      <c r="I28" s="2" t="s">
        <v>395</v>
      </c>
      <c r="J28" s="1" t="s">
        <v>60</v>
      </c>
      <c r="K28" s="68" t="s">
        <v>384</v>
      </c>
      <c r="L28" s="1" t="s">
        <v>396</v>
      </c>
      <c r="M28" s="1" t="s">
        <v>397</v>
      </c>
      <c r="N28" s="2" t="s">
        <v>64</v>
      </c>
      <c r="O28" s="1" t="s">
        <v>65</v>
      </c>
      <c r="P28" s="2" t="s">
        <v>67</v>
      </c>
      <c r="Q28" s="2" t="s">
        <v>424</v>
      </c>
      <c r="R28" s="2" t="s">
        <v>398</v>
      </c>
      <c r="S28" s="2" t="s">
        <v>64</v>
      </c>
      <c r="T28" s="13">
        <v>5.4</v>
      </c>
      <c r="U28" s="13" t="s">
        <v>144</v>
      </c>
      <c r="V28" s="2" t="s">
        <v>71</v>
      </c>
      <c r="W28" s="8" t="s">
        <v>399</v>
      </c>
    </row>
    <row r="29" spans="1:32" ht="15.75" customHeight="1">
      <c r="A29" s="1" t="s">
        <v>234</v>
      </c>
      <c r="B29" s="2" t="str">
        <f t="array" aca="1" ref="B29" ca="1">IFERROR(
  _xludf.XLOOKUP("*"&amp;SUBSTITUTE(TRIM(A29)," ","*")&amp;"*", 'RENO CONT'!$C:$C, 'RENO CONT'!$D:$D, "", 2),
"")</f>
        <v/>
      </c>
      <c r="C29" s="2" t="str">
        <f t="array" aca="1" ref="C29" ca="1">IFERROR(
  _xludf.XLOOKUP("*"&amp;SUBSTITUTE(TRIM(A29)," ","*")&amp;"*", 'RENO FINAN'!$A:$A, 'RENO FINAN'!$C:$C, "", 2),
"")</f>
        <v/>
      </c>
      <c r="D29" s="1" t="s">
        <v>430</v>
      </c>
      <c r="E29" s="2" t="s">
        <v>431</v>
      </c>
      <c r="F29" s="1" t="s">
        <v>433</v>
      </c>
      <c r="G29" s="2" t="s">
        <v>99</v>
      </c>
      <c r="H29" s="1" t="s">
        <v>403</v>
      </c>
      <c r="I29" s="2" t="s">
        <v>434</v>
      </c>
      <c r="J29" s="1" t="s">
        <v>117</v>
      </c>
      <c r="K29" s="68" t="s">
        <v>384</v>
      </c>
      <c r="L29" s="1" t="s">
        <v>396</v>
      </c>
      <c r="M29" s="1" t="s">
        <v>397</v>
      </c>
      <c r="N29" s="2" t="s">
        <v>144</v>
      </c>
      <c r="O29" s="1" t="s">
        <v>161</v>
      </c>
      <c r="P29" s="2" t="s">
        <v>162</v>
      </c>
      <c r="Q29" s="2" t="s">
        <v>435</v>
      </c>
      <c r="R29" s="2" t="s">
        <v>436</v>
      </c>
      <c r="S29" s="2" t="s">
        <v>64</v>
      </c>
      <c r="T29" s="13">
        <v>5.4</v>
      </c>
      <c r="U29" s="13" t="s">
        <v>144</v>
      </c>
      <c r="V29" s="2" t="s">
        <v>71</v>
      </c>
      <c r="W29" s="8" t="s">
        <v>399</v>
      </c>
    </row>
    <row r="30" spans="1:32" ht="15.75" customHeight="1">
      <c r="A30" s="1" t="s">
        <v>248</v>
      </c>
      <c r="B30" s="2" t="str">
        <f t="array" aca="1" ref="B30" ca="1">IFERROR(
  _xludf.XLOOKUP("*"&amp;SUBSTITUTE(TRIM(A30)," ","*")&amp;"*", 'RENO CONT'!$C:$C, 'RENO CONT'!$D:$D, "", 2),
"")</f>
        <v/>
      </c>
      <c r="C30" s="2" t="str">
        <f t="array" aca="1" ref="C30" ca="1">IFERROR(
  _xludf.XLOOKUP("*"&amp;SUBSTITUTE(TRIM(A30)," ","*")&amp;"*", 'RENO FINAN'!$A:$A, 'RENO FINAN'!$C:$C, "", 2),
"")</f>
        <v/>
      </c>
      <c r="D30" s="1" t="s">
        <v>430</v>
      </c>
      <c r="E30" s="2" t="s">
        <v>441</v>
      </c>
      <c r="F30" s="1" t="s">
        <v>442</v>
      </c>
      <c r="G30" s="2" t="s">
        <v>99</v>
      </c>
      <c r="H30" s="1" t="s">
        <v>157</v>
      </c>
      <c r="I30" s="2" t="s">
        <v>158</v>
      </c>
      <c r="J30" s="1" t="s">
        <v>117</v>
      </c>
      <c r="K30" s="68" t="s">
        <v>444</v>
      </c>
      <c r="M30" s="1" t="s">
        <v>445</v>
      </c>
      <c r="N30" s="2" t="s">
        <v>144</v>
      </c>
      <c r="O30" s="1" t="s">
        <v>161</v>
      </c>
      <c r="P30" s="2" t="s">
        <v>336</v>
      </c>
      <c r="Q30" s="2" t="s">
        <v>120</v>
      </c>
      <c r="R30" s="2" t="s">
        <v>398</v>
      </c>
      <c r="S30" s="2" t="s">
        <v>64</v>
      </c>
      <c r="T30" s="2">
        <v>5.0999999999999996</v>
      </c>
      <c r="U30" s="2" t="s">
        <v>144</v>
      </c>
      <c r="V30" s="2" t="s">
        <v>7</v>
      </c>
      <c r="W30" s="8" t="s">
        <v>446</v>
      </c>
    </row>
    <row r="31" spans="1:32" ht="15.75" customHeight="1">
      <c r="A31" s="1" t="s">
        <v>254</v>
      </c>
      <c r="B31" s="2" t="str">
        <f t="array" aca="1" ref="B31" ca="1">IFERROR(
  _xludf.XLOOKUP("*"&amp;SUBSTITUTE(TRIM(A31)," ","*")&amp;"*", 'RENO CONT'!$C:$C, 'RENO CONT'!$D:$D, "", 2),
"")</f>
        <v/>
      </c>
      <c r="C31" s="2" t="str">
        <f t="array" aca="1" ref="C31" ca="1">IFERROR(
  _xludf.XLOOKUP("*"&amp;SUBSTITUTE(TRIM(A31)," ","*")&amp;"*", 'RENO FINAN'!$A:$A, 'RENO FINAN'!$C:$C, "", 2),
"")</f>
        <v/>
      </c>
      <c r="D31" s="1" t="s">
        <v>450</v>
      </c>
      <c r="E31" s="2" t="s">
        <v>155</v>
      </c>
      <c r="F31" s="1" t="s">
        <v>48</v>
      </c>
      <c r="G31" s="2" t="s">
        <v>220</v>
      </c>
      <c r="H31" s="1" t="s">
        <v>451</v>
      </c>
      <c r="I31" s="2" t="s">
        <v>452</v>
      </c>
      <c r="J31" s="1" t="s">
        <v>453</v>
      </c>
      <c r="K31" s="68" t="s">
        <v>454</v>
      </c>
      <c r="L31" s="1" t="s">
        <v>396</v>
      </c>
      <c r="M31" s="1" t="s">
        <v>397</v>
      </c>
      <c r="N31" s="2" t="s">
        <v>64</v>
      </c>
      <c r="O31" s="1" t="s">
        <v>455</v>
      </c>
      <c r="P31" s="2" t="s">
        <v>305</v>
      </c>
      <c r="Q31" s="2" t="s">
        <v>147</v>
      </c>
      <c r="R31" s="2" t="s">
        <v>456</v>
      </c>
      <c r="S31" s="2" t="s">
        <v>64</v>
      </c>
      <c r="T31" s="13">
        <v>5.3</v>
      </c>
      <c r="U31" s="13" t="s">
        <v>64</v>
      </c>
      <c r="V31" s="2" t="s">
        <v>71</v>
      </c>
      <c r="W31" s="14" t="s">
        <v>459</v>
      </c>
    </row>
    <row r="32" spans="1:32" ht="15.75" customHeight="1">
      <c r="A32" s="1" t="s">
        <v>260</v>
      </c>
      <c r="B32" s="2" t="str">
        <f t="array" aca="1" ref="B32" ca="1">IFERROR(
  _xludf.XLOOKUP("*"&amp;SUBSTITUTE(TRIM(A32)," ","*")&amp;"*", 'RENO CONT'!$C:$C, 'RENO CONT'!$D:$D, "", 2),
"")</f>
        <v/>
      </c>
      <c r="C32" s="2" t="str">
        <f t="array" aca="1" ref="C32" ca="1">IFERROR(
  _xludf.XLOOKUP("*"&amp;SUBSTITUTE(TRIM(A32)," ","*")&amp;"*", 'RENO FINAN'!$A:$A, 'RENO FINAN'!$C:$C, "", 2),
"")</f>
        <v/>
      </c>
      <c r="D32" s="1" t="s">
        <v>450</v>
      </c>
      <c r="E32" s="2" t="s">
        <v>199</v>
      </c>
      <c r="F32" s="1" t="s">
        <v>297</v>
      </c>
      <c r="G32" s="2" t="s">
        <v>54</v>
      </c>
      <c r="H32" s="1" t="s">
        <v>462</v>
      </c>
      <c r="I32" s="2" t="s">
        <v>463</v>
      </c>
      <c r="J32" s="1" t="s">
        <v>453</v>
      </c>
      <c r="K32" s="68" t="s">
        <v>454</v>
      </c>
      <c r="L32" s="1" t="s">
        <v>347</v>
      </c>
      <c r="M32" s="1" t="s">
        <v>397</v>
      </c>
      <c r="N32" s="2" t="s">
        <v>64</v>
      </c>
      <c r="O32" s="1" t="s">
        <v>65</v>
      </c>
      <c r="P32" s="2" t="s">
        <v>305</v>
      </c>
      <c r="Q32" s="2" t="s">
        <v>147</v>
      </c>
      <c r="R32" s="2" t="s">
        <v>456</v>
      </c>
      <c r="S32" s="2" t="s">
        <v>64</v>
      </c>
      <c r="T32" s="13">
        <v>5.3</v>
      </c>
      <c r="U32" s="13" t="s">
        <v>64</v>
      </c>
      <c r="V32" s="2" t="s">
        <v>71</v>
      </c>
      <c r="W32" s="14" t="s">
        <v>466</v>
      </c>
    </row>
    <row r="33" spans="1:23" ht="15.75" customHeight="1">
      <c r="A33" s="1" t="s">
        <v>263</v>
      </c>
      <c r="B33" s="2" t="str">
        <f t="array" aca="1" ref="B33" ca="1">IFERROR(
  _xludf.XLOOKUP("*"&amp;SUBSTITUTE(TRIM(A33)," ","*")&amp;"*", 'RENO CONT'!$C:$C, 'RENO CONT'!$D:$D, "", 2),
"")</f>
        <v/>
      </c>
      <c r="C33" s="2" t="str">
        <f t="array" aca="1" ref="C33" ca="1">IFERROR(
  _xludf.XLOOKUP("*"&amp;SUBSTITUTE(TRIM(A33)," ","*")&amp;"*", 'RENO FINAN'!$A:$A, 'RENO FINAN'!$C:$C, "", 2),
"")</f>
        <v/>
      </c>
      <c r="D33" s="1" t="s">
        <v>469</v>
      </c>
      <c r="E33" s="2" t="s">
        <v>322</v>
      </c>
      <c r="F33" s="1" t="s">
        <v>297</v>
      </c>
      <c r="G33" s="2" t="s">
        <v>54</v>
      </c>
      <c r="H33" s="1" t="s">
        <v>470</v>
      </c>
      <c r="I33" s="2" t="s">
        <v>471</v>
      </c>
      <c r="J33" s="1" t="s">
        <v>472</v>
      </c>
      <c r="K33" s="68" t="s">
        <v>61</v>
      </c>
      <c r="L33" s="1" t="s">
        <v>347</v>
      </c>
      <c r="M33" s="1" t="s">
        <v>474</v>
      </c>
      <c r="N33" s="2" t="s">
        <v>144</v>
      </c>
      <c r="O33" s="1" t="s">
        <v>65</v>
      </c>
      <c r="P33" s="2" t="s">
        <v>475</v>
      </c>
      <c r="Q33" s="2" t="s">
        <v>147</v>
      </c>
      <c r="R33" s="2" t="s">
        <v>456</v>
      </c>
      <c r="S33" s="2" t="s">
        <v>64</v>
      </c>
      <c r="T33" s="13">
        <v>5.3</v>
      </c>
      <c r="U33" s="13" t="s">
        <v>64</v>
      </c>
      <c r="V33" s="2" t="s">
        <v>71</v>
      </c>
      <c r="W33" s="14" t="s">
        <v>477</v>
      </c>
    </row>
    <row r="34" spans="1:23" ht="15.75" customHeight="1">
      <c r="A34" s="1" t="s">
        <v>276</v>
      </c>
      <c r="B34" s="2" t="str">
        <f t="array" aca="1" ref="B34" ca="1">IFERROR(
  _xludf.XLOOKUP("*"&amp;SUBSTITUTE(TRIM(A34)," ","*")&amp;"*", 'RENO CONT'!$C:$C, 'RENO CONT'!$D:$D, "", 2),
"")</f>
        <v/>
      </c>
      <c r="C34" s="2" t="str">
        <f t="array" aca="1" ref="C34" ca="1">IFERROR(
  _xludf.XLOOKUP("*"&amp;SUBSTITUTE(TRIM(A34)," ","*")&amp;"*", 'RENO FINAN'!$A:$A, 'RENO FINAN'!$C:$C, "", 2),
"")</f>
        <v/>
      </c>
      <c r="D34" s="1" t="s">
        <v>469</v>
      </c>
      <c r="E34" s="2" t="s">
        <v>479</v>
      </c>
      <c r="F34" s="1" t="s">
        <v>297</v>
      </c>
      <c r="G34" s="2" t="s">
        <v>54</v>
      </c>
      <c r="H34" s="1" t="s">
        <v>462</v>
      </c>
      <c r="I34" s="2" t="s">
        <v>481</v>
      </c>
      <c r="J34" s="1" t="s">
        <v>453</v>
      </c>
      <c r="K34" s="68" t="s">
        <v>61</v>
      </c>
      <c r="L34" s="1" t="s">
        <v>483</v>
      </c>
      <c r="M34" s="1" t="s">
        <v>474</v>
      </c>
      <c r="N34" s="2" t="s">
        <v>64</v>
      </c>
      <c r="O34" s="1" t="s">
        <v>65</v>
      </c>
      <c r="P34" s="2" t="s">
        <v>475</v>
      </c>
      <c r="Q34" s="2" t="s">
        <v>147</v>
      </c>
      <c r="R34" s="2" t="s">
        <v>456</v>
      </c>
      <c r="S34" s="2" t="s">
        <v>64</v>
      </c>
      <c r="T34" s="13">
        <v>5.3</v>
      </c>
      <c r="U34" s="13" t="s">
        <v>144</v>
      </c>
      <c r="V34" s="2" t="s">
        <v>71</v>
      </c>
      <c r="W34" s="14" t="s">
        <v>485</v>
      </c>
    </row>
    <row r="35" spans="1:23" ht="15.75" customHeight="1">
      <c r="A35" s="1" t="s">
        <v>278</v>
      </c>
      <c r="B35" s="2" t="str">
        <f t="array" aca="1" ref="B35" ca="1">IFERROR(
  _xludf.XLOOKUP("*"&amp;SUBSTITUTE(TRIM(A35)," ","*")&amp;"*", 'RENO CONT'!$C:$C, 'RENO CONT'!$D:$D, "", 2),
"")</f>
        <v/>
      </c>
      <c r="C35" s="2" t="str">
        <f t="array" aca="1" ref="C35" ca="1">IFERROR(
  _xludf.XLOOKUP("*"&amp;SUBSTITUTE(TRIM(A35)," ","*")&amp;"*", 'RENO FINAN'!$A:$A, 'RENO FINAN'!$C:$C, "", 2),
"")</f>
        <v/>
      </c>
      <c r="D35" s="1" t="s">
        <v>469</v>
      </c>
      <c r="E35" s="2" t="s">
        <v>479</v>
      </c>
      <c r="F35" s="1" t="s">
        <v>489</v>
      </c>
      <c r="G35" s="2" t="s">
        <v>156</v>
      </c>
      <c r="H35" s="1" t="s">
        <v>490</v>
      </c>
      <c r="I35" s="2" t="s">
        <v>491</v>
      </c>
      <c r="J35" s="1" t="s">
        <v>492</v>
      </c>
      <c r="K35" s="68" t="s">
        <v>61</v>
      </c>
      <c r="L35" s="1" t="s">
        <v>347</v>
      </c>
      <c r="M35" s="1" t="s">
        <v>493</v>
      </c>
      <c r="N35" s="2" t="s">
        <v>144</v>
      </c>
      <c r="O35" s="1" t="s">
        <v>161</v>
      </c>
      <c r="P35" s="2" t="s">
        <v>475</v>
      </c>
      <c r="Q35" s="2" t="s">
        <v>147</v>
      </c>
      <c r="R35" s="2" t="s">
        <v>456</v>
      </c>
      <c r="S35" s="2" t="s">
        <v>64</v>
      </c>
      <c r="T35" s="13">
        <v>5.3</v>
      </c>
      <c r="U35" s="13" t="s">
        <v>144</v>
      </c>
      <c r="V35" s="2" t="s">
        <v>71</v>
      </c>
      <c r="W35" s="14" t="s">
        <v>494</v>
      </c>
    </row>
    <row r="36" spans="1:23" ht="15.75" customHeight="1">
      <c r="A36" s="1" t="s">
        <v>293</v>
      </c>
      <c r="B36" s="2" t="str">
        <f t="array" aca="1" ref="B36" ca="1">IFERROR(
  _xludf.XLOOKUP("*"&amp;SUBSTITUTE(TRIM(A36)," ","*")&amp;"*", 'RENO CONT'!$C:$C, 'RENO CONT'!$D:$D, "", 2),
"")</f>
        <v/>
      </c>
      <c r="C36" s="2" t="str">
        <f t="array" aca="1" ref="C36" ca="1">IFERROR(
  _xludf.XLOOKUP("*"&amp;SUBSTITUTE(TRIM(A36)," ","*")&amp;"*", 'RENO FINAN'!$A:$A, 'RENO FINAN'!$C:$C, "", 2),
"")</f>
        <v/>
      </c>
      <c r="D36" s="1" t="s">
        <v>469</v>
      </c>
      <c r="E36" s="2" t="s">
        <v>499</v>
      </c>
      <c r="F36" s="1" t="s">
        <v>489</v>
      </c>
      <c r="G36" s="2" t="s">
        <v>156</v>
      </c>
      <c r="H36" s="1" t="s">
        <v>500</v>
      </c>
      <c r="I36" s="2" t="s">
        <v>501</v>
      </c>
      <c r="J36" s="1" t="s">
        <v>492</v>
      </c>
      <c r="K36" s="68" t="s">
        <v>502</v>
      </c>
      <c r="L36" s="1" t="s">
        <v>64</v>
      </c>
      <c r="M36" s="1" t="s">
        <v>503</v>
      </c>
      <c r="N36" s="2" t="s">
        <v>144</v>
      </c>
      <c r="O36" s="1" t="s">
        <v>161</v>
      </c>
      <c r="P36" s="2" t="s">
        <v>504</v>
      </c>
      <c r="Q36" s="2" t="s">
        <v>147</v>
      </c>
      <c r="R36" s="2" t="s">
        <v>505</v>
      </c>
      <c r="S36" s="2" t="s">
        <v>64</v>
      </c>
      <c r="T36" s="13">
        <v>5.3</v>
      </c>
      <c r="U36" s="13" t="s">
        <v>144</v>
      </c>
      <c r="V36" s="2" t="s">
        <v>7</v>
      </c>
      <c r="W36" s="14" t="s">
        <v>494</v>
      </c>
    </row>
    <row r="37" spans="1:23" ht="15.75" customHeight="1">
      <c r="A37" s="1" t="s">
        <v>304</v>
      </c>
      <c r="B37" s="2" t="str">
        <f t="array" aca="1" ref="B37" ca="1">IFERROR(
  _xludf.XLOOKUP("*"&amp;SUBSTITUTE(TRIM(A37)," ","*")&amp;"*", 'RENO CONT'!$C:$C, 'RENO CONT'!$D:$D, "", 2),
"")</f>
        <v/>
      </c>
      <c r="C37" s="2" t="str">
        <f t="array" aca="1" ref="C37" ca="1">IFERROR(
  _xludf.XLOOKUP("*"&amp;SUBSTITUTE(TRIM(A37)," ","*")&amp;"*", 'RENO FINAN'!$A:$A, 'RENO FINAN'!$C:$C, "", 2),
"")</f>
        <v/>
      </c>
      <c r="D37" s="1" t="s">
        <v>469</v>
      </c>
      <c r="E37" s="2" t="s">
        <v>114</v>
      </c>
      <c r="F37" s="15" t="s">
        <v>219</v>
      </c>
      <c r="G37" s="2" t="s">
        <v>156</v>
      </c>
      <c r="H37" s="15" t="s">
        <v>512</v>
      </c>
      <c r="I37" s="2" t="s">
        <v>513</v>
      </c>
      <c r="J37" s="1" t="s">
        <v>472</v>
      </c>
      <c r="K37" s="68" t="s">
        <v>444</v>
      </c>
      <c r="L37" s="2" t="s">
        <v>48</v>
      </c>
      <c r="M37" s="1" t="s">
        <v>515</v>
      </c>
      <c r="N37" s="2" t="s">
        <v>144</v>
      </c>
      <c r="O37" s="1" t="s">
        <v>161</v>
      </c>
      <c r="P37" s="2" t="s">
        <v>516</v>
      </c>
      <c r="Q37" s="2" t="s">
        <v>147</v>
      </c>
      <c r="R37" s="2" t="s">
        <v>505</v>
      </c>
      <c r="S37" s="2" t="s">
        <v>64</v>
      </c>
      <c r="T37" s="13">
        <v>5.4</v>
      </c>
      <c r="U37" s="13" t="s">
        <v>144</v>
      </c>
      <c r="V37" s="2" t="s">
        <v>7</v>
      </c>
      <c r="W37" s="14" t="s">
        <v>517</v>
      </c>
    </row>
    <row r="38" spans="1:23" ht="15.75" customHeight="1">
      <c r="A38" s="1" t="s">
        <v>310</v>
      </c>
      <c r="B38" s="2" t="str">
        <f t="array" aca="1" ref="B38" ca="1">IFERROR(
  _xludf.XLOOKUP("*"&amp;SUBSTITUTE(TRIM(A38)," ","*")&amp;"*", 'RENO CONT'!$C:$C, 'RENO CONT'!$D:$D, "", 2),
"")</f>
        <v/>
      </c>
      <c r="C38" s="2" t="str">
        <f t="array" aca="1" ref="C38" ca="1">IFERROR(
  _xludf.XLOOKUP("*"&amp;SUBSTITUTE(TRIM(A38)," ","*")&amp;"*", 'RENO FINAN'!$A:$A, 'RENO FINAN'!$C:$C, "", 2),
"")</f>
        <v/>
      </c>
      <c r="D38" s="1" t="s">
        <v>469</v>
      </c>
      <c r="E38" s="2" t="s">
        <v>521</v>
      </c>
      <c r="F38" s="1" t="s">
        <v>489</v>
      </c>
      <c r="G38" s="2" t="s">
        <v>156</v>
      </c>
      <c r="H38" s="1" t="s">
        <v>522</v>
      </c>
      <c r="I38" s="2" t="s">
        <v>523</v>
      </c>
      <c r="J38" s="1" t="s">
        <v>472</v>
      </c>
      <c r="K38" s="68" t="s">
        <v>444</v>
      </c>
      <c r="L38" s="1" t="s">
        <v>64</v>
      </c>
      <c r="M38" s="1" t="s">
        <v>525</v>
      </c>
      <c r="N38" s="2" t="s">
        <v>144</v>
      </c>
      <c r="O38" s="1" t="s">
        <v>161</v>
      </c>
      <c r="P38" s="2" t="s">
        <v>516</v>
      </c>
      <c r="Q38" s="2" t="s">
        <v>147</v>
      </c>
      <c r="R38" s="2" t="s">
        <v>505</v>
      </c>
      <c r="S38" s="2" t="s">
        <v>64</v>
      </c>
      <c r="T38" s="13">
        <v>5.3</v>
      </c>
      <c r="U38" s="13" t="s">
        <v>144</v>
      </c>
      <c r="V38" s="2" t="s">
        <v>7</v>
      </c>
      <c r="W38" s="14" t="s">
        <v>517</v>
      </c>
    </row>
    <row r="39" spans="1:23" ht="15.75" customHeight="1">
      <c r="A39" s="1" t="s">
        <v>315</v>
      </c>
      <c r="B39" s="2" t="str">
        <f t="array" aca="1" ref="B39" ca="1">IFERROR(
  _xludf.XLOOKUP("*"&amp;SUBSTITUTE(TRIM(A39)," ","*")&amp;"*", 'RENO CONT'!$C:$C, 'RENO CONT'!$D:$D, "", 2),
"")</f>
        <v/>
      </c>
      <c r="C39" s="2" t="str">
        <f t="array" aca="1" ref="C39" ca="1">IFERROR(
  _xludf.XLOOKUP("*"&amp;SUBSTITUTE(TRIM(A39)," ","*")&amp;"*", 'RENO FINAN'!$A:$A, 'RENO FINAN'!$C:$C, "", 2),
"")</f>
        <v/>
      </c>
      <c r="D39" s="1" t="s">
        <v>531</v>
      </c>
      <c r="E39" s="2"/>
      <c r="F39" s="15" t="s">
        <v>219</v>
      </c>
      <c r="G39" s="2" t="s">
        <v>156</v>
      </c>
      <c r="H39" s="15" t="s">
        <v>532</v>
      </c>
      <c r="I39" s="2" t="s">
        <v>534</v>
      </c>
      <c r="J39" s="1" t="s">
        <v>472</v>
      </c>
      <c r="K39" s="68" t="s">
        <v>444</v>
      </c>
      <c r="L39" s="1" t="s">
        <v>48</v>
      </c>
      <c r="M39" s="1" t="s">
        <v>515</v>
      </c>
      <c r="N39" s="2" t="s">
        <v>144</v>
      </c>
      <c r="O39" s="1" t="s">
        <v>161</v>
      </c>
      <c r="P39" s="2" t="s">
        <v>516</v>
      </c>
      <c r="Q39" s="2" t="s">
        <v>147</v>
      </c>
      <c r="R39" s="2" t="s">
        <v>505</v>
      </c>
      <c r="S39" s="2" t="s">
        <v>64</v>
      </c>
      <c r="T39" s="13">
        <v>6</v>
      </c>
      <c r="U39" s="13" t="s">
        <v>144</v>
      </c>
      <c r="V39" s="2" t="s">
        <v>7</v>
      </c>
      <c r="W39" s="14" t="s">
        <v>517</v>
      </c>
    </row>
    <row r="40" spans="1:23" ht="15.75" customHeight="1">
      <c r="A40" s="1" t="s">
        <v>193</v>
      </c>
      <c r="B40" s="2" t="str">
        <f t="array" aca="1" ref="B40" ca="1">IFERROR(
  _xludf.XLOOKUP("*"&amp;SUBSTITUTE(TRIM(A40)," ","*")&amp;"*", 'RENO CONT'!$C:$C, 'RENO CONT'!$D:$D, "", 2),
"")</f>
        <v/>
      </c>
      <c r="C40" s="2" t="str">
        <f t="array" aca="1" ref="C40" ca="1">IFERROR(
  _xludf.XLOOKUP("*"&amp;SUBSTITUTE(TRIM(A40)," ","*")&amp;"*", 'RENO FINAN'!$A:$A, 'RENO FINAN'!$C:$C, "", 2),
"")</f>
        <v/>
      </c>
      <c r="D40" s="1" t="s">
        <v>539</v>
      </c>
      <c r="E40" s="2" t="s">
        <v>540</v>
      </c>
      <c r="F40" s="15" t="s">
        <v>219</v>
      </c>
      <c r="G40" s="2" t="s">
        <v>156</v>
      </c>
      <c r="H40" s="15" t="s">
        <v>541</v>
      </c>
      <c r="I40" s="2" t="s">
        <v>542</v>
      </c>
      <c r="J40" s="1" t="s">
        <v>543</v>
      </c>
      <c r="K40" s="68" t="s">
        <v>544</v>
      </c>
      <c r="L40" s="1" t="s">
        <v>64</v>
      </c>
      <c r="M40" s="1" t="s">
        <v>545</v>
      </c>
      <c r="N40" s="2" t="s">
        <v>144</v>
      </c>
      <c r="O40" s="1" t="s">
        <v>546</v>
      </c>
      <c r="P40" s="2" t="s">
        <v>516</v>
      </c>
      <c r="Q40" s="2" t="s">
        <v>547</v>
      </c>
      <c r="R40" s="2" t="s">
        <v>456</v>
      </c>
      <c r="S40" s="2" t="s">
        <v>386</v>
      </c>
      <c r="T40" s="13">
        <v>5.4</v>
      </c>
      <c r="U40" s="13" t="s">
        <v>144</v>
      </c>
      <c r="V40" s="2" t="s">
        <v>7</v>
      </c>
      <c r="W40" s="14" t="s">
        <v>292</v>
      </c>
    </row>
    <row r="41" spans="1:23" ht="15.75" customHeight="1">
      <c r="A41" s="1" t="s">
        <v>196</v>
      </c>
      <c r="B41" s="2" t="str">
        <f t="array" aca="1" ref="B41" ca="1">IFERROR(
  _xludf.XLOOKUP("*"&amp;SUBSTITUTE(TRIM(A41)," ","*")&amp;"*", 'RENO CONT'!$C:$C, 'RENO CONT'!$D:$D, "", 2),
"")</f>
        <v/>
      </c>
      <c r="C41" s="2" t="str">
        <f t="array" aca="1" ref="C41" ca="1">IFERROR(
  _xludf.XLOOKUP("*"&amp;SUBSTITUTE(TRIM(A41)," ","*")&amp;"*", 'RENO FINAN'!$A:$A, 'RENO FINAN'!$C:$C, "", 2),
"")</f>
        <v/>
      </c>
      <c r="D41" s="1" t="s">
        <v>550</v>
      </c>
      <c r="E41" s="2" t="s">
        <v>322</v>
      </c>
      <c r="F41" s="15" t="s">
        <v>219</v>
      </c>
      <c r="G41" s="2" t="s">
        <v>156</v>
      </c>
      <c r="H41" s="15" t="s">
        <v>541</v>
      </c>
      <c r="I41" s="2" t="s">
        <v>542</v>
      </c>
      <c r="J41" s="1" t="s">
        <v>543</v>
      </c>
      <c r="K41" s="68" t="s">
        <v>544</v>
      </c>
      <c r="L41" s="1" t="s">
        <v>64</v>
      </c>
      <c r="M41" s="1" t="s">
        <v>545</v>
      </c>
      <c r="N41" s="2" t="s">
        <v>144</v>
      </c>
      <c r="O41" s="1" t="s">
        <v>546</v>
      </c>
      <c r="P41" s="2" t="s">
        <v>516</v>
      </c>
      <c r="Q41" s="2" t="s">
        <v>552</v>
      </c>
      <c r="R41" s="2" t="s">
        <v>505</v>
      </c>
      <c r="S41" s="2" t="s">
        <v>290</v>
      </c>
      <c r="T41" s="13">
        <v>5.4</v>
      </c>
      <c r="U41" s="13" t="s">
        <v>144</v>
      </c>
      <c r="V41" s="2" t="s">
        <v>7</v>
      </c>
      <c r="W41" s="14" t="s">
        <v>292</v>
      </c>
    </row>
    <row r="42" spans="1:23" ht="15.75" customHeight="1">
      <c r="A42" s="1" t="s">
        <v>209</v>
      </c>
      <c r="B42" s="2" t="str">
        <f t="array" aca="1" ref="B42" ca="1">IFERROR(
  _xludf.XLOOKUP("*"&amp;SUBSTITUTE(TRIM(A42)," ","*")&amp;"*", 'RENO CONT'!$C:$C, 'RENO CONT'!$D:$D, "", 2),
"")</f>
        <v/>
      </c>
      <c r="C42" s="2" t="str">
        <f t="array" aca="1" ref="C42" ca="1">IFERROR(
  _xludf.XLOOKUP("*"&amp;SUBSTITUTE(TRIM(A42)," ","*")&amp;"*", 'RENO FINAN'!$A:$A, 'RENO FINAN'!$C:$C, "", 2),
"")</f>
        <v/>
      </c>
      <c r="D42" s="1" t="s">
        <v>555</v>
      </c>
      <c r="E42" s="2" t="s">
        <v>556</v>
      </c>
      <c r="F42" s="15" t="s">
        <v>219</v>
      </c>
      <c r="G42" s="2" t="s">
        <v>156</v>
      </c>
      <c r="H42" s="15" t="s">
        <v>557</v>
      </c>
      <c r="I42" s="2" t="s">
        <v>558</v>
      </c>
      <c r="J42" s="1" t="s">
        <v>543</v>
      </c>
      <c r="K42" s="68" t="s">
        <v>544</v>
      </c>
      <c r="M42" s="1" t="s">
        <v>559</v>
      </c>
      <c r="N42" s="2" t="s">
        <v>144</v>
      </c>
      <c r="O42" s="1" t="s">
        <v>546</v>
      </c>
      <c r="P42" s="2" t="s">
        <v>516</v>
      </c>
      <c r="Q42" s="2" t="s">
        <v>147</v>
      </c>
      <c r="R42" s="2" t="s">
        <v>561</v>
      </c>
      <c r="S42" s="2" t="s">
        <v>290</v>
      </c>
      <c r="T42" s="13">
        <v>6</v>
      </c>
      <c r="U42" s="13" t="s">
        <v>144</v>
      </c>
      <c r="V42" s="2" t="s">
        <v>7</v>
      </c>
      <c r="W42" s="14" t="s">
        <v>292</v>
      </c>
    </row>
    <row r="43" spans="1:23" ht="15.75" customHeight="1">
      <c r="A43" s="1" t="s">
        <v>352</v>
      </c>
      <c r="B43" s="2" t="str">
        <f t="array" aca="1" ref="B43" ca="1">IFERROR(
  _xludf.XLOOKUP("*"&amp;SUBSTITUTE(TRIM(A43)," ","*")&amp;"*", 'RENO CONT'!$C:$C, 'RENO CONT'!$D:$D, "", 2),
"")</f>
        <v/>
      </c>
      <c r="C43" s="2" t="str">
        <f t="array" aca="1" ref="C43" ca="1">IFERROR(
  _xludf.XLOOKUP("*"&amp;SUBSTITUTE(TRIM(A43)," ","*")&amp;"*", 'RENO FINAN'!$A:$A, 'RENO FINAN'!$C:$C, "", 2),
"")</f>
        <v/>
      </c>
      <c r="D43" s="1" t="s">
        <v>563</v>
      </c>
      <c r="E43" s="2" t="s">
        <v>173</v>
      </c>
      <c r="F43" s="2" t="s">
        <v>48</v>
      </c>
      <c r="G43" s="2" t="s">
        <v>156</v>
      </c>
      <c r="H43" s="15" t="s">
        <v>564</v>
      </c>
      <c r="I43" s="2" t="s">
        <v>565</v>
      </c>
      <c r="J43" s="22" t="s">
        <v>453</v>
      </c>
      <c r="K43" s="69" t="s">
        <v>502</v>
      </c>
      <c r="L43" s="15" t="s">
        <v>144</v>
      </c>
      <c r="M43" s="1" t="s">
        <v>567</v>
      </c>
      <c r="N43" s="2" t="s">
        <v>64</v>
      </c>
      <c r="O43" s="1" t="s">
        <v>65</v>
      </c>
      <c r="P43" s="2" t="s">
        <v>305</v>
      </c>
      <c r="Q43" s="2" t="s">
        <v>68</v>
      </c>
      <c r="R43" s="2" t="s">
        <v>568</v>
      </c>
      <c r="S43" s="2" t="s">
        <v>64</v>
      </c>
      <c r="T43" s="13">
        <v>5.2</v>
      </c>
      <c r="U43" s="13" t="s">
        <v>64</v>
      </c>
      <c r="V43" s="2" t="s">
        <v>71</v>
      </c>
      <c r="W43" s="14" t="s">
        <v>48</v>
      </c>
    </row>
    <row r="44" spans="1:23" ht="15.75" customHeight="1">
      <c r="A44" s="1" t="s">
        <v>447</v>
      </c>
      <c r="B44" s="2" t="str">
        <f t="array" aca="1" ref="B44" ca="1">IFERROR(
  _xludf.XLOOKUP("*"&amp;SUBSTITUTE(TRIM(A44)," ","*")&amp;"*", 'RENO CONT'!$C:$C, 'RENO CONT'!$D:$D, "", 2),
"")</f>
        <v/>
      </c>
      <c r="C44" s="2" t="str">
        <f t="array" aca="1" ref="C44" ca="1">IFERROR(
  _xludf.XLOOKUP("*"&amp;SUBSTITUTE(TRIM(A44)," ","*")&amp;"*", 'RENO FINAN'!$A:$A, 'RENO FINAN'!$C:$C, "", 2),
"")</f>
        <v/>
      </c>
      <c r="D44" s="1" t="s">
        <v>563</v>
      </c>
      <c r="E44" s="2" t="s">
        <v>128</v>
      </c>
      <c r="F44" s="1" t="s">
        <v>297</v>
      </c>
      <c r="G44" s="2" t="s">
        <v>156</v>
      </c>
      <c r="H44" s="15" t="s">
        <v>564</v>
      </c>
      <c r="I44" s="2" t="s">
        <v>565</v>
      </c>
      <c r="J44" s="22" t="s">
        <v>453</v>
      </c>
      <c r="K44" s="69" t="s">
        <v>502</v>
      </c>
      <c r="L44" s="15" t="s">
        <v>144</v>
      </c>
      <c r="M44" s="1" t="s">
        <v>577</v>
      </c>
      <c r="N44" s="2" t="s">
        <v>64</v>
      </c>
      <c r="O44" s="1" t="s">
        <v>65</v>
      </c>
      <c r="P44" s="2" t="s">
        <v>305</v>
      </c>
      <c r="Q44" s="2" t="s">
        <v>120</v>
      </c>
      <c r="R44" s="2" t="s">
        <v>568</v>
      </c>
      <c r="S44" s="2" t="s">
        <v>64</v>
      </c>
      <c r="T44" s="13">
        <v>5.2</v>
      </c>
      <c r="U44" s="13" t="s">
        <v>64</v>
      </c>
      <c r="V44" s="2" t="s">
        <v>71</v>
      </c>
      <c r="W44" s="14" t="s">
        <v>48</v>
      </c>
    </row>
    <row r="45" spans="1:23" ht="15.75" customHeight="1">
      <c r="A45" s="1" t="s">
        <v>339</v>
      </c>
      <c r="B45" s="2" t="str">
        <f t="array" aca="1" ref="B45" ca="1">IFERROR(
  _xludf.XLOOKUP("*"&amp;SUBSTITUTE(TRIM(A45)," ","*")&amp;"*", 'RENO CONT'!$C:$C, 'RENO CONT'!$D:$D, "", 2),
"")</f>
        <v/>
      </c>
      <c r="C45" s="2" t="str">
        <f t="array" aca="1" ref="C45" ca="1">IFERROR(
  _xludf.XLOOKUP("*"&amp;SUBSTITUTE(TRIM(A45)," ","*")&amp;"*", 'RENO FINAN'!$A:$A, 'RENO FINAN'!$C:$C, "", 2),
"")</f>
        <v/>
      </c>
      <c r="D45" s="1" t="s">
        <v>582</v>
      </c>
      <c r="E45" s="2" t="s">
        <v>583</v>
      </c>
      <c r="F45" s="1" t="s">
        <v>98</v>
      </c>
      <c r="G45" s="2" t="s">
        <v>156</v>
      </c>
      <c r="H45" s="1" t="s">
        <v>101</v>
      </c>
      <c r="I45" s="2" t="s">
        <v>584</v>
      </c>
      <c r="J45" s="1" t="s">
        <v>117</v>
      </c>
      <c r="K45" s="68" t="s">
        <v>324</v>
      </c>
      <c r="L45" s="1" t="s">
        <v>396</v>
      </c>
      <c r="M45" s="1" t="s">
        <v>585</v>
      </c>
      <c r="N45" s="2" t="s">
        <v>64</v>
      </c>
      <c r="O45" s="1" t="s">
        <v>65</v>
      </c>
      <c r="P45" s="2" t="s">
        <v>475</v>
      </c>
      <c r="Q45" s="2" t="s">
        <v>120</v>
      </c>
      <c r="R45" s="2" t="s">
        <v>587</v>
      </c>
      <c r="S45" s="2" t="s">
        <v>64</v>
      </c>
      <c r="T45" s="13">
        <v>5.4</v>
      </c>
      <c r="U45" s="13" t="s">
        <v>64</v>
      </c>
      <c r="V45" s="2" t="s">
        <v>71</v>
      </c>
      <c r="W45" s="14" t="s">
        <v>459</v>
      </c>
    </row>
    <row r="46" spans="1:23" ht="15.75" customHeight="1">
      <c r="A46" s="1" t="s">
        <v>333</v>
      </c>
      <c r="B46" s="2" t="str">
        <f t="array" aca="1" ref="B46" ca="1">IFERROR(
  _xludf.XLOOKUP("*"&amp;SUBSTITUTE(TRIM(A46)," ","*")&amp;"*", 'RENO CONT'!$C:$C, 'RENO CONT'!$D:$D, "", 2),
"")</f>
        <v/>
      </c>
      <c r="C46" s="2" t="str">
        <f t="array" aca="1" ref="C46" ca="1">IFERROR(
  _xludf.XLOOKUP("*"&amp;SUBSTITUTE(TRIM(A46)," ","*")&amp;"*", 'RENO FINAN'!$A:$A, 'RENO FINAN'!$C:$C, "", 2),
"")</f>
        <v/>
      </c>
      <c r="D46" s="1" t="s">
        <v>590</v>
      </c>
      <c r="E46" s="2" t="s">
        <v>591</v>
      </c>
      <c r="F46" s="1" t="s">
        <v>98</v>
      </c>
      <c r="G46" s="2" t="s">
        <v>380</v>
      </c>
      <c r="H46" s="1" t="s">
        <v>592</v>
      </c>
      <c r="I46" s="2" t="s">
        <v>593</v>
      </c>
      <c r="J46" s="1" t="s">
        <v>117</v>
      </c>
      <c r="K46" s="68" t="s">
        <v>384</v>
      </c>
      <c r="L46" s="1" t="s">
        <v>347</v>
      </c>
      <c r="M46" s="1" t="s">
        <v>594</v>
      </c>
      <c r="N46" s="2" t="s">
        <v>64</v>
      </c>
      <c r="O46" s="1" t="s">
        <v>65</v>
      </c>
      <c r="P46" s="2" t="s">
        <v>119</v>
      </c>
      <c r="Q46" s="2" t="s">
        <v>595</v>
      </c>
      <c r="R46" s="2" t="s">
        <v>587</v>
      </c>
      <c r="S46" s="2" t="s">
        <v>64</v>
      </c>
      <c r="T46" s="13">
        <v>5.0999999999999996</v>
      </c>
      <c r="U46" s="13" t="s">
        <v>64</v>
      </c>
      <c r="V46" s="2" t="s">
        <v>71</v>
      </c>
      <c r="W46" s="16" t="s">
        <v>399</v>
      </c>
    </row>
    <row r="47" spans="1:23" ht="15.75" customHeight="1">
      <c r="A47" s="1" t="s">
        <v>377</v>
      </c>
      <c r="B47" s="2" t="str">
        <f t="array" aca="1" ref="B47" ca="1">IFERROR(
  _xludf.XLOOKUP("*"&amp;SUBSTITUTE(TRIM(A47)," ","*")&amp;"*", 'RENO CONT'!$C:$C, 'RENO CONT'!$D:$D, "", 2),
"")</f>
        <v/>
      </c>
      <c r="C47" s="2" t="str">
        <f t="array" aca="1" ref="C47" ca="1">IFERROR(
  _xludf.XLOOKUP("*"&amp;SUBSTITUTE(TRIM(A47)," ","*")&amp;"*", 'RENO FINAN'!$A:$A, 'RENO FINAN'!$C:$C, "", 2),
"")</f>
        <v/>
      </c>
      <c r="D47" s="1" t="s">
        <v>139</v>
      </c>
      <c r="E47" s="2" t="s">
        <v>199</v>
      </c>
      <c r="F47" s="1" t="s">
        <v>98</v>
      </c>
      <c r="G47" s="2" t="s">
        <v>156</v>
      </c>
      <c r="H47" s="1" t="s">
        <v>598</v>
      </c>
      <c r="I47" s="2" t="s">
        <v>501</v>
      </c>
      <c r="J47" s="1" t="s">
        <v>117</v>
      </c>
      <c r="K47" s="68" t="s">
        <v>384</v>
      </c>
      <c r="L47" s="1" t="s">
        <v>396</v>
      </c>
      <c r="M47" s="1" t="s">
        <v>599</v>
      </c>
      <c r="N47" s="2" t="s">
        <v>64</v>
      </c>
      <c r="O47" s="1" t="s">
        <v>65</v>
      </c>
      <c r="P47" s="2" t="s">
        <v>600</v>
      </c>
      <c r="Q47" s="2" t="s">
        <v>120</v>
      </c>
      <c r="R47" s="2" t="s">
        <v>587</v>
      </c>
      <c r="S47" s="2" t="s">
        <v>64</v>
      </c>
      <c r="T47" s="13">
        <v>5.0999999999999996</v>
      </c>
      <c r="U47" s="13" t="s">
        <v>48</v>
      </c>
      <c r="V47" s="2" t="s">
        <v>7</v>
      </c>
      <c r="W47" s="16" t="s">
        <v>48</v>
      </c>
    </row>
    <row r="48" spans="1:23" ht="15.75" customHeight="1">
      <c r="A48" s="1" t="s">
        <v>388</v>
      </c>
      <c r="B48" s="2" t="str">
        <f t="array" aca="1" ref="B48" ca="1">IFERROR(
  _xludf.XLOOKUP("*"&amp;SUBSTITUTE(TRIM(A48)," ","*")&amp;"*", 'RENO CONT'!$C:$C, 'RENO CONT'!$D:$D, "", 2),
"")</f>
        <v/>
      </c>
      <c r="C48" s="2" t="str">
        <f t="array" aca="1" ref="C48" ca="1">IFERROR(
  _xludf.XLOOKUP("*"&amp;SUBSTITUTE(TRIM(A48)," ","*")&amp;"*", 'RENO FINAN'!$A:$A, 'RENO FINAN'!$C:$C, "", 2),
"")</f>
        <v/>
      </c>
      <c r="D48" s="1" t="s">
        <v>603</v>
      </c>
      <c r="E48" s="2" t="s">
        <v>604</v>
      </c>
      <c r="F48" s="15" t="s">
        <v>605</v>
      </c>
      <c r="G48" s="2" t="s">
        <v>156</v>
      </c>
      <c r="H48" s="15" t="s">
        <v>606</v>
      </c>
      <c r="I48" s="2" t="s">
        <v>607</v>
      </c>
      <c r="J48" s="1" t="s">
        <v>117</v>
      </c>
      <c r="K48" s="68" t="s">
        <v>608</v>
      </c>
      <c r="L48" s="1" t="s">
        <v>64</v>
      </c>
      <c r="M48" s="1" t="s">
        <v>609</v>
      </c>
      <c r="N48" s="2" t="s">
        <v>144</v>
      </c>
      <c r="O48" s="1" t="s">
        <v>161</v>
      </c>
      <c r="P48" s="2" t="s">
        <v>600</v>
      </c>
      <c r="Q48" s="2" t="s">
        <v>610</v>
      </c>
      <c r="R48" s="2" t="s">
        <v>505</v>
      </c>
      <c r="S48" s="2" t="s">
        <v>64</v>
      </c>
      <c r="T48" s="13">
        <v>5.4</v>
      </c>
      <c r="U48" s="13" t="s">
        <v>48</v>
      </c>
      <c r="V48" s="2" t="s">
        <v>7</v>
      </c>
      <c r="W48" s="16" t="s">
        <v>48</v>
      </c>
    </row>
    <row r="49" spans="1:23" ht="15.75" customHeight="1">
      <c r="A49" s="1" t="s">
        <v>400</v>
      </c>
      <c r="B49" s="2" t="str">
        <f t="array" aca="1" ref="B49" ca="1">IFERROR(
  _xludf.XLOOKUP("*"&amp;SUBSTITUTE(TRIM(A49)," ","*")&amp;"*", 'RENO CONT'!$C:$C, 'RENO CONT'!$D:$D, "", 2),
"")</f>
        <v/>
      </c>
      <c r="C49" s="2" t="str">
        <f t="array" aca="1" ref="C49" ca="1">IFERROR(
  _xludf.XLOOKUP("*"&amp;SUBSTITUTE(TRIM(A49)," ","*")&amp;"*", 'RENO FINAN'!$A:$A, 'RENO FINAN'!$C:$C, "", 2),
"")</f>
        <v/>
      </c>
      <c r="D49" s="1" t="s">
        <v>603</v>
      </c>
      <c r="E49" s="2" t="s">
        <v>614</v>
      </c>
      <c r="F49" s="15" t="s">
        <v>605</v>
      </c>
      <c r="G49" s="2" t="s">
        <v>156</v>
      </c>
      <c r="H49" s="15" t="s">
        <v>615</v>
      </c>
      <c r="I49" s="2" t="s">
        <v>616</v>
      </c>
      <c r="J49" s="1" t="s">
        <v>203</v>
      </c>
      <c r="K49" s="68" t="s">
        <v>608</v>
      </c>
      <c r="L49" s="1" t="s">
        <v>64</v>
      </c>
      <c r="M49" s="1" t="s">
        <v>617</v>
      </c>
      <c r="N49" s="2" t="s">
        <v>144</v>
      </c>
      <c r="O49" s="1" t="s">
        <v>161</v>
      </c>
      <c r="P49" s="2" t="s">
        <v>336</v>
      </c>
      <c r="Q49" s="2" t="s">
        <v>435</v>
      </c>
      <c r="R49" s="2" t="s">
        <v>618</v>
      </c>
      <c r="S49" s="2" t="s">
        <v>64</v>
      </c>
      <c r="T49" s="13">
        <v>5.4</v>
      </c>
      <c r="U49" s="13" t="s">
        <v>144</v>
      </c>
      <c r="V49" s="2" t="s">
        <v>7</v>
      </c>
      <c r="W49" s="16" t="s">
        <v>48</v>
      </c>
    </row>
    <row r="50" spans="1:23" ht="15.75" customHeight="1">
      <c r="A50" s="1" t="s">
        <v>359</v>
      </c>
      <c r="B50" s="2" t="str">
        <f t="array" aca="1" ref="B50" ca="1">IFERROR(
  _xludf.XLOOKUP("*"&amp;SUBSTITUTE(TRIM(A50)," ","*")&amp;"*", 'RENO CONT'!$C:$C, 'RENO CONT'!$D:$D, "", 2),
"")</f>
        <v/>
      </c>
      <c r="C50" s="2" t="str">
        <f t="array" aca="1" ref="C50" ca="1">IFERROR(
  _xludf.XLOOKUP("*"&amp;SUBSTITUTE(TRIM(A50)," ","*")&amp;"*", 'RENO FINAN'!$A:$A, 'RENO FINAN'!$C:$C, "", 2),
"")</f>
        <v/>
      </c>
      <c r="D50" s="1" t="s">
        <v>621</v>
      </c>
      <c r="E50" s="2" t="s">
        <v>622</v>
      </c>
      <c r="F50" s="1" t="s">
        <v>623</v>
      </c>
      <c r="G50" s="2" t="s">
        <v>156</v>
      </c>
      <c r="H50" s="1" t="s">
        <v>624</v>
      </c>
      <c r="I50" s="2" t="s">
        <v>625</v>
      </c>
      <c r="J50" s="1" t="s">
        <v>117</v>
      </c>
      <c r="K50" s="68" t="s">
        <v>384</v>
      </c>
      <c r="L50" s="1" t="s">
        <v>396</v>
      </c>
      <c r="M50" s="1" t="s">
        <v>626</v>
      </c>
      <c r="N50" s="2" t="s">
        <v>64</v>
      </c>
      <c r="O50" s="1" t="s">
        <v>627</v>
      </c>
      <c r="P50" s="2" t="s">
        <v>600</v>
      </c>
      <c r="Q50" s="2" t="s">
        <v>629</v>
      </c>
      <c r="R50" s="2" t="s">
        <v>587</v>
      </c>
      <c r="S50" s="2" t="s">
        <v>64</v>
      </c>
      <c r="T50" s="13">
        <v>5.3</v>
      </c>
      <c r="U50" s="13" t="s">
        <v>64</v>
      </c>
      <c r="V50" s="2" t="s">
        <v>7</v>
      </c>
      <c r="W50" s="14" t="s">
        <v>494</v>
      </c>
    </row>
    <row r="51" spans="1:23" ht="15.75" customHeight="1">
      <c r="A51" s="1" t="s">
        <v>365</v>
      </c>
      <c r="B51" s="2" t="str">
        <f t="array" aca="1" ref="B51" ca="1">IFERROR(
  _xludf.XLOOKUP("*"&amp;SUBSTITUTE(TRIM(A51)," ","*")&amp;"*", 'RENO CONT'!$C:$C, 'RENO CONT'!$D:$D, "", 2),
"")</f>
        <v/>
      </c>
      <c r="C51" s="2" t="str">
        <f t="array" aca="1" ref="C51" ca="1">IFERROR(
  _xludf.XLOOKUP("*"&amp;SUBSTITUTE(TRIM(A51)," ","*")&amp;"*", 'RENO FINAN'!$A:$A, 'RENO FINAN'!$C:$C, "", 2),
"")</f>
        <v/>
      </c>
      <c r="D51" s="1" t="s">
        <v>621</v>
      </c>
      <c r="E51" s="2" t="s">
        <v>441</v>
      </c>
      <c r="F51" s="1" t="s">
        <v>98</v>
      </c>
      <c r="G51" s="2" t="s">
        <v>156</v>
      </c>
      <c r="H51" s="1" t="s">
        <v>598</v>
      </c>
      <c r="I51" s="2" t="s">
        <v>631</v>
      </c>
      <c r="J51" s="1" t="s">
        <v>117</v>
      </c>
      <c r="K51" s="68" t="s">
        <v>384</v>
      </c>
      <c r="L51" s="1" t="s">
        <v>396</v>
      </c>
      <c r="M51" s="1" t="s">
        <v>632</v>
      </c>
      <c r="N51" s="2" t="s">
        <v>144</v>
      </c>
      <c r="O51" s="1" t="s">
        <v>627</v>
      </c>
      <c r="P51" s="2" t="s">
        <v>336</v>
      </c>
      <c r="Q51" s="2" t="s">
        <v>629</v>
      </c>
      <c r="R51" s="2" t="s">
        <v>505</v>
      </c>
      <c r="S51" s="2" t="s">
        <v>64</v>
      </c>
      <c r="T51" s="13">
        <v>5.3</v>
      </c>
      <c r="U51" s="13" t="s">
        <v>144</v>
      </c>
      <c r="V51" s="2" t="s">
        <v>7</v>
      </c>
      <c r="W51" s="14" t="s">
        <v>633</v>
      </c>
    </row>
    <row r="52" spans="1:23" ht="15.75" customHeight="1">
      <c r="A52" s="1" t="s">
        <v>374</v>
      </c>
      <c r="B52" s="2" t="str">
        <f t="array" aca="1" ref="B52" ca="1">IFERROR(
  _xludf.XLOOKUP("*"&amp;SUBSTITUTE(TRIM(A52)," ","*")&amp;"*", 'RENO CONT'!$C:$C, 'RENO CONT'!$D:$D, "", 2),
"")</f>
        <v/>
      </c>
      <c r="C52" s="2" t="str">
        <f t="array" aca="1" ref="C52" ca="1">IFERROR(
  _xludf.XLOOKUP("*"&amp;SUBSTITUTE(TRIM(A52)," ","*")&amp;"*", 'RENO FINAN'!$A:$A, 'RENO FINAN'!$C:$C, "", 2),
"")</f>
        <v/>
      </c>
      <c r="D52" s="1" t="s">
        <v>379</v>
      </c>
      <c r="E52" s="2" t="s">
        <v>636</v>
      </c>
      <c r="F52" s="15" t="s">
        <v>219</v>
      </c>
      <c r="G52" s="2" t="s">
        <v>156</v>
      </c>
      <c r="H52" s="15" t="s">
        <v>637</v>
      </c>
      <c r="I52" s="2" t="s">
        <v>638</v>
      </c>
      <c r="J52" s="1" t="s">
        <v>117</v>
      </c>
      <c r="K52" s="68" t="s">
        <v>384</v>
      </c>
      <c r="L52" s="1" t="s">
        <v>64</v>
      </c>
      <c r="M52" s="1" t="s">
        <v>632</v>
      </c>
      <c r="N52" s="2" t="s">
        <v>144</v>
      </c>
      <c r="O52" s="1" t="s">
        <v>161</v>
      </c>
      <c r="P52" s="2" t="s">
        <v>600</v>
      </c>
      <c r="Q52" s="2" t="s">
        <v>639</v>
      </c>
      <c r="R52" s="2" t="s">
        <v>640</v>
      </c>
      <c r="S52" s="2" t="s">
        <v>64</v>
      </c>
      <c r="T52" s="13">
        <v>5.4</v>
      </c>
      <c r="U52" s="13" t="s">
        <v>144</v>
      </c>
      <c r="V52" s="2" t="s">
        <v>7</v>
      </c>
      <c r="W52" s="16" t="s">
        <v>48</v>
      </c>
    </row>
    <row r="53" spans="1:23" ht="15.75" customHeight="1">
      <c r="A53" s="1" t="s">
        <v>318</v>
      </c>
      <c r="B53" s="2" t="str">
        <f t="array" aca="1" ref="B53" ca="1">IFERROR(
  _xludf.XLOOKUP("*"&amp;SUBSTITUTE(TRIM(A53)," ","*")&amp;"*", 'RENO CONT'!$C:$C, 'RENO CONT'!$D:$D, "", 2),
"")</f>
        <v/>
      </c>
      <c r="C53" s="2" t="str">
        <f t="array" aca="1" ref="C53" ca="1">IFERROR(
  _xludf.XLOOKUP("*"&amp;SUBSTITUTE(TRIM(A53)," ","*")&amp;"*", 'RENO FINAN'!$A:$A, 'RENO FINAN'!$C:$C, "", 2),
"")</f>
        <v/>
      </c>
      <c r="D53" s="1" t="s">
        <v>642</v>
      </c>
      <c r="E53" s="2" t="s">
        <v>636</v>
      </c>
      <c r="F53" s="15" t="s">
        <v>219</v>
      </c>
      <c r="G53" s="2" t="s">
        <v>156</v>
      </c>
      <c r="H53" s="22" t="s">
        <v>643</v>
      </c>
      <c r="I53" s="2" t="s">
        <v>644</v>
      </c>
      <c r="J53" s="1" t="s">
        <v>203</v>
      </c>
      <c r="K53" s="68" t="s">
        <v>645</v>
      </c>
      <c r="L53" s="1" t="s">
        <v>64</v>
      </c>
      <c r="M53" s="1" t="s">
        <v>647</v>
      </c>
      <c r="N53" s="2" t="s">
        <v>144</v>
      </c>
      <c r="O53" s="1" t="s">
        <v>161</v>
      </c>
      <c r="P53" s="2" t="s">
        <v>336</v>
      </c>
      <c r="Q53" s="2" t="s">
        <v>629</v>
      </c>
      <c r="R53" s="2" t="s">
        <v>648</v>
      </c>
      <c r="S53" s="2" t="s">
        <v>64</v>
      </c>
      <c r="T53" s="13">
        <v>6</v>
      </c>
      <c r="U53" s="13" t="s">
        <v>144</v>
      </c>
      <c r="V53" s="2" t="s">
        <v>7</v>
      </c>
      <c r="W53" s="16" t="s">
        <v>48</v>
      </c>
    </row>
    <row r="54" spans="1:23" ht="15.75" customHeight="1">
      <c r="A54" s="1" t="s">
        <v>329</v>
      </c>
      <c r="B54" s="2" t="str">
        <f t="array" aca="1" ref="B54" ca="1">IFERROR(
  _xludf.XLOOKUP("*"&amp;SUBSTITUTE(TRIM(A54)," ","*")&amp;"*", 'RENO CONT'!$C:$C, 'RENO CONT'!$D:$D, "", 2),
"")</f>
        <v/>
      </c>
      <c r="C54" s="2" t="str">
        <f t="array" aca="1" ref="C54" ca="1">IFERROR(
  _xludf.XLOOKUP("*"&amp;SUBSTITUTE(TRIM(A54)," ","*")&amp;"*", 'RENO FINAN'!$A:$A, 'RENO FINAN'!$C:$C, "", 2),
"")</f>
        <v/>
      </c>
      <c r="D54" s="1" t="s">
        <v>642</v>
      </c>
      <c r="E54" s="2" t="s">
        <v>53</v>
      </c>
      <c r="F54" s="15" t="s">
        <v>219</v>
      </c>
      <c r="G54" s="2" t="s">
        <v>380</v>
      </c>
      <c r="H54" s="22" t="s">
        <v>650</v>
      </c>
      <c r="I54" s="2" t="s">
        <v>651</v>
      </c>
      <c r="J54" s="1" t="s">
        <v>203</v>
      </c>
      <c r="K54" s="68" t="s">
        <v>645</v>
      </c>
      <c r="L54" s="1" t="s">
        <v>64</v>
      </c>
      <c r="M54" s="1" t="s">
        <v>652</v>
      </c>
      <c r="N54" s="2" t="s">
        <v>144</v>
      </c>
      <c r="O54" s="1" t="s">
        <v>546</v>
      </c>
      <c r="P54" s="2" t="s">
        <v>336</v>
      </c>
      <c r="Q54" s="2" t="s">
        <v>629</v>
      </c>
      <c r="R54" s="2" t="s">
        <v>654</v>
      </c>
      <c r="S54" s="2" t="s">
        <v>144</v>
      </c>
      <c r="T54" s="13">
        <v>6</v>
      </c>
      <c r="U54" s="13" t="s">
        <v>144</v>
      </c>
      <c r="V54" s="2" t="s">
        <v>7</v>
      </c>
      <c r="W54" s="16" t="s">
        <v>48</v>
      </c>
    </row>
    <row r="55" spans="1:23" ht="15.75" customHeight="1">
      <c r="A55" s="1" t="s">
        <v>404</v>
      </c>
      <c r="B55" s="2" t="str">
        <f t="array" aca="1" ref="B55" ca="1">IFERROR(
  _xludf.XLOOKUP("*"&amp;SUBSTITUTE(TRIM(A55)," ","*")&amp;"*", 'RENO CONT'!$C:$C, 'RENO CONT'!$D:$D, "", 2),
"")</f>
        <v/>
      </c>
      <c r="C55" s="2" t="str">
        <f t="array" aca="1" ref="C55" ca="1">IFERROR(
  _xludf.XLOOKUP("*"&amp;SUBSTITUTE(TRIM(A55)," ","*")&amp;"*", 'RENO FINAN'!$A:$A, 'RENO FINAN'!$C:$C, "", 2),
"")</f>
        <v/>
      </c>
      <c r="D55" s="1" t="s">
        <v>656</v>
      </c>
      <c r="E55" s="2" t="s">
        <v>657</v>
      </c>
      <c r="F55" s="1" t="s">
        <v>48</v>
      </c>
      <c r="G55" s="2" t="s">
        <v>54</v>
      </c>
      <c r="H55" s="1" t="s">
        <v>658</v>
      </c>
      <c r="I55" s="2" t="s">
        <v>659</v>
      </c>
      <c r="J55" s="1" t="s">
        <v>660</v>
      </c>
      <c r="K55" s="68" t="s">
        <v>661</v>
      </c>
      <c r="L55" s="1" t="s">
        <v>396</v>
      </c>
      <c r="M55" s="1" t="s">
        <v>662</v>
      </c>
      <c r="N55" s="2" t="s">
        <v>64</v>
      </c>
      <c r="O55" s="1" t="s">
        <v>65</v>
      </c>
      <c r="P55" s="2" t="s">
        <v>67</v>
      </c>
      <c r="Q55" s="2" t="s">
        <v>663</v>
      </c>
      <c r="R55" s="2" t="s">
        <v>69</v>
      </c>
      <c r="S55" s="2" t="s">
        <v>64</v>
      </c>
      <c r="T55" s="13">
        <v>5.2</v>
      </c>
      <c r="U55" s="13" t="s">
        <v>64</v>
      </c>
      <c r="V55" s="2" t="s">
        <v>71</v>
      </c>
      <c r="W55" s="8" t="s">
        <v>665</v>
      </c>
    </row>
    <row r="56" spans="1:23" ht="15.75" customHeight="1">
      <c r="A56" s="1" t="s">
        <v>407</v>
      </c>
      <c r="B56" s="2" t="str">
        <f t="array" aca="1" ref="B56" ca="1">IFERROR(
  _xludf.XLOOKUP("*"&amp;SUBSTITUTE(TRIM(A56)," ","*")&amp;"*", 'RENO CONT'!$C:$C, 'RENO CONT'!$D:$D, "", 2),
"")</f>
        <v/>
      </c>
      <c r="C56" s="2" t="str">
        <f t="array" aca="1" ref="C56" ca="1">IFERROR(
  _xludf.XLOOKUP("*"&amp;SUBSTITUTE(TRIM(A56)," ","*")&amp;"*", 'RENO FINAN'!$A:$A, 'RENO FINAN'!$C:$C, "", 2),
"")</f>
        <v/>
      </c>
      <c r="D56" s="1" t="s">
        <v>667</v>
      </c>
      <c r="E56" s="2" t="s">
        <v>668</v>
      </c>
      <c r="F56" s="15" t="s">
        <v>48</v>
      </c>
      <c r="G56" s="2" t="s">
        <v>54</v>
      </c>
      <c r="H56" s="1" t="s">
        <v>669</v>
      </c>
      <c r="I56" s="2" t="s">
        <v>670</v>
      </c>
      <c r="J56" s="1" t="s">
        <v>671</v>
      </c>
      <c r="K56" s="68" t="s">
        <v>661</v>
      </c>
      <c r="L56" s="1" t="s">
        <v>396</v>
      </c>
      <c r="M56" s="1" t="s">
        <v>673</v>
      </c>
      <c r="N56" s="2" t="s">
        <v>64</v>
      </c>
      <c r="O56" s="1" t="s">
        <v>65</v>
      </c>
      <c r="P56" s="2" t="s">
        <v>67</v>
      </c>
      <c r="Q56" s="2" t="s">
        <v>663</v>
      </c>
      <c r="R56" s="2" t="s">
        <v>69</v>
      </c>
      <c r="S56" s="2" t="s">
        <v>64</v>
      </c>
      <c r="T56" s="13">
        <v>5.2</v>
      </c>
      <c r="U56" s="13" t="s">
        <v>64</v>
      </c>
      <c r="V56" s="2" t="s">
        <v>71</v>
      </c>
      <c r="W56" s="8" t="s">
        <v>665</v>
      </c>
    </row>
    <row r="57" spans="1:23" ht="15.75" customHeight="1">
      <c r="A57" s="1" t="s">
        <v>410</v>
      </c>
      <c r="B57" s="2" t="str">
        <f t="array" aca="1" ref="B57" ca="1">IFERROR(
  _xludf.XLOOKUP("*"&amp;SUBSTITUTE(TRIM(A57)," ","*")&amp;"*", 'RENO CONT'!$C:$C, 'RENO CONT'!$D:$D, "", 2),
"")</f>
        <v/>
      </c>
      <c r="C57" s="2" t="str">
        <f t="array" aca="1" ref="C57" ca="1">IFERROR(
  _xludf.XLOOKUP("*"&amp;SUBSTITUTE(TRIM(A57)," ","*")&amp;"*", 'RENO FINAN'!$A:$A, 'RENO FINAN'!$C:$C, "", 2),
"")</f>
        <v/>
      </c>
      <c r="D57" s="1" t="s">
        <v>667</v>
      </c>
      <c r="E57" s="2" t="s">
        <v>431</v>
      </c>
      <c r="F57" s="1" t="s">
        <v>48</v>
      </c>
      <c r="G57" s="2" t="s">
        <v>54</v>
      </c>
      <c r="H57" s="1" t="s">
        <v>658</v>
      </c>
      <c r="I57" s="2" t="s">
        <v>659</v>
      </c>
      <c r="J57" s="1" t="s">
        <v>671</v>
      </c>
      <c r="K57" s="68" t="s">
        <v>61</v>
      </c>
      <c r="L57" s="1" t="s">
        <v>396</v>
      </c>
      <c r="M57" s="1" t="s">
        <v>673</v>
      </c>
      <c r="N57" s="2" t="s">
        <v>64</v>
      </c>
      <c r="O57" s="1" t="s">
        <v>65</v>
      </c>
      <c r="P57" s="2" t="s">
        <v>119</v>
      </c>
      <c r="Q57" s="2" t="s">
        <v>663</v>
      </c>
      <c r="R57" s="2" t="s">
        <v>69</v>
      </c>
      <c r="S57" s="2" t="s">
        <v>64</v>
      </c>
      <c r="T57" s="13">
        <v>5.2</v>
      </c>
      <c r="U57" s="13" t="s">
        <v>64</v>
      </c>
      <c r="V57" s="2" t="s">
        <v>71</v>
      </c>
      <c r="W57" s="8" t="s">
        <v>665</v>
      </c>
    </row>
    <row r="58" spans="1:23" ht="15.75" customHeight="1">
      <c r="A58" s="1" t="s">
        <v>411</v>
      </c>
      <c r="B58" s="2" t="str">
        <f t="array" aca="1" ref="B58" ca="1">IFERROR(
  _xludf.XLOOKUP("*"&amp;SUBSTITUTE(TRIM(A58)," ","*")&amp;"*", 'RENO CONT'!$C:$C, 'RENO CONT'!$D:$D, "", 2),
"")</f>
        <v/>
      </c>
      <c r="C58" s="2" t="str">
        <f t="array" aca="1" ref="C58" ca="1">IFERROR(
  _xludf.XLOOKUP("*"&amp;SUBSTITUTE(TRIM(A58)," ","*")&amp;"*", 'RENO FINAN'!$A:$A, 'RENO FINAN'!$C:$C, "", 2),
"")</f>
        <v/>
      </c>
      <c r="D58" s="1" t="s">
        <v>656</v>
      </c>
      <c r="E58" s="2" t="s">
        <v>48</v>
      </c>
      <c r="F58" s="1" t="s">
        <v>48</v>
      </c>
      <c r="G58" s="2" t="s">
        <v>54</v>
      </c>
      <c r="H58" s="1" t="s">
        <v>658</v>
      </c>
      <c r="I58" s="2" t="s">
        <v>659</v>
      </c>
      <c r="J58" s="1" t="s">
        <v>671</v>
      </c>
      <c r="K58" s="68" t="s">
        <v>61</v>
      </c>
      <c r="L58" s="1" t="s">
        <v>396</v>
      </c>
      <c r="M58" s="1" t="s">
        <v>677</v>
      </c>
      <c r="N58" s="2" t="s">
        <v>64</v>
      </c>
      <c r="O58" s="1" t="s">
        <v>65</v>
      </c>
      <c r="P58" s="2" t="s">
        <v>678</v>
      </c>
      <c r="Q58" s="2" t="s">
        <v>147</v>
      </c>
      <c r="R58" s="2" t="s">
        <v>69</v>
      </c>
      <c r="S58" s="2" t="s">
        <v>64</v>
      </c>
      <c r="T58" s="13">
        <v>5.2</v>
      </c>
      <c r="U58" s="13" t="s">
        <v>64</v>
      </c>
      <c r="V58" s="2" t="s">
        <v>71</v>
      </c>
      <c r="W58" s="8" t="s">
        <v>665</v>
      </c>
    </row>
    <row r="59" spans="1:23" ht="15.75" customHeight="1">
      <c r="A59" s="1" t="s">
        <v>415</v>
      </c>
      <c r="B59" s="2" t="str">
        <f t="array" aca="1" ref="B59" ca="1">IFERROR(
  _xludf.XLOOKUP("*"&amp;SUBSTITUTE(TRIM(A59)," ","*")&amp;"*", 'RENO CONT'!$C:$C, 'RENO CONT'!$D:$D, "", 2),
"")</f>
        <v/>
      </c>
      <c r="C59" s="2" t="str">
        <f t="array" aca="1" ref="C59" ca="1">IFERROR(
  _xludf.XLOOKUP("*"&amp;SUBSTITUTE(TRIM(A59)," ","*")&amp;"*", 'RENO FINAN'!$A:$A, 'RENO FINAN'!$C:$C, "", 2),
"")</f>
        <v/>
      </c>
      <c r="D59" s="1" t="s">
        <v>680</v>
      </c>
      <c r="E59" s="2" t="s">
        <v>48</v>
      </c>
      <c r="F59" s="1" t="s">
        <v>48</v>
      </c>
      <c r="G59" s="2" t="s">
        <v>54</v>
      </c>
      <c r="H59" s="1" t="s">
        <v>681</v>
      </c>
      <c r="I59" s="2" t="s">
        <v>682</v>
      </c>
      <c r="J59" s="1" t="s">
        <v>683</v>
      </c>
      <c r="K59" s="68" t="s">
        <v>104</v>
      </c>
      <c r="L59" s="1" t="s">
        <v>396</v>
      </c>
      <c r="M59" s="1" t="s">
        <v>684</v>
      </c>
      <c r="N59" s="2" t="s">
        <v>64</v>
      </c>
      <c r="O59" s="1" t="s">
        <v>65</v>
      </c>
      <c r="P59" s="2" t="s">
        <v>162</v>
      </c>
      <c r="Q59" s="2" t="s">
        <v>147</v>
      </c>
      <c r="R59" s="2" t="s">
        <v>685</v>
      </c>
      <c r="S59" s="2" t="s">
        <v>64</v>
      </c>
      <c r="T59" s="13">
        <v>5.2</v>
      </c>
      <c r="U59" s="13" t="s">
        <v>64</v>
      </c>
      <c r="V59" s="2" t="s">
        <v>71</v>
      </c>
      <c r="W59" s="8" t="s">
        <v>665</v>
      </c>
    </row>
    <row r="60" spans="1:23" ht="15.75" customHeight="1">
      <c r="A60" s="1" t="s">
        <v>421</v>
      </c>
      <c r="B60" s="2" t="str">
        <f t="array" aca="1" ref="B60" ca="1">IFERROR(
  _xludf.XLOOKUP("*"&amp;SUBSTITUTE(TRIM(A60)," ","*")&amp;"*", 'RENO CONT'!$C:$C, 'RENO CONT'!$D:$D, "", 2),
"")</f>
        <v/>
      </c>
      <c r="C60" s="2" t="str">
        <f t="array" aca="1" ref="C60" ca="1">IFERROR(
  _xludf.XLOOKUP("*"&amp;SUBSTITUTE(TRIM(A60)," ","*")&amp;"*", 'RENO FINAN'!$A:$A, 'RENO FINAN'!$C:$C, "", 2),
"")</f>
        <v/>
      </c>
      <c r="D60" s="1" t="s">
        <v>582</v>
      </c>
      <c r="E60" s="2" t="s">
        <v>48</v>
      </c>
      <c r="F60" s="1" t="s">
        <v>623</v>
      </c>
      <c r="G60" s="2" t="s">
        <v>156</v>
      </c>
      <c r="H60" s="1" t="s">
        <v>681</v>
      </c>
      <c r="I60" s="2" t="s">
        <v>682</v>
      </c>
      <c r="J60" s="1" t="s">
        <v>688</v>
      </c>
      <c r="K60" s="68" t="s">
        <v>104</v>
      </c>
      <c r="L60" s="1" t="s">
        <v>48</v>
      </c>
      <c r="M60" s="1" t="s">
        <v>397</v>
      </c>
      <c r="N60" s="2" t="s">
        <v>64</v>
      </c>
      <c r="O60" s="1" t="s">
        <v>65</v>
      </c>
      <c r="P60" s="2" t="s">
        <v>678</v>
      </c>
      <c r="Q60" s="2" t="s">
        <v>120</v>
      </c>
      <c r="R60" s="2" t="s">
        <v>685</v>
      </c>
      <c r="S60" s="2" t="s">
        <v>64</v>
      </c>
      <c r="T60" s="13">
        <v>5.2</v>
      </c>
      <c r="U60" s="13" t="s">
        <v>64</v>
      </c>
      <c r="V60" s="2" t="s">
        <v>71</v>
      </c>
      <c r="W60" s="8" t="s">
        <v>665</v>
      </c>
    </row>
    <row r="61" spans="1:23" ht="15.75" customHeight="1">
      <c r="A61" s="1" t="s">
        <v>425</v>
      </c>
      <c r="B61" s="2" t="str">
        <f t="array" aca="1" ref="B61" ca="1">IFERROR(
  _xludf.XLOOKUP("*"&amp;SUBSTITUTE(TRIM(A61)," ","*")&amp;"*", 'RENO CONT'!$C:$C, 'RENO CONT'!$D:$D, "", 2),
"")</f>
        <v/>
      </c>
      <c r="C61" s="2" t="str">
        <f t="array" aca="1" ref="C61" ca="1">IFERROR(
  _xludf.XLOOKUP("*"&amp;SUBSTITUTE(TRIM(A61)," ","*")&amp;"*", 'RENO FINAN'!$A:$A, 'RENO FINAN'!$C:$C, "", 2),
"")</f>
        <v/>
      </c>
      <c r="D61" s="1" t="s">
        <v>356</v>
      </c>
      <c r="E61" s="2" t="s">
        <v>690</v>
      </c>
      <c r="F61" s="15" t="s">
        <v>691</v>
      </c>
      <c r="G61" s="2" t="s">
        <v>156</v>
      </c>
      <c r="H61" s="15" t="s">
        <v>692</v>
      </c>
      <c r="I61" s="2" t="s">
        <v>693</v>
      </c>
      <c r="J61" s="1" t="s">
        <v>683</v>
      </c>
      <c r="K61" s="68" t="s">
        <v>104</v>
      </c>
      <c r="L61" s="1" t="s">
        <v>48</v>
      </c>
      <c r="M61" s="1" t="s">
        <v>694</v>
      </c>
      <c r="N61" s="2" t="s">
        <v>48</v>
      </c>
      <c r="O61" s="1" t="s">
        <v>65</v>
      </c>
      <c r="P61" s="2" t="s">
        <v>600</v>
      </c>
      <c r="Q61" s="2" t="s">
        <v>147</v>
      </c>
      <c r="R61" s="2" t="s">
        <v>587</v>
      </c>
      <c r="S61" s="2" t="s">
        <v>64</v>
      </c>
      <c r="T61" s="13">
        <v>5.4</v>
      </c>
      <c r="U61" s="13" t="s">
        <v>64</v>
      </c>
      <c r="V61" s="2" t="s">
        <v>7</v>
      </c>
      <c r="W61" s="2" t="s">
        <v>48</v>
      </c>
    </row>
    <row r="62" spans="1:23" ht="15.75" customHeight="1">
      <c r="A62" s="1" t="s">
        <v>437</v>
      </c>
      <c r="B62" s="2" t="str">
        <f t="array" aca="1" ref="B62" ca="1">IFERROR(
  _xludf.XLOOKUP("*"&amp;SUBSTITUTE(TRIM(A62)," ","*")&amp;"*", 'RENO CONT'!$C:$C, 'RENO CONT'!$D:$D, "", 2),
"")</f>
        <v/>
      </c>
      <c r="C62" s="2" t="str">
        <f t="array" aca="1" ref="C62" ca="1">IFERROR(
  _xludf.XLOOKUP("*"&amp;SUBSTITUTE(TRIM(A62)," ","*")&amp;"*", 'RENO FINAN'!$A:$A, 'RENO FINAN'!$C:$C, "", 2),
"")</f>
        <v/>
      </c>
      <c r="D62" s="1" t="s">
        <v>697</v>
      </c>
      <c r="E62" s="2" t="s">
        <v>499</v>
      </c>
      <c r="F62" s="1" t="s">
        <v>98</v>
      </c>
      <c r="G62" s="2" t="s">
        <v>156</v>
      </c>
      <c r="H62" s="1" t="s">
        <v>698</v>
      </c>
      <c r="I62" s="2" t="s">
        <v>699</v>
      </c>
      <c r="J62" s="1" t="s">
        <v>700</v>
      </c>
      <c r="K62" s="69" t="s">
        <v>384</v>
      </c>
      <c r="L62" s="1" t="s">
        <v>396</v>
      </c>
      <c r="M62" s="1" t="s">
        <v>701</v>
      </c>
      <c r="N62" s="2" t="s">
        <v>64</v>
      </c>
      <c r="O62" s="1" t="s">
        <v>65</v>
      </c>
      <c r="P62" s="2" t="s">
        <v>162</v>
      </c>
      <c r="Q62" s="2" t="s">
        <v>147</v>
      </c>
      <c r="R62" s="2" t="s">
        <v>685</v>
      </c>
      <c r="S62" s="2" t="s">
        <v>64</v>
      </c>
      <c r="T62" s="2">
        <v>5.2</v>
      </c>
      <c r="U62" s="2" t="s">
        <v>48</v>
      </c>
      <c r="V62" s="2" t="s">
        <v>71</v>
      </c>
      <c r="W62" s="2" t="s">
        <v>48</v>
      </c>
    </row>
    <row r="63" spans="1:23" ht="15.75" customHeight="1">
      <c r="A63" s="1" t="s">
        <v>428</v>
      </c>
      <c r="B63" s="2" t="str">
        <f t="array" aca="1" ref="B63" ca="1">IFERROR(
  _xludf.XLOOKUP("*"&amp;SUBSTITUTE(TRIM(A63)," ","*")&amp;"*", 'RENO CONT'!$C:$C, 'RENO CONT'!$D:$D, "", 2),
"")</f>
        <v/>
      </c>
      <c r="C63" s="2" t="str">
        <f t="array" aca="1" ref="C63" ca="1">IFERROR(
  _xludf.XLOOKUP("*"&amp;SUBSTITUTE(TRIM(A63)," ","*")&amp;"*", 'RENO FINAN'!$A:$A, 'RENO FINAN'!$C:$C, "", 2),
"")</f>
        <v/>
      </c>
      <c r="D63" s="1" t="s">
        <v>582</v>
      </c>
      <c r="E63" s="2" t="s">
        <v>48</v>
      </c>
      <c r="F63" s="1" t="s">
        <v>98</v>
      </c>
      <c r="G63" s="2" t="s">
        <v>156</v>
      </c>
      <c r="H63" s="1" t="s">
        <v>703</v>
      </c>
      <c r="I63" s="2" t="s">
        <v>704</v>
      </c>
      <c r="J63" s="1" t="s">
        <v>700</v>
      </c>
      <c r="K63" s="69" t="s">
        <v>706</v>
      </c>
      <c r="L63" s="1" t="s">
        <v>48</v>
      </c>
      <c r="M63" s="1" t="s">
        <v>397</v>
      </c>
      <c r="N63" s="2" t="s">
        <v>64</v>
      </c>
      <c r="O63" s="1" t="s">
        <v>65</v>
      </c>
      <c r="P63" s="2" t="s">
        <v>162</v>
      </c>
      <c r="Q63" s="2" t="s">
        <v>120</v>
      </c>
      <c r="R63" s="2" t="s">
        <v>685</v>
      </c>
      <c r="S63" s="2" t="s">
        <v>64</v>
      </c>
      <c r="T63" s="2">
        <v>5</v>
      </c>
      <c r="U63" s="2" t="s">
        <v>48</v>
      </c>
      <c r="V63" s="2" t="s">
        <v>71</v>
      </c>
      <c r="W63" s="2" t="s">
        <v>48</v>
      </c>
    </row>
    <row r="64" spans="1:23" ht="15.75" customHeight="1">
      <c r="A64" s="1" t="s">
        <v>480</v>
      </c>
      <c r="B64" s="2" t="str">
        <f t="array" aca="1" ref="B64" ca="1">IFERROR(
  _xludf.XLOOKUP("*"&amp;SUBSTITUTE(TRIM(A64)," ","*")&amp;"*", 'RENO CONT'!$C:$C, 'RENO CONT'!$D:$D, "", 2),
"")</f>
        <v/>
      </c>
      <c r="C64" s="2" t="str">
        <f t="array" aca="1" ref="C64" ca="1">IFERROR(
  _xludf.XLOOKUP("*"&amp;SUBSTITUTE(TRIM(A64)," ","*")&amp;"*", 'RENO FINAN'!$A:$A, 'RENO FINAN'!$C:$C, "", 2),
"")</f>
        <v/>
      </c>
      <c r="D64" s="1" t="s">
        <v>708</v>
      </c>
      <c r="E64" s="2" t="s">
        <v>709</v>
      </c>
      <c r="F64" s="1" t="s">
        <v>710</v>
      </c>
      <c r="G64" s="2" t="s">
        <v>156</v>
      </c>
      <c r="H64" s="1" t="s">
        <v>711</v>
      </c>
      <c r="I64" s="2" t="s">
        <v>712</v>
      </c>
      <c r="J64" s="1" t="s">
        <v>713</v>
      </c>
      <c r="K64" s="69" t="s">
        <v>384</v>
      </c>
      <c r="L64" s="1" t="s">
        <v>396</v>
      </c>
      <c r="M64" s="1" t="s">
        <v>714</v>
      </c>
      <c r="N64" s="2" t="s">
        <v>144</v>
      </c>
      <c r="O64" s="1" t="s">
        <v>65</v>
      </c>
      <c r="P64" s="2" t="s">
        <v>336</v>
      </c>
      <c r="Q64" s="2" t="s">
        <v>147</v>
      </c>
      <c r="R64" s="2" t="s">
        <v>716</v>
      </c>
      <c r="S64" s="2" t="s">
        <v>64</v>
      </c>
      <c r="T64" s="2">
        <v>5.0999999999999996</v>
      </c>
      <c r="U64" s="2" t="s">
        <v>144</v>
      </c>
      <c r="V64" s="2" t="s">
        <v>7</v>
      </c>
      <c r="W64" s="8" t="s">
        <v>665</v>
      </c>
    </row>
    <row r="65" spans="1:23" ht="15.75" customHeight="1">
      <c r="A65" s="1" t="s">
        <v>486</v>
      </c>
      <c r="B65" s="2" t="str">
        <f t="array" aca="1" ref="B65" ca="1">IFERROR(
  _xludf.XLOOKUP("*"&amp;SUBSTITUTE(TRIM(A65)," ","*")&amp;"*", 'RENO CONT'!$C:$C, 'RENO CONT'!$D:$D, "", 2),
"")</f>
        <v/>
      </c>
      <c r="C65" s="2" t="str">
        <f t="array" aca="1" ref="C65" ca="1">IFERROR(
  _xludf.XLOOKUP("*"&amp;SUBSTITUTE(TRIM(A65)," ","*")&amp;"*", 'RENO FINAN'!$A:$A, 'RENO FINAN'!$C:$C, "", 2),
"")</f>
        <v/>
      </c>
      <c r="D65" s="1" t="s">
        <v>718</v>
      </c>
      <c r="E65" s="2" t="s">
        <v>719</v>
      </c>
      <c r="F65" s="58" t="s">
        <v>754</v>
      </c>
      <c r="G65" s="2" t="s">
        <v>156</v>
      </c>
      <c r="H65" s="1" t="s">
        <v>720</v>
      </c>
      <c r="I65" s="2" t="s">
        <v>721</v>
      </c>
      <c r="J65" s="1" t="s">
        <v>722</v>
      </c>
      <c r="K65" s="69" t="s">
        <v>444</v>
      </c>
      <c r="L65" s="1" t="s">
        <v>48</v>
      </c>
      <c r="M65" s="1" t="s">
        <v>397</v>
      </c>
      <c r="N65" s="2" t="s">
        <v>64</v>
      </c>
      <c r="O65" s="1" t="s">
        <v>65</v>
      </c>
      <c r="P65" s="2" t="s">
        <v>600</v>
      </c>
      <c r="Q65" s="2" t="s">
        <v>435</v>
      </c>
      <c r="R65" s="2" t="s">
        <v>723</v>
      </c>
      <c r="S65" s="2" t="s">
        <v>64</v>
      </c>
      <c r="T65" s="2">
        <v>5.0999999999999996</v>
      </c>
      <c r="U65" s="2" t="s">
        <v>144</v>
      </c>
      <c r="V65" s="2" t="s">
        <v>71</v>
      </c>
      <c r="W65" s="2" t="s">
        <v>48</v>
      </c>
    </row>
    <row r="66" spans="1:23" ht="15.75" customHeight="1">
      <c r="A66" s="1" t="s">
        <v>496</v>
      </c>
      <c r="B66" s="2" t="str">
        <f t="array" aca="1" ref="B66" ca="1">IFERROR(
  _xludf.XLOOKUP("*"&amp;SUBSTITUTE(TRIM(A66)," ","*")&amp;"*", 'RENO CONT'!$C:$C, 'RENO CONT'!$D:$D, "", 2),
"")</f>
        <v/>
      </c>
      <c r="C66" s="2" t="str">
        <f t="array" aca="1" ref="C66" ca="1">IFERROR(
  _xludf.XLOOKUP("*"&amp;SUBSTITUTE(TRIM(A66)," ","*")&amp;"*", 'RENO FINAN'!$A:$A, 'RENO FINAN'!$C:$C, "", 2),
"")</f>
        <v/>
      </c>
      <c r="D66" s="1" t="s">
        <v>603</v>
      </c>
      <c r="E66" s="2" t="s">
        <v>341</v>
      </c>
      <c r="F66" s="1" t="s">
        <v>726</v>
      </c>
      <c r="G66" s="2" t="s">
        <v>156</v>
      </c>
      <c r="H66" s="1" t="s">
        <v>727</v>
      </c>
      <c r="I66" s="2" t="s">
        <v>728</v>
      </c>
      <c r="J66" s="1" t="s">
        <v>345</v>
      </c>
      <c r="K66" s="69" t="s">
        <v>444</v>
      </c>
      <c r="L66" s="1" t="s">
        <v>48</v>
      </c>
      <c r="M66" s="1" t="s">
        <v>729</v>
      </c>
      <c r="N66" s="2" t="s">
        <v>64</v>
      </c>
      <c r="O66" s="1" t="s">
        <v>65</v>
      </c>
      <c r="P66" s="2" t="s">
        <v>336</v>
      </c>
      <c r="Q66" s="2" t="s">
        <v>595</v>
      </c>
      <c r="R66" s="2" t="s">
        <v>730</v>
      </c>
      <c r="S66" s="2" t="s">
        <v>64</v>
      </c>
      <c r="T66" s="13">
        <v>5.4</v>
      </c>
      <c r="U66" s="2" t="s">
        <v>144</v>
      </c>
      <c r="V66" s="2" t="s">
        <v>7</v>
      </c>
      <c r="W66" s="2" t="s">
        <v>48</v>
      </c>
    </row>
    <row r="67" spans="1:23" ht="15.75" customHeight="1">
      <c r="A67" s="1" t="s">
        <v>507</v>
      </c>
      <c r="B67" s="2" t="str">
        <f t="array" aca="1" ref="B67" ca="1">IFERROR(
  _xludf.XLOOKUP("*"&amp;SUBSTITUTE(TRIM(A67)," ","*")&amp;"*", 'RENO CONT'!$C:$C, 'RENO CONT'!$D:$D, "", 2),
"")</f>
        <v/>
      </c>
      <c r="C67" s="2" t="str">
        <f t="array" aca="1" ref="C67" ca="1">IFERROR(
  _xludf.XLOOKUP("*"&amp;SUBSTITUTE(TRIM(A67)," ","*")&amp;"*", 'RENO FINAN'!$A:$A, 'RENO FINAN'!$C:$C, "", 2),
"")</f>
        <v/>
      </c>
      <c r="D67" s="1" t="s">
        <v>732</v>
      </c>
      <c r="E67" s="2" t="s">
        <v>719</v>
      </c>
      <c r="F67" s="1" t="s">
        <v>187</v>
      </c>
      <c r="G67" s="2" t="s">
        <v>156</v>
      </c>
      <c r="H67" s="1" t="s">
        <v>733</v>
      </c>
      <c r="I67" s="2" t="s">
        <v>735</v>
      </c>
      <c r="J67" s="1" t="s">
        <v>671</v>
      </c>
      <c r="K67" s="68" t="s">
        <v>502</v>
      </c>
      <c r="L67" s="1" t="s">
        <v>736</v>
      </c>
      <c r="M67" s="1" t="s">
        <v>673</v>
      </c>
      <c r="N67" s="2" t="s">
        <v>64</v>
      </c>
      <c r="O67" s="1" t="s">
        <v>65</v>
      </c>
      <c r="P67" s="2" t="s">
        <v>67</v>
      </c>
      <c r="Q67" s="2" t="s">
        <v>435</v>
      </c>
      <c r="R67" s="2" t="s">
        <v>737</v>
      </c>
      <c r="S67" s="2" t="s">
        <v>64</v>
      </c>
      <c r="T67" s="13">
        <v>5.4</v>
      </c>
      <c r="U67" s="2" t="s">
        <v>64</v>
      </c>
      <c r="V67" s="2" t="s">
        <v>71</v>
      </c>
      <c r="W67" s="2" t="s">
        <v>48</v>
      </c>
    </row>
    <row r="68" spans="1:23" ht="15.75" customHeight="1">
      <c r="A68" s="1" t="s">
        <v>510</v>
      </c>
      <c r="B68" s="2" t="str">
        <f t="array" aca="1" ref="B68" ca="1">IFERROR(
  _xludf.XLOOKUP("*"&amp;SUBSTITUTE(TRIM(A68)," ","*")&amp;"*", 'RENO CONT'!$C:$C, 'RENO CONT'!$D:$D, "", 2),
"")</f>
        <v/>
      </c>
      <c r="C68" s="2" t="str">
        <f t="array" aca="1" ref="C68" ca="1">IFERROR(
  _xludf.XLOOKUP("*"&amp;SUBSTITUTE(TRIM(A68)," ","*")&amp;"*", 'RENO FINAN'!$A:$A, 'RENO FINAN'!$C:$C, "", 2),
"")</f>
        <v/>
      </c>
      <c r="D68" s="30" t="s">
        <v>739</v>
      </c>
      <c r="E68" s="2" t="s">
        <v>441</v>
      </c>
      <c r="F68" s="30" t="s">
        <v>200</v>
      </c>
      <c r="G68" s="31" t="s">
        <v>156</v>
      </c>
      <c r="H68" s="30" t="s">
        <v>741</v>
      </c>
      <c r="I68" s="31" t="s">
        <v>742</v>
      </c>
      <c r="J68" s="30" t="s">
        <v>383</v>
      </c>
      <c r="K68" s="69" t="s">
        <v>159</v>
      </c>
      <c r="L68" s="30" t="s">
        <v>48</v>
      </c>
      <c r="M68" s="30" t="s">
        <v>743</v>
      </c>
      <c r="N68" s="31" t="s">
        <v>144</v>
      </c>
      <c r="O68" s="30" t="s">
        <v>161</v>
      </c>
      <c r="P68" s="31" t="s">
        <v>162</v>
      </c>
      <c r="Q68" s="31" t="s">
        <v>744</v>
      </c>
      <c r="R68" s="31" t="s">
        <v>505</v>
      </c>
      <c r="S68" s="31" t="s">
        <v>144</v>
      </c>
      <c r="T68" s="31">
        <v>6</v>
      </c>
      <c r="U68" s="31" t="s">
        <v>144</v>
      </c>
      <c r="V68" s="31" t="s">
        <v>7</v>
      </c>
      <c r="W68" s="31" t="s">
        <v>48</v>
      </c>
    </row>
    <row r="69" spans="1:23" ht="15.75" customHeight="1">
      <c r="A69" s="1" t="s">
        <v>518</v>
      </c>
      <c r="B69" s="2" t="str">
        <f t="array" aca="1" ref="B69" ca="1">IFERROR(
  _xludf.XLOOKUP("*"&amp;SUBSTITUTE(TRIM(A69)," ","*")&amp;"*", 'RENO CONT'!$C:$C, 'RENO CONT'!$D:$D, "", 2),
"")</f>
        <v/>
      </c>
      <c r="C69" s="2" t="str">
        <f t="array" aca="1" ref="C69" ca="1">IFERROR(
  _xludf.XLOOKUP("*"&amp;SUBSTITUTE(TRIM(A69)," ","*")&amp;"*", 'RENO FINAN'!$A:$A, 'RENO FINAN'!$C:$C, "", 2),
"")</f>
        <v/>
      </c>
      <c r="D69" s="30" t="s">
        <v>747</v>
      </c>
      <c r="E69" s="2" t="s">
        <v>82</v>
      </c>
      <c r="F69" s="30" t="s">
        <v>297</v>
      </c>
      <c r="G69" s="31" t="s">
        <v>54</v>
      </c>
      <c r="H69" s="30" t="s">
        <v>403</v>
      </c>
      <c r="I69" s="31" t="s">
        <v>395</v>
      </c>
      <c r="J69" s="30" t="s">
        <v>748</v>
      </c>
      <c r="K69" s="69" t="s">
        <v>104</v>
      </c>
      <c r="L69" s="30" t="s">
        <v>347</v>
      </c>
      <c r="M69" s="30" t="s">
        <v>749</v>
      </c>
      <c r="N69" s="31" t="s">
        <v>64</v>
      </c>
      <c r="O69" s="30" t="s">
        <v>65</v>
      </c>
      <c r="P69" s="31" t="s">
        <v>504</v>
      </c>
      <c r="Q69" s="31" t="s">
        <v>89</v>
      </c>
      <c r="R69" s="31" t="s">
        <v>90</v>
      </c>
      <c r="S69" s="31" t="s">
        <v>64</v>
      </c>
      <c r="T69" s="31">
        <v>5.0999999999999996</v>
      </c>
      <c r="U69" s="31" t="s">
        <v>48</v>
      </c>
      <c r="V69" s="31" t="s">
        <v>71</v>
      </c>
      <c r="W69" s="31" t="s">
        <v>48</v>
      </c>
    </row>
    <row r="70" spans="1:23" ht="15.75" customHeight="1">
      <c r="A70" s="1" t="s">
        <v>524</v>
      </c>
      <c r="B70" s="2" t="str">
        <f t="array" aca="1" ref="B70" ca="1">IFERROR(
  _xludf.XLOOKUP("*"&amp;SUBSTITUTE(TRIM(A70)," ","*")&amp;"*", 'RENO CONT'!$C:$C, 'RENO CONT'!$D:$D, "", 2),
"")</f>
        <v/>
      </c>
      <c r="C70" s="2" t="str">
        <f t="array" aca="1" ref="C70" ca="1">IFERROR(
  _xludf.XLOOKUP("*"&amp;SUBSTITUTE(TRIM(A70)," ","*")&amp;"*", 'RENO FINAN'!$A:$A, 'RENO FINAN'!$C:$C, "", 2),
"")</f>
        <v/>
      </c>
      <c r="D70" s="30" t="s">
        <v>752</v>
      </c>
      <c r="E70" s="2" t="s">
        <v>753</v>
      </c>
      <c r="F70" s="30" t="s">
        <v>754</v>
      </c>
      <c r="G70" s="31" t="s">
        <v>156</v>
      </c>
      <c r="H70" s="30" t="s">
        <v>755</v>
      </c>
      <c r="I70" s="31" t="s">
        <v>501</v>
      </c>
      <c r="J70" s="30" t="s">
        <v>345</v>
      </c>
      <c r="K70" s="69" t="s">
        <v>104</v>
      </c>
      <c r="L70" s="30" t="s">
        <v>347</v>
      </c>
      <c r="M70" s="30" t="s">
        <v>756</v>
      </c>
      <c r="N70" s="31" t="s">
        <v>64</v>
      </c>
      <c r="O70" s="30" t="s">
        <v>65</v>
      </c>
      <c r="P70" s="31" t="s">
        <v>504</v>
      </c>
      <c r="Q70" s="31" t="s">
        <v>757</v>
      </c>
      <c r="R70" s="31" t="s">
        <v>505</v>
      </c>
      <c r="S70" s="31" t="s">
        <v>64</v>
      </c>
      <c r="T70" s="31">
        <v>5.0999999999999996</v>
      </c>
      <c r="U70" s="31" t="s">
        <v>144</v>
      </c>
      <c r="V70" s="31" t="s">
        <v>71</v>
      </c>
      <c r="W70" s="31" t="s">
        <v>48</v>
      </c>
    </row>
    <row r="71" spans="1:23" ht="15.75" customHeight="1">
      <c r="A71" s="1" t="s">
        <v>528</v>
      </c>
      <c r="B71" s="2" t="str">
        <f t="array" aca="1" ref="B71" ca="1">IFERROR(
  _xludf.XLOOKUP("*"&amp;SUBSTITUTE(TRIM(A71)," ","*")&amp;"*", 'RENO CONT'!$C:$C, 'RENO CONT'!$D:$D, "", 2),
"")</f>
        <v/>
      </c>
      <c r="C71" s="2" t="str">
        <f t="array" aca="1" ref="C71" ca="1">IFERROR(
  _xludf.XLOOKUP("*"&amp;SUBSTITUTE(TRIM(A71)," ","*")&amp;"*", 'RENO FINAN'!$A:$A, 'RENO FINAN'!$C:$C, "", 2),
"")</f>
        <v/>
      </c>
      <c r="D71" s="30" t="s">
        <v>430</v>
      </c>
      <c r="E71" s="2" t="s">
        <v>48</v>
      </c>
      <c r="F71" s="30" t="s">
        <v>760</v>
      </c>
      <c r="G71" s="31" t="s">
        <v>156</v>
      </c>
      <c r="H71" s="30" t="s">
        <v>761</v>
      </c>
      <c r="I71" s="31" t="s">
        <v>370</v>
      </c>
      <c r="J71" s="30" t="s">
        <v>117</v>
      </c>
      <c r="K71" s="69" t="s">
        <v>444</v>
      </c>
      <c r="L71" s="30" t="s">
        <v>347</v>
      </c>
      <c r="M71" s="30" t="s">
        <v>762</v>
      </c>
      <c r="N71" s="31" t="s">
        <v>144</v>
      </c>
      <c r="O71" s="30" t="s">
        <v>161</v>
      </c>
      <c r="P71" s="31" t="s">
        <v>207</v>
      </c>
      <c r="Q71" s="31" t="s">
        <v>435</v>
      </c>
      <c r="R71" s="31" t="s">
        <v>505</v>
      </c>
      <c r="S71" s="31" t="s">
        <v>64</v>
      </c>
      <c r="T71" s="31">
        <v>5.4</v>
      </c>
      <c r="U71" s="31" t="s">
        <v>144</v>
      </c>
      <c r="V71" s="31" t="s">
        <v>7</v>
      </c>
      <c r="W71" s="31" t="s">
        <v>48</v>
      </c>
    </row>
    <row r="72" spans="1:23" ht="15.75" customHeight="1">
      <c r="A72" s="1" t="s">
        <v>535</v>
      </c>
      <c r="B72" s="2" t="str">
        <f t="array" aca="1" ref="B72" ca="1">IFERROR(
  _xludf.XLOOKUP("*"&amp;SUBSTITUTE(TRIM(A72)," ","*")&amp;"*", 'RENO CONT'!$C:$C, 'RENO CONT'!$D:$D, "", 2),
"")</f>
        <v/>
      </c>
      <c r="C72" s="2" t="str">
        <f t="array" aca="1" ref="C72" ca="1">IFERROR(
  _xludf.XLOOKUP("*"&amp;SUBSTITUTE(TRIM(A72)," ","*")&amp;"*", 'RENO FINAN'!$A:$A, 'RENO FINAN'!$C:$C, "", 2),
"")</f>
        <v/>
      </c>
      <c r="D72" s="30" t="s">
        <v>764</v>
      </c>
      <c r="E72" s="2" t="s">
        <v>431</v>
      </c>
      <c r="F72" s="30" t="s">
        <v>219</v>
      </c>
      <c r="G72" s="31" t="s">
        <v>156</v>
      </c>
      <c r="H72" s="30" t="s">
        <v>766</v>
      </c>
      <c r="I72" s="31" t="s">
        <v>767</v>
      </c>
      <c r="J72" s="30" t="s">
        <v>768</v>
      </c>
      <c r="K72" s="69" t="s">
        <v>159</v>
      </c>
      <c r="L72" s="30" t="s">
        <v>64</v>
      </c>
      <c r="M72" s="30" t="s">
        <v>770</v>
      </c>
      <c r="N72" s="31" t="s">
        <v>144</v>
      </c>
      <c r="O72" s="30" t="s">
        <v>161</v>
      </c>
      <c r="P72" s="31" t="s">
        <v>207</v>
      </c>
      <c r="Q72" s="31" t="s">
        <v>771</v>
      </c>
      <c r="R72" s="31" t="s">
        <v>436</v>
      </c>
      <c r="S72" s="31" t="s">
        <v>64</v>
      </c>
      <c r="T72" s="31">
        <v>5.4</v>
      </c>
      <c r="U72" s="31" t="s">
        <v>144</v>
      </c>
      <c r="V72" s="31" t="s">
        <v>7</v>
      </c>
      <c r="W72" s="31" t="s">
        <v>48</v>
      </c>
    </row>
    <row r="73" spans="1:23" ht="15.75" customHeight="1">
      <c r="A73" t="s">
        <v>1220</v>
      </c>
      <c r="D73" s="15" t="s">
        <v>1221</v>
      </c>
      <c r="E73" s="2" t="s">
        <v>719</v>
      </c>
      <c r="F73" s="77" t="s">
        <v>1222</v>
      </c>
      <c r="G73" s="15" t="s">
        <v>99</v>
      </c>
      <c r="H73" s="77" t="s">
        <v>403</v>
      </c>
      <c r="I73" s="15" t="s">
        <v>631</v>
      </c>
      <c r="J73" s="77" t="s">
        <v>240</v>
      </c>
      <c r="K73" s="15" t="s">
        <v>104</v>
      </c>
      <c r="L73" s="77" t="s">
        <v>1223</v>
      </c>
      <c r="M73" s="70" t="s">
        <v>1224</v>
      </c>
      <c r="N73" s="77" t="s">
        <v>64</v>
      </c>
      <c r="O73" s="77" t="s">
        <v>65</v>
      </c>
      <c r="P73" s="15" t="s">
        <v>1225</v>
      </c>
      <c r="Q73" s="77" t="s">
        <v>435</v>
      </c>
      <c r="R73" s="15" t="s">
        <v>723</v>
      </c>
      <c r="S73" s="15" t="s">
        <v>64</v>
      </c>
      <c r="T73" s="15">
        <v>5.4</v>
      </c>
      <c r="U73" s="15" t="s">
        <v>144</v>
      </c>
      <c r="V73" s="15" t="s">
        <v>71</v>
      </c>
      <c r="W73" s="15" t="s">
        <v>73</v>
      </c>
    </row>
    <row r="74" spans="1:23" ht="15.75" customHeight="1">
      <c r="A74" t="s">
        <v>1226</v>
      </c>
      <c r="D74" s="15" t="s">
        <v>139</v>
      </c>
      <c r="E74" s="2" t="s">
        <v>668</v>
      </c>
      <c r="F74" s="77" t="s">
        <v>1222</v>
      </c>
      <c r="G74" s="15" t="s">
        <v>99</v>
      </c>
      <c r="H74" s="77" t="s">
        <v>1227</v>
      </c>
      <c r="I74" s="15" t="s">
        <v>1228</v>
      </c>
      <c r="J74" s="77" t="s">
        <v>253</v>
      </c>
      <c r="K74" s="15" t="s">
        <v>1229</v>
      </c>
      <c r="L74" s="77" t="s">
        <v>48</v>
      </c>
      <c r="M74" s="70" t="s">
        <v>1230</v>
      </c>
      <c r="N74" s="77" t="s">
        <v>64</v>
      </c>
      <c r="O74" s="77" t="s">
        <v>1231</v>
      </c>
      <c r="P74" s="15" t="s">
        <v>1232</v>
      </c>
      <c r="Q74" s="77" t="s">
        <v>435</v>
      </c>
      <c r="R74" s="15" t="s">
        <v>730</v>
      </c>
      <c r="S74" s="15" t="s">
        <v>64</v>
      </c>
      <c r="T74" s="15">
        <v>5.4</v>
      </c>
      <c r="U74" s="15" t="s">
        <v>144</v>
      </c>
      <c r="V74" s="15" t="s">
        <v>1233</v>
      </c>
      <c r="W74" s="15" t="s">
        <v>73</v>
      </c>
    </row>
    <row r="75" spans="1:23" ht="15.75" customHeight="1">
      <c r="A75" t="s">
        <v>1234</v>
      </c>
      <c r="D75" s="15" t="s">
        <v>1235</v>
      </c>
      <c r="E75" s="2" t="s">
        <v>1236</v>
      </c>
      <c r="F75" s="77" t="s">
        <v>1237</v>
      </c>
      <c r="G75" s="15" t="s">
        <v>99</v>
      </c>
      <c r="H75" s="77" t="s">
        <v>1238</v>
      </c>
      <c r="I75" s="15" t="s">
        <v>1239</v>
      </c>
      <c r="J75" s="77" t="s">
        <v>285</v>
      </c>
      <c r="K75" s="15" t="s">
        <v>159</v>
      </c>
      <c r="L75" s="77" t="s">
        <v>48</v>
      </c>
      <c r="M75" s="70" t="s">
        <v>1240</v>
      </c>
      <c r="N75" s="77" t="s">
        <v>144</v>
      </c>
      <c r="O75" s="77" t="s">
        <v>1241</v>
      </c>
      <c r="P75" s="15" t="s">
        <v>1242</v>
      </c>
      <c r="Q75" s="77" t="s">
        <v>1243</v>
      </c>
      <c r="R75" s="15" t="s">
        <v>730</v>
      </c>
      <c r="S75" s="15" t="s">
        <v>1244</v>
      </c>
      <c r="T75" s="15">
        <v>5.4</v>
      </c>
      <c r="U75" s="15" t="s">
        <v>144</v>
      </c>
      <c r="V75" s="15" t="s">
        <v>1245</v>
      </c>
      <c r="W75" s="15" t="s">
        <v>1246</v>
      </c>
    </row>
    <row r="76" spans="1:23" ht="15.75" customHeight="1">
      <c r="A76" t="s">
        <v>1247</v>
      </c>
      <c r="D76" s="15" t="s">
        <v>1248</v>
      </c>
      <c r="E76" s="2" t="s">
        <v>1249</v>
      </c>
      <c r="F76" s="77" t="s">
        <v>1250</v>
      </c>
      <c r="G76" s="15" t="s">
        <v>99</v>
      </c>
      <c r="H76" s="77" t="s">
        <v>557</v>
      </c>
      <c r="I76" s="15" t="s">
        <v>1251</v>
      </c>
      <c r="J76" s="77" t="s">
        <v>285</v>
      </c>
      <c r="K76" s="15" t="s">
        <v>159</v>
      </c>
      <c r="L76" s="77" t="s">
        <v>48</v>
      </c>
      <c r="M76" s="70" t="s">
        <v>1252</v>
      </c>
      <c r="N76" s="77" t="s">
        <v>144</v>
      </c>
      <c r="O76" s="77" t="s">
        <v>1253</v>
      </c>
      <c r="P76" s="15" t="s">
        <v>1242</v>
      </c>
      <c r="Q76" s="77" t="s">
        <v>1254</v>
      </c>
      <c r="R76" s="15" t="s">
        <v>1255</v>
      </c>
      <c r="S76" s="15" t="s">
        <v>1256</v>
      </c>
      <c r="T76" s="15">
        <v>6</v>
      </c>
      <c r="U76" s="15" t="s">
        <v>144</v>
      </c>
      <c r="V76" s="15" t="s">
        <v>1245</v>
      </c>
      <c r="W76" s="15" t="s">
        <v>1257</v>
      </c>
    </row>
    <row r="77" spans="1:23" ht="15.75" customHeight="1">
      <c r="A77" t="s">
        <v>1258</v>
      </c>
      <c r="D77" s="15" t="s">
        <v>1259</v>
      </c>
      <c r="E77" s="2" t="s">
        <v>1260</v>
      </c>
      <c r="F77" s="77" t="s">
        <v>1250</v>
      </c>
      <c r="G77" s="15" t="s">
        <v>99</v>
      </c>
      <c r="H77" s="77" t="s">
        <v>755</v>
      </c>
      <c r="I77" s="15" t="s">
        <v>1261</v>
      </c>
      <c r="J77" s="77" t="s">
        <v>240</v>
      </c>
      <c r="K77" s="15" t="s">
        <v>104</v>
      </c>
      <c r="L77" s="77" t="s">
        <v>48</v>
      </c>
      <c r="M77" s="70" t="s">
        <v>1262</v>
      </c>
      <c r="N77" s="77" t="s">
        <v>64</v>
      </c>
      <c r="O77" s="77" t="s">
        <v>65</v>
      </c>
      <c r="P77" s="15" t="s">
        <v>1225</v>
      </c>
      <c r="Q77" s="77" t="s">
        <v>757</v>
      </c>
      <c r="R77" s="15" t="s">
        <v>505</v>
      </c>
      <c r="S77" s="15" t="s">
        <v>64</v>
      </c>
      <c r="T77" s="15">
        <v>5.0999999999999996</v>
      </c>
      <c r="U77" s="15" t="s">
        <v>144</v>
      </c>
      <c r="V77" s="15" t="s">
        <v>71</v>
      </c>
      <c r="W77" s="15" t="s">
        <v>73</v>
      </c>
    </row>
    <row r="78" spans="1:23" ht="15.75" customHeight="1">
      <c r="A78" t="s">
        <v>1263</v>
      </c>
      <c r="D78" s="15" t="s">
        <v>1264</v>
      </c>
      <c r="E78" s="2" t="s">
        <v>1265</v>
      </c>
      <c r="F78" s="77" t="s">
        <v>1237</v>
      </c>
      <c r="G78" s="15" t="s">
        <v>99</v>
      </c>
      <c r="H78" s="77" t="s">
        <v>557</v>
      </c>
      <c r="I78" s="15" t="s">
        <v>1251</v>
      </c>
      <c r="J78" s="77" t="s">
        <v>1266</v>
      </c>
      <c r="K78" s="15" t="s">
        <v>1267</v>
      </c>
      <c r="L78" s="77" t="s">
        <v>48</v>
      </c>
      <c r="M78" s="70" t="s">
        <v>1268</v>
      </c>
      <c r="N78" s="77" t="s">
        <v>144</v>
      </c>
      <c r="O78" s="77" t="s">
        <v>1241</v>
      </c>
      <c r="P78" s="15" t="s">
        <v>1269</v>
      </c>
      <c r="Q78" s="77" t="s">
        <v>120</v>
      </c>
      <c r="R78" s="15" t="s">
        <v>730</v>
      </c>
      <c r="S78" s="15" t="s">
        <v>1270</v>
      </c>
      <c r="T78" s="15">
        <v>6</v>
      </c>
      <c r="U78" s="15" t="s">
        <v>144</v>
      </c>
      <c r="V78" s="15" t="s">
        <v>1245</v>
      </c>
      <c r="W78" s="15" t="s">
        <v>1246</v>
      </c>
    </row>
    <row r="79" spans="1:23" ht="15.75" customHeight="1">
      <c r="A79" t="s">
        <v>1271</v>
      </c>
      <c r="D79" s="15" t="s">
        <v>1272</v>
      </c>
      <c r="E79" s="2" t="s">
        <v>1249</v>
      </c>
      <c r="F79" s="77" t="s">
        <v>219</v>
      </c>
      <c r="G79" s="15" t="s">
        <v>1273</v>
      </c>
      <c r="H79" s="77" t="s">
        <v>1238</v>
      </c>
      <c r="I79" s="15" t="s">
        <v>1239</v>
      </c>
      <c r="J79" s="77" t="s">
        <v>285</v>
      </c>
      <c r="K79" s="15" t="s">
        <v>159</v>
      </c>
      <c r="L79" s="77" t="s">
        <v>48</v>
      </c>
      <c r="M79" s="70" t="s">
        <v>1274</v>
      </c>
      <c r="N79" s="77" t="s">
        <v>144</v>
      </c>
      <c r="O79" s="77" t="s">
        <v>1241</v>
      </c>
      <c r="P79" s="15" t="s">
        <v>1275</v>
      </c>
      <c r="Q79" s="77" t="s">
        <v>595</v>
      </c>
      <c r="R79" s="15" t="s">
        <v>1255</v>
      </c>
      <c r="S79" s="15" t="s">
        <v>1270</v>
      </c>
      <c r="T79" s="15">
        <v>6</v>
      </c>
      <c r="U79" s="15" t="s">
        <v>144</v>
      </c>
      <c r="V79" s="15" t="s">
        <v>1233</v>
      </c>
      <c r="W79" s="15" t="s">
        <v>1246</v>
      </c>
    </row>
    <row r="80" spans="1:23" ht="15.75" customHeight="1">
      <c r="A80" t="s">
        <v>1276</v>
      </c>
      <c r="D80" s="15" t="s">
        <v>1277</v>
      </c>
      <c r="E80" s="2" t="s">
        <v>341</v>
      </c>
      <c r="F80" s="77" t="s">
        <v>219</v>
      </c>
      <c r="G80" s="15" t="s">
        <v>99</v>
      </c>
      <c r="H80" s="77" t="s">
        <v>1278</v>
      </c>
      <c r="I80" s="15" t="s">
        <v>1279</v>
      </c>
      <c r="J80" s="77" t="s">
        <v>285</v>
      </c>
      <c r="K80" s="15" t="s">
        <v>159</v>
      </c>
      <c r="L80" s="77" t="s">
        <v>48</v>
      </c>
      <c r="M80" s="70" t="s">
        <v>1274</v>
      </c>
      <c r="N80" s="77" t="s">
        <v>144</v>
      </c>
      <c r="O80" s="77" t="s">
        <v>1280</v>
      </c>
      <c r="P80" s="15" t="s">
        <v>1275</v>
      </c>
      <c r="Q80" s="77" t="s">
        <v>435</v>
      </c>
      <c r="R80" s="15" t="s">
        <v>1281</v>
      </c>
      <c r="S80" s="15" t="s">
        <v>64</v>
      </c>
      <c r="T80" s="15">
        <v>6</v>
      </c>
      <c r="U80" s="15" t="s">
        <v>144</v>
      </c>
      <c r="V80" s="15" t="s">
        <v>1233</v>
      </c>
      <c r="W80" s="15" t="s">
        <v>1246</v>
      </c>
    </row>
    <row r="81" spans="1:23" ht="15.75" customHeight="1">
      <c r="A81" t="s">
        <v>1282</v>
      </c>
      <c r="D81" s="15" t="s">
        <v>469</v>
      </c>
      <c r="E81" s="2" t="s">
        <v>341</v>
      </c>
      <c r="F81" s="77" t="s">
        <v>98</v>
      </c>
      <c r="G81" s="15" t="s">
        <v>99</v>
      </c>
      <c r="H81" s="77" t="s">
        <v>500</v>
      </c>
      <c r="I81" s="15" t="s">
        <v>1283</v>
      </c>
      <c r="J81" s="77" t="s">
        <v>240</v>
      </c>
      <c r="K81" s="15" t="s">
        <v>61</v>
      </c>
      <c r="L81" s="77" t="s">
        <v>1284</v>
      </c>
      <c r="M81" s="70" t="s">
        <v>1285</v>
      </c>
      <c r="N81" s="77" t="s">
        <v>144</v>
      </c>
      <c r="O81" s="77" t="s">
        <v>1231</v>
      </c>
      <c r="P81" s="15" t="s">
        <v>1286</v>
      </c>
      <c r="Q81" s="77" t="s">
        <v>147</v>
      </c>
      <c r="R81" s="15" t="s">
        <v>1287</v>
      </c>
      <c r="S81" s="15" t="s">
        <v>64</v>
      </c>
      <c r="T81" s="15">
        <v>5.0999999999999996</v>
      </c>
      <c r="U81" s="15" t="s">
        <v>144</v>
      </c>
      <c r="V81" s="15" t="s">
        <v>71</v>
      </c>
      <c r="W81" s="15" t="s">
        <v>446</v>
      </c>
    </row>
    <row r="82" spans="1:23" ht="15.75" customHeight="1">
      <c r="A82" t="s">
        <v>1288</v>
      </c>
      <c r="D82" s="15" t="s">
        <v>469</v>
      </c>
      <c r="E82" s="2" t="s">
        <v>341</v>
      </c>
      <c r="F82" s="77" t="s">
        <v>98</v>
      </c>
      <c r="G82" s="15" t="s">
        <v>99</v>
      </c>
      <c r="H82" s="77" t="s">
        <v>500</v>
      </c>
      <c r="I82" s="15" t="s">
        <v>1283</v>
      </c>
      <c r="J82" s="77" t="s">
        <v>253</v>
      </c>
      <c r="K82" s="15" t="s">
        <v>104</v>
      </c>
      <c r="L82" s="77" t="s">
        <v>1284</v>
      </c>
      <c r="M82" s="70" t="s">
        <v>1285</v>
      </c>
      <c r="N82" s="77" t="s">
        <v>144</v>
      </c>
      <c r="O82" s="77" t="s">
        <v>1231</v>
      </c>
      <c r="P82" s="15" t="s">
        <v>1286</v>
      </c>
      <c r="Q82" s="77" t="s">
        <v>147</v>
      </c>
      <c r="R82" s="15" t="s">
        <v>1287</v>
      </c>
      <c r="S82" s="15" t="s">
        <v>64</v>
      </c>
      <c r="T82" s="15">
        <v>5.0999999999999996</v>
      </c>
      <c r="U82" s="15" t="s">
        <v>144</v>
      </c>
      <c r="V82" s="15" t="s">
        <v>71</v>
      </c>
      <c r="W82" s="15" t="s">
        <v>446</v>
      </c>
    </row>
    <row r="83" spans="1:23" ht="15.75" customHeight="1">
      <c r="A83" t="s">
        <v>1289</v>
      </c>
      <c r="D83" s="15" t="s">
        <v>1290</v>
      </c>
      <c r="E83" s="2" t="s">
        <v>322</v>
      </c>
      <c r="F83" s="77" t="s">
        <v>219</v>
      </c>
      <c r="G83" s="15" t="s">
        <v>99</v>
      </c>
      <c r="H83" s="77" t="s">
        <v>1291</v>
      </c>
      <c r="I83" s="15" t="s">
        <v>1292</v>
      </c>
      <c r="J83" s="77" t="s">
        <v>253</v>
      </c>
      <c r="K83" s="15" t="s">
        <v>104</v>
      </c>
      <c r="L83" s="77" t="s">
        <v>48</v>
      </c>
      <c r="M83" s="70" t="s">
        <v>1293</v>
      </c>
      <c r="N83" s="77" t="s">
        <v>144</v>
      </c>
      <c r="O83" s="77" t="s">
        <v>1241</v>
      </c>
      <c r="P83" s="15" t="s">
        <v>1286</v>
      </c>
      <c r="Q83" s="77" t="s">
        <v>552</v>
      </c>
      <c r="R83" s="15" t="s">
        <v>505</v>
      </c>
      <c r="S83" s="15" t="s">
        <v>386</v>
      </c>
      <c r="T83" s="15">
        <v>5.4</v>
      </c>
      <c r="U83" s="15" t="s">
        <v>144</v>
      </c>
      <c r="V83" s="15" t="s">
        <v>1233</v>
      </c>
      <c r="W83" s="15" t="s">
        <v>314</v>
      </c>
    </row>
    <row r="84" spans="1:23" ht="15.75" customHeight="1">
      <c r="A84" t="s">
        <v>1294</v>
      </c>
      <c r="D84" s="15" t="s">
        <v>1295</v>
      </c>
      <c r="E84" s="2" t="s">
        <v>1296</v>
      </c>
      <c r="F84" s="77" t="s">
        <v>1250</v>
      </c>
      <c r="G84" s="15" t="s">
        <v>99</v>
      </c>
      <c r="H84" s="77" t="s">
        <v>766</v>
      </c>
      <c r="I84" s="15" t="s">
        <v>1297</v>
      </c>
      <c r="J84" s="77" t="s">
        <v>253</v>
      </c>
      <c r="K84" s="15" t="s">
        <v>1229</v>
      </c>
      <c r="L84" s="77" t="s">
        <v>48</v>
      </c>
      <c r="M84" s="70" t="s">
        <v>1298</v>
      </c>
      <c r="N84" s="77" t="s">
        <v>144</v>
      </c>
      <c r="O84" s="77" t="s">
        <v>1280</v>
      </c>
      <c r="P84" s="15" t="s">
        <v>1242</v>
      </c>
      <c r="Q84" s="77" t="s">
        <v>1299</v>
      </c>
      <c r="R84" s="15" t="s">
        <v>436</v>
      </c>
      <c r="S84" s="15" t="s">
        <v>64</v>
      </c>
      <c r="T84" s="15">
        <v>5.4</v>
      </c>
      <c r="U84" s="15" t="s">
        <v>144</v>
      </c>
      <c r="V84" s="15" t="s">
        <v>1233</v>
      </c>
      <c r="W84" s="15" t="s">
        <v>1300</v>
      </c>
    </row>
    <row r="85" spans="1:23" ht="15.75" customHeight="1">
      <c r="A85" t="s">
        <v>1301</v>
      </c>
      <c r="D85" s="15" t="s">
        <v>1302</v>
      </c>
      <c r="E85" s="2" t="s">
        <v>1303</v>
      </c>
      <c r="F85" s="77" t="s">
        <v>98</v>
      </c>
      <c r="G85" s="15" t="s">
        <v>99</v>
      </c>
      <c r="H85" s="77" t="s">
        <v>703</v>
      </c>
      <c r="I85" s="15" t="s">
        <v>1304</v>
      </c>
      <c r="J85" s="77" t="s">
        <v>223</v>
      </c>
      <c r="K85" s="15" t="s">
        <v>61</v>
      </c>
      <c r="L85" s="77" t="s">
        <v>1284</v>
      </c>
      <c r="M85" s="70" t="s">
        <v>1305</v>
      </c>
      <c r="N85" s="77" t="s">
        <v>64</v>
      </c>
      <c r="O85" s="77" t="s">
        <v>65</v>
      </c>
      <c r="P85" s="15" t="s">
        <v>1225</v>
      </c>
      <c r="Q85" s="77" t="s">
        <v>595</v>
      </c>
      <c r="R85" s="15" t="s">
        <v>90</v>
      </c>
      <c r="S85" s="15" t="s">
        <v>64</v>
      </c>
      <c r="T85" s="15">
        <v>5.2</v>
      </c>
      <c r="U85" s="15" t="s">
        <v>64</v>
      </c>
      <c r="V85" s="15" t="s">
        <v>71</v>
      </c>
      <c r="W85" s="15" t="s">
        <v>73</v>
      </c>
    </row>
    <row r="86" spans="1:23" ht="15.75" customHeight="1">
      <c r="A86" t="s">
        <v>1306</v>
      </c>
      <c r="D86" s="15" t="s">
        <v>1307</v>
      </c>
      <c r="E86" s="2" t="s">
        <v>1308</v>
      </c>
      <c r="F86" s="77" t="s">
        <v>1237</v>
      </c>
      <c r="G86" s="15" t="s">
        <v>99</v>
      </c>
      <c r="H86" s="77" t="s">
        <v>766</v>
      </c>
      <c r="I86" s="15" t="s">
        <v>1297</v>
      </c>
      <c r="J86" s="77" t="s">
        <v>285</v>
      </c>
      <c r="K86" s="15" t="s">
        <v>159</v>
      </c>
      <c r="L86" s="77" t="s">
        <v>48</v>
      </c>
      <c r="M86" s="70" t="s">
        <v>1309</v>
      </c>
      <c r="N86" s="77" t="s">
        <v>144</v>
      </c>
      <c r="O86" s="77" t="s">
        <v>1280</v>
      </c>
      <c r="P86" s="15" t="s">
        <v>1242</v>
      </c>
      <c r="Q86" s="77" t="s">
        <v>1310</v>
      </c>
      <c r="R86" s="15" t="s">
        <v>373</v>
      </c>
      <c r="S86" s="15" t="s">
        <v>386</v>
      </c>
      <c r="T86" s="15">
        <v>5.4</v>
      </c>
      <c r="U86" s="15" t="s">
        <v>144</v>
      </c>
      <c r="V86" s="15" t="s">
        <v>1233</v>
      </c>
      <c r="W86" s="15" t="s">
        <v>1300</v>
      </c>
    </row>
    <row r="87" spans="1:23" ht="15.75" customHeight="1">
      <c r="A87" t="s">
        <v>1311</v>
      </c>
      <c r="D87" s="15" t="s">
        <v>1312</v>
      </c>
      <c r="E87" s="2" t="s">
        <v>1313</v>
      </c>
      <c r="F87" s="77" t="s">
        <v>219</v>
      </c>
      <c r="G87" s="15" t="s">
        <v>99</v>
      </c>
      <c r="H87" s="77" t="s">
        <v>1314</v>
      </c>
      <c r="I87" s="15" t="s">
        <v>1315</v>
      </c>
      <c r="J87" s="77" t="s">
        <v>285</v>
      </c>
      <c r="K87" s="15" t="s">
        <v>104</v>
      </c>
      <c r="L87" s="77" t="s">
        <v>48</v>
      </c>
      <c r="M87" s="70" t="s">
        <v>1316</v>
      </c>
      <c r="N87" s="77" t="s">
        <v>144</v>
      </c>
      <c r="O87" s="77" t="s">
        <v>1280</v>
      </c>
      <c r="P87" s="15" t="s">
        <v>1317</v>
      </c>
      <c r="Q87" s="77" t="s">
        <v>1318</v>
      </c>
      <c r="R87" s="15" t="s">
        <v>230</v>
      </c>
      <c r="S87" s="15" t="s">
        <v>1319</v>
      </c>
      <c r="T87" s="15">
        <v>6</v>
      </c>
      <c r="U87" s="15" t="s">
        <v>144</v>
      </c>
      <c r="V87" s="15" t="s">
        <v>1320</v>
      </c>
      <c r="W87" s="15" t="s">
        <v>1321</v>
      </c>
    </row>
    <row r="88" spans="1:23" ht="15.75" customHeight="1">
      <c r="B88" s="2"/>
      <c r="C88" s="2"/>
      <c r="E88" s="2"/>
      <c r="G88" s="2"/>
      <c r="I88" s="2"/>
      <c r="N88" s="2"/>
      <c r="P88" s="2"/>
      <c r="Q88" s="2"/>
      <c r="R88" s="2"/>
      <c r="S88" s="2"/>
      <c r="T88" s="2"/>
      <c r="U88" s="2"/>
      <c r="V88" s="2"/>
      <c r="W88" s="2"/>
    </row>
    <row r="89" spans="1:23" ht="15.75" customHeight="1">
      <c r="B89" s="2"/>
      <c r="C89" s="2"/>
      <c r="E89" s="2"/>
      <c r="G89" s="2"/>
      <c r="I89" s="2"/>
      <c r="N89" s="2"/>
      <c r="P89" s="2"/>
      <c r="Q89" s="2"/>
      <c r="R89" s="2"/>
      <c r="S89" s="2"/>
      <c r="T89" s="2"/>
      <c r="U89" s="2"/>
      <c r="V89" s="2"/>
      <c r="W89" s="2"/>
    </row>
    <row r="90" spans="1:23" ht="15.75" customHeight="1">
      <c r="B90" s="2"/>
      <c r="C90" s="2"/>
      <c r="E90" s="2"/>
      <c r="G90" s="2"/>
      <c r="I90" s="2"/>
      <c r="N90" s="2"/>
      <c r="P90" s="2"/>
      <c r="Q90" s="2"/>
      <c r="R90" s="2"/>
      <c r="S90" s="2"/>
      <c r="T90" s="2"/>
      <c r="U90" s="2"/>
      <c r="V90" s="2"/>
      <c r="W90" s="2"/>
    </row>
    <row r="91" spans="1:23" ht="15.75" customHeight="1">
      <c r="B91" s="2"/>
      <c r="C91" s="2"/>
      <c r="E91" s="2"/>
      <c r="G91" s="2"/>
      <c r="I91" s="2"/>
      <c r="N91" s="2"/>
      <c r="P91" s="2"/>
      <c r="Q91" s="2"/>
      <c r="R91" s="2"/>
      <c r="S91" s="2"/>
      <c r="T91" s="2"/>
      <c r="U91" s="2"/>
      <c r="V91" s="2"/>
      <c r="W91" s="2"/>
    </row>
    <row r="92" spans="1:23" ht="15.75" customHeight="1">
      <c r="B92" s="2"/>
      <c r="C92" s="2"/>
      <c r="E92" s="2"/>
      <c r="G92" s="2"/>
      <c r="I92" s="2"/>
      <c r="N92" s="2"/>
      <c r="P92" s="2"/>
      <c r="Q92" s="2"/>
      <c r="R92" s="2"/>
      <c r="S92" s="2"/>
      <c r="T92" s="2"/>
      <c r="U92" s="2"/>
      <c r="V92" s="2"/>
      <c r="W92" s="2"/>
    </row>
    <row r="93" spans="1:23" ht="15.75" customHeight="1">
      <c r="B93" s="2"/>
      <c r="C93" s="2"/>
      <c r="E93" s="2"/>
      <c r="G93" s="2"/>
      <c r="I93" s="2"/>
      <c r="N93" s="2"/>
      <c r="P93" s="2"/>
      <c r="Q93" s="2"/>
      <c r="R93" s="2"/>
      <c r="S93" s="2"/>
      <c r="T93" s="2"/>
      <c r="U93" s="2"/>
      <c r="V93" s="2"/>
      <c r="W93" s="2"/>
    </row>
    <row r="94" spans="1:23" ht="15.75" customHeight="1">
      <c r="B94" s="2"/>
      <c r="C94" s="2"/>
      <c r="E94" s="2"/>
      <c r="G94" s="2"/>
      <c r="I94" s="2"/>
      <c r="N94" s="2"/>
      <c r="P94" s="2"/>
      <c r="Q94" s="2"/>
      <c r="R94" s="2"/>
      <c r="S94" s="2"/>
      <c r="T94" s="2"/>
      <c r="U94" s="2"/>
      <c r="V94" s="2"/>
      <c r="W94" s="2"/>
    </row>
    <row r="95" spans="1:23" ht="15.75" customHeight="1">
      <c r="B95" s="2"/>
      <c r="C95" s="2"/>
      <c r="E95" s="2"/>
      <c r="G95" s="2"/>
      <c r="I95" s="2"/>
      <c r="N95" s="2"/>
      <c r="P95" s="2"/>
      <c r="Q95" s="2"/>
      <c r="R95" s="2"/>
      <c r="S95" s="2"/>
      <c r="T95" s="2"/>
      <c r="U95" s="2"/>
      <c r="V95" s="2"/>
      <c r="W95" s="2"/>
    </row>
    <row r="96" spans="1:23" ht="15.75" customHeight="1">
      <c r="B96" s="2"/>
      <c r="C96" s="2"/>
      <c r="E96" s="2"/>
      <c r="G96" s="2"/>
      <c r="I96" s="2"/>
      <c r="N96" s="2"/>
      <c r="P96" s="2"/>
      <c r="Q96" s="2"/>
      <c r="R96" s="2"/>
      <c r="S96" s="2"/>
      <c r="T96" s="2"/>
      <c r="U96" s="2"/>
      <c r="V96" s="2"/>
      <c r="W96" s="2"/>
    </row>
    <row r="97" spans="2:23" ht="15.75" customHeight="1">
      <c r="B97" s="2"/>
      <c r="C97" s="2"/>
      <c r="E97" s="2"/>
      <c r="G97" s="2"/>
      <c r="I97" s="2"/>
      <c r="N97" s="2"/>
      <c r="P97" s="2"/>
      <c r="Q97" s="2"/>
      <c r="R97" s="2"/>
      <c r="S97" s="2"/>
      <c r="T97" s="2"/>
      <c r="U97" s="2"/>
      <c r="V97" s="2"/>
      <c r="W97" s="2"/>
    </row>
    <row r="98" spans="2:23" ht="15.75" customHeight="1">
      <c r="B98" s="2"/>
      <c r="C98" s="2"/>
      <c r="E98" s="2"/>
      <c r="G98" s="2"/>
      <c r="I98" s="2"/>
      <c r="N98" s="2"/>
      <c r="P98" s="2"/>
      <c r="Q98" s="2"/>
      <c r="R98" s="2"/>
      <c r="S98" s="2"/>
      <c r="T98" s="2"/>
      <c r="U98" s="2"/>
      <c r="V98" s="2"/>
      <c r="W98" s="2"/>
    </row>
    <row r="99" spans="2:23" ht="15.75" customHeight="1">
      <c r="B99" s="2"/>
      <c r="C99" s="2"/>
      <c r="E99" s="2"/>
      <c r="G99" s="2"/>
      <c r="I99" s="2"/>
      <c r="N99" s="2"/>
      <c r="P99" s="2"/>
      <c r="Q99" s="2"/>
      <c r="R99" s="2"/>
      <c r="S99" s="2"/>
      <c r="T99" s="2"/>
      <c r="U99" s="2"/>
      <c r="V99" s="2"/>
      <c r="W99" s="2"/>
    </row>
    <row r="100" spans="2:23" ht="15.75" customHeight="1">
      <c r="B100" s="2"/>
      <c r="C100" s="2"/>
      <c r="E100" s="2"/>
      <c r="G100" s="2"/>
      <c r="I100" s="2"/>
      <c r="N100" s="2"/>
      <c r="P100" s="2"/>
      <c r="Q100" s="2"/>
      <c r="R100" s="2"/>
      <c r="S100" s="2"/>
      <c r="T100" s="2"/>
      <c r="U100" s="2"/>
      <c r="V100" s="2"/>
      <c r="W100" s="2"/>
    </row>
    <row r="101" spans="2:23" ht="15.75" customHeight="1">
      <c r="B101" s="2"/>
      <c r="C101" s="2"/>
      <c r="E101" s="2"/>
      <c r="G101" s="2"/>
      <c r="I101" s="2"/>
      <c r="N101" s="2"/>
      <c r="P101" s="2"/>
      <c r="Q101" s="2"/>
      <c r="R101" s="2"/>
      <c r="S101" s="2"/>
      <c r="T101" s="2"/>
      <c r="U101" s="2"/>
      <c r="V101" s="2"/>
      <c r="W101" s="2"/>
    </row>
    <row r="102" spans="2:23" ht="15.75" customHeight="1">
      <c r="B102" s="2"/>
      <c r="C102" s="2"/>
      <c r="E102" s="2"/>
      <c r="G102" s="2"/>
      <c r="I102" s="2"/>
      <c r="N102" s="2"/>
      <c r="P102" s="2"/>
      <c r="Q102" s="2"/>
      <c r="R102" s="2"/>
      <c r="S102" s="2"/>
      <c r="T102" s="2"/>
      <c r="U102" s="2"/>
      <c r="V102" s="2"/>
      <c r="W102" s="2"/>
    </row>
    <row r="103" spans="2:23" ht="15.75" customHeight="1">
      <c r="B103" s="2"/>
      <c r="C103" s="2"/>
      <c r="E103" s="2"/>
      <c r="G103" s="2"/>
      <c r="I103" s="2"/>
      <c r="N103" s="2"/>
      <c r="P103" s="2"/>
      <c r="Q103" s="2"/>
      <c r="R103" s="2"/>
      <c r="S103" s="2"/>
      <c r="T103" s="2"/>
      <c r="U103" s="2"/>
      <c r="V103" s="2"/>
      <c r="W103" s="2"/>
    </row>
    <row r="104" spans="2:23" ht="15.75" customHeight="1">
      <c r="B104" s="2"/>
      <c r="C104" s="2"/>
      <c r="E104" s="2"/>
      <c r="G104" s="2"/>
      <c r="I104" s="2"/>
      <c r="N104" s="2"/>
      <c r="P104" s="2"/>
      <c r="Q104" s="2"/>
      <c r="R104" s="2"/>
      <c r="S104" s="2"/>
      <c r="T104" s="2"/>
      <c r="U104" s="2"/>
      <c r="V104" s="2"/>
      <c r="W104" s="2"/>
    </row>
    <row r="105" spans="2:23" ht="15.75" customHeight="1">
      <c r="B105" s="2"/>
      <c r="C105" s="2"/>
      <c r="E105" s="2"/>
      <c r="G105" s="2"/>
      <c r="I105" s="2"/>
      <c r="N105" s="2"/>
      <c r="P105" s="2"/>
      <c r="Q105" s="2"/>
      <c r="R105" s="2"/>
      <c r="S105" s="2"/>
      <c r="T105" s="2"/>
      <c r="U105" s="2"/>
      <c r="V105" s="2"/>
      <c r="W105" s="2"/>
    </row>
    <row r="106" spans="2:23" ht="15.75" customHeight="1">
      <c r="B106" s="2"/>
      <c r="C106" s="2"/>
      <c r="E106" s="2"/>
      <c r="G106" s="2"/>
      <c r="I106" s="2"/>
      <c r="N106" s="2"/>
      <c r="P106" s="2"/>
      <c r="Q106" s="2"/>
      <c r="R106" s="2"/>
      <c r="S106" s="2"/>
      <c r="T106" s="2"/>
      <c r="U106" s="2"/>
      <c r="V106" s="2"/>
      <c r="W106" s="2"/>
    </row>
    <row r="107" spans="2:23" ht="15.75" customHeight="1">
      <c r="B107" s="2"/>
      <c r="C107" s="2"/>
      <c r="E107" s="2"/>
      <c r="G107" s="2"/>
      <c r="I107" s="2"/>
      <c r="N107" s="2"/>
      <c r="P107" s="2"/>
      <c r="Q107" s="2"/>
      <c r="R107" s="2"/>
      <c r="S107" s="2"/>
      <c r="T107" s="2"/>
      <c r="U107" s="2"/>
      <c r="V107" s="2"/>
      <c r="W107" s="2"/>
    </row>
    <row r="108" spans="2:23" ht="15.75" customHeight="1">
      <c r="B108" s="2"/>
      <c r="C108" s="2"/>
      <c r="E108" s="2"/>
      <c r="G108" s="2"/>
      <c r="I108" s="2"/>
      <c r="N108" s="2"/>
      <c r="P108" s="2"/>
      <c r="Q108" s="2"/>
      <c r="R108" s="2"/>
      <c r="S108" s="2"/>
      <c r="T108" s="2"/>
      <c r="U108" s="2"/>
      <c r="V108" s="2"/>
      <c r="W108" s="2"/>
    </row>
    <row r="109" spans="2:23" ht="15.75" customHeight="1">
      <c r="B109" s="2"/>
      <c r="C109" s="2"/>
      <c r="E109" s="2"/>
      <c r="G109" s="2"/>
      <c r="I109" s="2"/>
      <c r="N109" s="2"/>
      <c r="P109" s="2"/>
      <c r="Q109" s="2"/>
      <c r="R109" s="2"/>
      <c r="S109" s="2"/>
      <c r="T109" s="2"/>
      <c r="U109" s="2"/>
      <c r="V109" s="2"/>
      <c r="W109" s="2"/>
    </row>
    <row r="110" spans="2:23" ht="15.75" customHeight="1">
      <c r="B110" s="2"/>
      <c r="C110" s="2"/>
      <c r="E110" s="2"/>
      <c r="G110" s="2"/>
      <c r="I110" s="2"/>
      <c r="N110" s="2"/>
      <c r="P110" s="2"/>
      <c r="Q110" s="2"/>
      <c r="R110" s="2"/>
      <c r="S110" s="2"/>
      <c r="T110" s="2"/>
      <c r="U110" s="2"/>
      <c r="V110" s="2"/>
      <c r="W110" s="2"/>
    </row>
    <row r="111" spans="2:23" ht="15.75" customHeight="1">
      <c r="B111" s="2"/>
      <c r="C111" s="2"/>
      <c r="E111" s="2"/>
      <c r="G111" s="2"/>
      <c r="I111" s="2"/>
      <c r="N111" s="2"/>
      <c r="P111" s="2"/>
      <c r="Q111" s="2"/>
      <c r="R111" s="2"/>
      <c r="S111" s="2"/>
      <c r="T111" s="2"/>
      <c r="U111" s="2"/>
      <c r="V111" s="2"/>
      <c r="W111" s="2"/>
    </row>
    <row r="112" spans="2:23" ht="15.75" customHeight="1">
      <c r="B112" s="2"/>
      <c r="C112" s="2"/>
      <c r="E112" s="2"/>
      <c r="G112" s="2"/>
      <c r="I112" s="2"/>
      <c r="N112" s="2"/>
      <c r="P112" s="2"/>
      <c r="Q112" s="2"/>
      <c r="R112" s="2"/>
      <c r="S112" s="2"/>
      <c r="T112" s="2"/>
      <c r="U112" s="2"/>
      <c r="V112" s="2"/>
      <c r="W112" s="2"/>
    </row>
    <row r="113" spans="2:23" ht="15.75" customHeight="1">
      <c r="B113" s="2"/>
      <c r="C113" s="2"/>
      <c r="E113" s="2"/>
      <c r="G113" s="2"/>
      <c r="I113" s="2"/>
      <c r="N113" s="2"/>
      <c r="P113" s="2"/>
      <c r="Q113" s="2"/>
      <c r="R113" s="2"/>
      <c r="S113" s="2"/>
      <c r="T113" s="2"/>
      <c r="U113" s="2"/>
      <c r="V113" s="2"/>
      <c r="W113" s="2"/>
    </row>
    <row r="114" spans="2:23" ht="15.75" customHeight="1">
      <c r="B114" s="2"/>
      <c r="C114" s="2"/>
      <c r="E114" s="2"/>
      <c r="G114" s="2"/>
      <c r="I114" s="2"/>
      <c r="N114" s="2"/>
      <c r="P114" s="2"/>
      <c r="Q114" s="2"/>
      <c r="R114" s="2"/>
      <c r="S114" s="2"/>
      <c r="T114" s="2"/>
      <c r="U114" s="2"/>
      <c r="V114" s="2"/>
      <c r="W114" s="2"/>
    </row>
    <row r="115" spans="2:23" ht="15.75" customHeight="1">
      <c r="B115" s="2"/>
      <c r="C115" s="2"/>
      <c r="E115" s="2"/>
      <c r="G115" s="2"/>
      <c r="I115" s="2"/>
      <c r="N115" s="2"/>
      <c r="P115" s="2"/>
      <c r="Q115" s="2"/>
      <c r="R115" s="2"/>
      <c r="S115" s="2"/>
      <c r="T115" s="2"/>
      <c r="U115" s="2"/>
      <c r="V115" s="2"/>
      <c r="W115" s="2"/>
    </row>
    <row r="116" spans="2:23" ht="15.75" customHeight="1">
      <c r="B116" s="2"/>
      <c r="C116" s="2"/>
      <c r="E116" s="2"/>
      <c r="G116" s="2"/>
      <c r="I116" s="2"/>
      <c r="N116" s="2"/>
      <c r="P116" s="2"/>
      <c r="Q116" s="2"/>
      <c r="R116" s="2"/>
      <c r="S116" s="2"/>
      <c r="T116" s="2"/>
      <c r="U116" s="2"/>
      <c r="V116" s="2"/>
      <c r="W116" s="2"/>
    </row>
    <row r="117" spans="2:23" ht="15.75" customHeight="1">
      <c r="B117" s="2"/>
      <c r="C117" s="2"/>
      <c r="E117" s="2"/>
      <c r="G117" s="2"/>
      <c r="I117" s="2"/>
      <c r="N117" s="2"/>
      <c r="P117" s="2"/>
      <c r="Q117" s="2"/>
      <c r="R117" s="2"/>
      <c r="S117" s="2"/>
      <c r="T117" s="2"/>
      <c r="U117" s="2"/>
      <c r="V117" s="2"/>
      <c r="W117" s="2"/>
    </row>
    <row r="118" spans="2:23" ht="15.75" customHeight="1">
      <c r="B118" s="2"/>
      <c r="C118" s="2"/>
      <c r="E118" s="2"/>
      <c r="G118" s="2"/>
      <c r="I118" s="2"/>
      <c r="N118" s="2"/>
      <c r="P118" s="2"/>
      <c r="Q118" s="2"/>
      <c r="R118" s="2"/>
      <c r="S118" s="2"/>
      <c r="T118" s="2"/>
      <c r="U118" s="2"/>
      <c r="V118" s="2"/>
      <c r="W118" s="2"/>
    </row>
    <row r="119" spans="2:23" ht="15.75" customHeight="1">
      <c r="B119" s="2"/>
      <c r="C119" s="2"/>
      <c r="E119" s="2"/>
      <c r="G119" s="2"/>
      <c r="I119" s="2"/>
      <c r="N119" s="2"/>
      <c r="P119" s="2"/>
      <c r="Q119" s="2"/>
      <c r="R119" s="2"/>
      <c r="S119" s="2"/>
      <c r="T119" s="2"/>
      <c r="U119" s="2"/>
      <c r="V119" s="2"/>
      <c r="W119" s="2"/>
    </row>
    <row r="120" spans="2:23" ht="15.75" customHeight="1">
      <c r="B120" s="2"/>
      <c r="C120" s="2"/>
      <c r="E120" s="2"/>
      <c r="G120" s="2"/>
      <c r="I120" s="2"/>
      <c r="N120" s="2"/>
      <c r="P120" s="2"/>
      <c r="Q120" s="2"/>
      <c r="R120" s="2"/>
      <c r="S120" s="2"/>
      <c r="T120" s="2"/>
      <c r="U120" s="2"/>
      <c r="V120" s="2"/>
      <c r="W120" s="2"/>
    </row>
    <row r="121" spans="2:23" ht="15.75" customHeight="1">
      <c r="B121" s="2"/>
      <c r="C121" s="2"/>
      <c r="E121" s="2"/>
      <c r="G121" s="2"/>
      <c r="I121" s="2"/>
      <c r="N121" s="2"/>
      <c r="P121" s="2"/>
      <c r="Q121" s="2"/>
      <c r="R121" s="2"/>
      <c r="S121" s="2"/>
      <c r="T121" s="2"/>
      <c r="U121" s="2"/>
      <c r="V121" s="2"/>
      <c r="W121" s="2"/>
    </row>
    <row r="122" spans="2:23" ht="15.75" customHeight="1">
      <c r="B122" s="2"/>
      <c r="C122" s="2"/>
      <c r="E122" s="2"/>
      <c r="G122" s="2"/>
      <c r="I122" s="2"/>
      <c r="N122" s="2"/>
      <c r="P122" s="2"/>
      <c r="Q122" s="2"/>
      <c r="R122" s="2"/>
      <c r="S122" s="2"/>
      <c r="T122" s="2"/>
      <c r="U122" s="2"/>
      <c r="V122" s="2"/>
      <c r="W122" s="2"/>
    </row>
    <row r="123" spans="2:23" ht="15.75" customHeight="1">
      <c r="B123" s="2"/>
      <c r="C123" s="2"/>
      <c r="E123" s="2"/>
      <c r="G123" s="2"/>
      <c r="I123" s="2"/>
      <c r="N123" s="2"/>
      <c r="P123" s="2"/>
      <c r="Q123" s="2"/>
      <c r="R123" s="2"/>
      <c r="S123" s="2"/>
      <c r="T123" s="2"/>
      <c r="U123" s="2"/>
      <c r="V123" s="2"/>
      <c r="W123" s="2"/>
    </row>
    <row r="124" spans="2:23" ht="15.75" customHeight="1">
      <c r="B124" s="2"/>
      <c r="C124" s="2"/>
      <c r="E124" s="2"/>
      <c r="G124" s="2"/>
      <c r="I124" s="2"/>
      <c r="N124" s="2"/>
      <c r="P124" s="2"/>
      <c r="Q124" s="2"/>
      <c r="R124" s="2"/>
      <c r="S124" s="2"/>
      <c r="T124" s="2"/>
      <c r="U124" s="2"/>
      <c r="V124" s="2"/>
      <c r="W124" s="2"/>
    </row>
    <row r="125" spans="2:23" ht="15.75" customHeight="1">
      <c r="B125" s="2"/>
      <c r="C125" s="2"/>
      <c r="E125" s="2"/>
      <c r="G125" s="2"/>
      <c r="I125" s="2"/>
      <c r="N125" s="2"/>
      <c r="P125" s="2"/>
      <c r="Q125" s="2"/>
      <c r="R125" s="2"/>
      <c r="S125" s="2"/>
      <c r="T125" s="2"/>
      <c r="U125" s="2"/>
      <c r="V125" s="2"/>
      <c r="W125" s="2"/>
    </row>
    <row r="126" spans="2:23" ht="15.75" customHeight="1">
      <c r="B126" s="2"/>
      <c r="C126" s="2"/>
      <c r="E126" s="2"/>
      <c r="G126" s="2"/>
      <c r="I126" s="2"/>
      <c r="N126" s="2"/>
      <c r="P126" s="2"/>
      <c r="Q126" s="2"/>
      <c r="R126" s="2"/>
      <c r="S126" s="2"/>
      <c r="T126" s="2"/>
      <c r="U126" s="2"/>
      <c r="V126" s="2"/>
      <c r="W126" s="2"/>
    </row>
    <row r="127" spans="2:23" ht="15.75" customHeight="1">
      <c r="B127" s="2"/>
      <c r="C127" s="2"/>
      <c r="E127" s="2"/>
      <c r="G127" s="2"/>
      <c r="I127" s="2"/>
      <c r="N127" s="2"/>
      <c r="P127" s="2"/>
      <c r="Q127" s="2"/>
      <c r="R127" s="2"/>
      <c r="S127" s="2"/>
      <c r="T127" s="2"/>
      <c r="U127" s="2"/>
      <c r="V127" s="2"/>
      <c r="W127" s="2"/>
    </row>
    <row r="128" spans="2:23" ht="15.75" customHeight="1">
      <c r="B128" s="2"/>
      <c r="C128" s="2"/>
      <c r="E128" s="2"/>
      <c r="G128" s="2"/>
      <c r="I128" s="2"/>
      <c r="N128" s="2"/>
      <c r="P128" s="2"/>
      <c r="Q128" s="2"/>
      <c r="R128" s="2"/>
      <c r="S128" s="2"/>
      <c r="T128" s="2"/>
      <c r="U128" s="2"/>
      <c r="V128" s="2"/>
      <c r="W128" s="2"/>
    </row>
    <row r="129" spans="2:23" ht="15.75" customHeight="1">
      <c r="B129" s="2"/>
      <c r="C129" s="2"/>
      <c r="E129" s="2"/>
      <c r="G129" s="2"/>
      <c r="I129" s="2"/>
      <c r="N129" s="2"/>
      <c r="P129" s="2"/>
      <c r="Q129" s="2"/>
      <c r="R129" s="2"/>
      <c r="S129" s="2"/>
      <c r="T129" s="2"/>
      <c r="U129" s="2"/>
      <c r="V129" s="2"/>
      <c r="W129" s="2"/>
    </row>
    <row r="130" spans="2:23" ht="15.75" customHeight="1">
      <c r="B130" s="2"/>
      <c r="C130" s="2"/>
      <c r="E130" s="2"/>
      <c r="G130" s="2"/>
      <c r="I130" s="2"/>
      <c r="N130" s="2"/>
      <c r="P130" s="2"/>
      <c r="Q130" s="2"/>
      <c r="R130" s="2"/>
      <c r="S130" s="2"/>
      <c r="T130" s="2"/>
      <c r="U130" s="2"/>
      <c r="V130" s="2"/>
      <c r="W130" s="2"/>
    </row>
    <row r="131" spans="2:23" ht="15.75" customHeight="1">
      <c r="B131" s="2"/>
      <c r="C131" s="2"/>
      <c r="E131" s="2"/>
      <c r="G131" s="2"/>
      <c r="I131" s="2"/>
      <c r="N131" s="2"/>
      <c r="P131" s="2"/>
      <c r="Q131" s="2"/>
      <c r="R131" s="2"/>
      <c r="S131" s="2"/>
      <c r="T131" s="2"/>
      <c r="U131" s="2"/>
      <c r="V131" s="2"/>
      <c r="W131" s="2"/>
    </row>
    <row r="132" spans="2:23" ht="15.75" customHeight="1">
      <c r="B132" s="2"/>
      <c r="C132" s="2"/>
      <c r="E132" s="2"/>
      <c r="G132" s="2"/>
      <c r="I132" s="2"/>
      <c r="N132" s="2"/>
      <c r="P132" s="2"/>
      <c r="Q132" s="2"/>
      <c r="R132" s="2"/>
      <c r="S132" s="2"/>
      <c r="T132" s="2"/>
      <c r="U132" s="2"/>
      <c r="V132" s="2"/>
      <c r="W132" s="2"/>
    </row>
    <row r="133" spans="2:23" ht="15.75" customHeight="1">
      <c r="B133" s="2"/>
      <c r="C133" s="2"/>
      <c r="E133" s="2"/>
      <c r="G133" s="2"/>
      <c r="I133" s="2"/>
      <c r="N133" s="2"/>
      <c r="P133" s="2"/>
      <c r="Q133" s="2"/>
      <c r="R133" s="2"/>
      <c r="S133" s="2"/>
      <c r="T133" s="2"/>
      <c r="U133" s="2"/>
      <c r="V133" s="2"/>
      <c r="W133" s="2"/>
    </row>
    <row r="134" spans="2:23" ht="15.75" customHeight="1">
      <c r="B134" s="2"/>
      <c r="C134" s="2"/>
      <c r="E134" s="2"/>
      <c r="G134" s="2"/>
      <c r="I134" s="2"/>
      <c r="N134" s="2"/>
      <c r="P134" s="2"/>
      <c r="Q134" s="2"/>
      <c r="R134" s="2"/>
      <c r="S134" s="2"/>
      <c r="T134" s="2"/>
      <c r="U134" s="2"/>
      <c r="V134" s="2"/>
      <c r="W134" s="2"/>
    </row>
    <row r="135" spans="2:23" ht="15.75" customHeight="1">
      <c r="B135" s="2"/>
      <c r="C135" s="2"/>
      <c r="E135" s="2"/>
      <c r="G135" s="2"/>
      <c r="I135" s="2"/>
      <c r="N135" s="2"/>
      <c r="P135" s="2"/>
      <c r="Q135" s="2"/>
      <c r="R135" s="2"/>
      <c r="S135" s="2"/>
      <c r="T135" s="2"/>
      <c r="U135" s="2"/>
      <c r="V135" s="2"/>
      <c r="W135" s="2"/>
    </row>
    <row r="136" spans="2:23" ht="15.75" customHeight="1">
      <c r="B136" s="2"/>
      <c r="C136" s="2"/>
      <c r="E136" s="2"/>
      <c r="G136" s="2"/>
      <c r="I136" s="2"/>
      <c r="N136" s="2"/>
      <c r="P136" s="2"/>
      <c r="Q136" s="2"/>
      <c r="R136" s="2"/>
      <c r="S136" s="2"/>
      <c r="T136" s="2"/>
      <c r="U136" s="2"/>
      <c r="V136" s="2"/>
      <c r="W136" s="2"/>
    </row>
    <row r="137" spans="2:23" ht="15.75" customHeight="1">
      <c r="B137" s="2"/>
      <c r="C137" s="2"/>
      <c r="E137" s="2"/>
      <c r="G137" s="2"/>
      <c r="I137" s="2"/>
      <c r="N137" s="2"/>
      <c r="P137" s="2"/>
      <c r="Q137" s="2"/>
      <c r="R137" s="2"/>
      <c r="S137" s="2"/>
      <c r="T137" s="2"/>
      <c r="U137" s="2"/>
      <c r="V137" s="2"/>
      <c r="W137" s="2"/>
    </row>
    <row r="138" spans="2:23" ht="15.75" customHeight="1">
      <c r="B138" s="2"/>
      <c r="C138" s="2"/>
      <c r="E138" s="2"/>
      <c r="G138" s="2"/>
      <c r="I138" s="2"/>
      <c r="N138" s="2"/>
      <c r="P138" s="2"/>
      <c r="Q138" s="2"/>
      <c r="R138" s="2"/>
      <c r="S138" s="2"/>
      <c r="T138" s="2"/>
      <c r="U138" s="2"/>
      <c r="V138" s="2"/>
      <c r="W138" s="2"/>
    </row>
    <row r="139" spans="2:23" ht="15.75" customHeight="1">
      <c r="B139" s="2"/>
      <c r="C139" s="2"/>
      <c r="E139" s="2"/>
      <c r="G139" s="2"/>
      <c r="I139" s="2"/>
      <c r="N139" s="2"/>
      <c r="P139" s="2"/>
      <c r="Q139" s="2"/>
      <c r="R139" s="2"/>
      <c r="S139" s="2"/>
      <c r="T139" s="2"/>
      <c r="U139" s="2"/>
      <c r="V139" s="2"/>
      <c r="W139" s="2"/>
    </row>
    <row r="140" spans="2:23" ht="15.75" customHeight="1">
      <c r="B140" s="2"/>
      <c r="C140" s="2"/>
      <c r="E140" s="2"/>
      <c r="G140" s="2"/>
      <c r="I140" s="2"/>
      <c r="N140" s="2"/>
      <c r="P140" s="2"/>
      <c r="Q140" s="2"/>
      <c r="R140" s="2"/>
      <c r="S140" s="2"/>
      <c r="T140" s="2"/>
      <c r="U140" s="2"/>
      <c r="V140" s="2"/>
      <c r="W140" s="2"/>
    </row>
    <row r="141" spans="2:23" ht="15.75" customHeight="1">
      <c r="B141" s="2"/>
      <c r="C141" s="2"/>
      <c r="E141" s="2"/>
      <c r="G141" s="2"/>
      <c r="I141" s="2"/>
      <c r="N141" s="2"/>
      <c r="P141" s="2"/>
      <c r="Q141" s="2"/>
      <c r="R141" s="2"/>
      <c r="S141" s="2"/>
      <c r="T141" s="2"/>
      <c r="U141" s="2"/>
      <c r="V141" s="2"/>
      <c r="W141" s="2"/>
    </row>
    <row r="142" spans="2:23" ht="15.75" customHeight="1">
      <c r="B142" s="2"/>
      <c r="C142" s="2"/>
      <c r="E142" s="2"/>
      <c r="G142" s="2"/>
      <c r="I142" s="2"/>
      <c r="N142" s="2"/>
      <c r="P142" s="2"/>
      <c r="Q142" s="2"/>
      <c r="R142" s="2"/>
      <c r="S142" s="2"/>
      <c r="T142" s="2"/>
      <c r="U142" s="2"/>
      <c r="V142" s="2"/>
      <c r="W142" s="2"/>
    </row>
    <row r="143" spans="2:23" ht="15.75" customHeight="1">
      <c r="B143" s="2"/>
      <c r="C143" s="2"/>
      <c r="E143" s="2"/>
      <c r="G143" s="2"/>
      <c r="I143" s="2"/>
      <c r="N143" s="2"/>
      <c r="P143" s="2"/>
      <c r="Q143" s="2"/>
      <c r="R143" s="2"/>
      <c r="S143" s="2"/>
      <c r="T143" s="2"/>
      <c r="U143" s="2"/>
      <c r="V143" s="2"/>
      <c r="W143" s="2"/>
    </row>
    <row r="144" spans="2:23" ht="15.75" customHeight="1">
      <c r="B144" s="2"/>
      <c r="C144" s="2"/>
      <c r="E144" s="2"/>
      <c r="G144" s="2"/>
      <c r="I144" s="2"/>
      <c r="N144" s="2"/>
      <c r="P144" s="2"/>
      <c r="Q144" s="2"/>
      <c r="R144" s="2"/>
      <c r="S144" s="2"/>
      <c r="T144" s="2"/>
      <c r="U144" s="2"/>
      <c r="V144" s="2"/>
      <c r="W144" s="2"/>
    </row>
    <row r="145" spans="2:23" ht="15.75" customHeight="1">
      <c r="B145" s="2"/>
      <c r="C145" s="2"/>
      <c r="E145" s="2"/>
      <c r="G145" s="2"/>
      <c r="I145" s="2"/>
      <c r="N145" s="2"/>
      <c r="P145" s="2"/>
      <c r="Q145" s="2"/>
      <c r="R145" s="2"/>
      <c r="S145" s="2"/>
      <c r="T145" s="2"/>
      <c r="U145" s="2"/>
      <c r="V145" s="2"/>
      <c r="W145" s="2"/>
    </row>
    <row r="146" spans="2:23" ht="15.75" customHeight="1">
      <c r="B146" s="2"/>
      <c r="C146" s="2"/>
      <c r="E146" s="2"/>
      <c r="G146" s="2"/>
      <c r="I146" s="2"/>
      <c r="N146" s="2"/>
      <c r="P146" s="2"/>
      <c r="Q146" s="2"/>
      <c r="R146" s="2"/>
      <c r="S146" s="2"/>
      <c r="T146" s="2"/>
      <c r="U146" s="2"/>
      <c r="V146" s="2"/>
      <c r="W146" s="2"/>
    </row>
    <row r="147" spans="2:23" ht="15.75" customHeight="1">
      <c r="B147" s="2"/>
      <c r="C147" s="2"/>
      <c r="E147" s="2"/>
      <c r="G147" s="2"/>
      <c r="I147" s="2"/>
      <c r="N147" s="2"/>
      <c r="P147" s="2"/>
      <c r="Q147" s="2"/>
      <c r="R147" s="2"/>
      <c r="S147" s="2"/>
      <c r="T147" s="2"/>
      <c r="U147" s="2"/>
      <c r="V147" s="2"/>
      <c r="W147" s="2"/>
    </row>
    <row r="148" spans="2:23" ht="15.75" customHeight="1">
      <c r="B148" s="2"/>
      <c r="C148" s="2"/>
      <c r="E148" s="2"/>
      <c r="G148" s="2"/>
      <c r="I148" s="2"/>
      <c r="N148" s="2"/>
      <c r="P148" s="2"/>
      <c r="Q148" s="2"/>
      <c r="R148" s="2"/>
      <c r="S148" s="2"/>
      <c r="T148" s="2"/>
      <c r="U148" s="2"/>
      <c r="V148" s="2"/>
      <c r="W148" s="2"/>
    </row>
    <row r="149" spans="2:23" ht="15.75" customHeight="1">
      <c r="B149" s="2"/>
      <c r="C149" s="2"/>
      <c r="E149" s="2"/>
      <c r="G149" s="2"/>
      <c r="I149" s="2"/>
      <c r="N149" s="2"/>
      <c r="P149" s="2"/>
      <c r="Q149" s="2"/>
      <c r="R149" s="2"/>
      <c r="S149" s="2"/>
      <c r="T149" s="2"/>
      <c r="U149" s="2"/>
      <c r="V149" s="2"/>
      <c r="W149" s="2"/>
    </row>
    <row r="150" spans="2:23" ht="15.75" customHeight="1">
      <c r="B150" s="2"/>
      <c r="C150" s="2"/>
      <c r="E150" s="2"/>
      <c r="G150" s="2"/>
      <c r="I150" s="2"/>
      <c r="N150" s="2"/>
      <c r="P150" s="2"/>
      <c r="Q150" s="2"/>
      <c r="R150" s="2"/>
      <c r="S150" s="2"/>
      <c r="T150" s="2"/>
      <c r="U150" s="2"/>
      <c r="V150" s="2"/>
      <c r="W150" s="2"/>
    </row>
    <row r="151" spans="2:23" ht="15.75" customHeight="1">
      <c r="B151" s="2"/>
      <c r="C151" s="2"/>
      <c r="E151" s="2"/>
      <c r="G151" s="2"/>
      <c r="I151" s="2"/>
      <c r="N151" s="2"/>
      <c r="P151" s="2"/>
      <c r="Q151" s="2"/>
      <c r="R151" s="2"/>
      <c r="S151" s="2"/>
      <c r="T151" s="2"/>
      <c r="U151" s="2"/>
      <c r="V151" s="2"/>
      <c r="W151" s="2"/>
    </row>
    <row r="152" spans="2:23" ht="15.75" customHeight="1">
      <c r="B152" s="2"/>
      <c r="C152" s="2"/>
      <c r="E152" s="2"/>
      <c r="G152" s="2"/>
      <c r="I152" s="2"/>
      <c r="N152" s="2"/>
      <c r="P152" s="2"/>
      <c r="Q152" s="2"/>
      <c r="R152" s="2"/>
      <c r="S152" s="2"/>
      <c r="T152" s="2"/>
      <c r="U152" s="2"/>
      <c r="V152" s="2"/>
      <c r="W152" s="2"/>
    </row>
    <row r="153" spans="2:23" ht="15.75" customHeight="1">
      <c r="B153" s="2"/>
      <c r="C153" s="2"/>
      <c r="E153" s="2"/>
      <c r="G153" s="2"/>
      <c r="I153" s="2"/>
      <c r="N153" s="2"/>
      <c r="P153" s="2"/>
      <c r="Q153" s="2"/>
      <c r="R153" s="2"/>
      <c r="S153" s="2"/>
      <c r="T153" s="2"/>
      <c r="U153" s="2"/>
      <c r="V153" s="2"/>
      <c r="W153" s="2"/>
    </row>
    <row r="154" spans="2:23" ht="15.75" customHeight="1">
      <c r="B154" s="2"/>
      <c r="C154" s="2"/>
      <c r="E154" s="2"/>
      <c r="G154" s="2"/>
      <c r="I154" s="2"/>
      <c r="N154" s="2"/>
      <c r="P154" s="2"/>
      <c r="Q154" s="2"/>
      <c r="R154" s="2"/>
      <c r="S154" s="2"/>
      <c r="T154" s="2"/>
      <c r="U154" s="2"/>
      <c r="V154" s="2"/>
      <c r="W154" s="2"/>
    </row>
    <row r="155" spans="2:23" ht="15.75" customHeight="1">
      <c r="B155" s="2"/>
      <c r="C155" s="2"/>
      <c r="E155" s="2"/>
      <c r="G155" s="2"/>
      <c r="I155" s="2"/>
      <c r="N155" s="2"/>
      <c r="P155" s="2"/>
      <c r="Q155" s="2"/>
      <c r="R155" s="2"/>
      <c r="S155" s="2"/>
      <c r="T155" s="2"/>
      <c r="U155" s="2"/>
      <c r="V155" s="2"/>
      <c r="W155" s="2"/>
    </row>
    <row r="156" spans="2:23" ht="15.75" customHeight="1">
      <c r="B156" s="2"/>
      <c r="C156" s="2"/>
      <c r="E156" s="2"/>
      <c r="G156" s="2"/>
      <c r="I156" s="2"/>
      <c r="N156" s="2"/>
      <c r="P156" s="2"/>
      <c r="Q156" s="2"/>
      <c r="R156" s="2"/>
      <c r="S156" s="2"/>
      <c r="T156" s="2"/>
      <c r="U156" s="2"/>
      <c r="V156" s="2"/>
      <c r="W156" s="2"/>
    </row>
    <row r="157" spans="2:23" ht="15.75" customHeight="1">
      <c r="B157" s="2"/>
      <c r="C157" s="2"/>
      <c r="E157" s="2"/>
      <c r="G157" s="2"/>
      <c r="I157" s="2"/>
      <c r="N157" s="2"/>
      <c r="P157" s="2"/>
      <c r="Q157" s="2"/>
      <c r="R157" s="2"/>
      <c r="S157" s="2"/>
      <c r="T157" s="2"/>
      <c r="U157" s="2"/>
      <c r="V157" s="2"/>
      <c r="W157" s="2"/>
    </row>
    <row r="158" spans="2:23" ht="15.75" customHeight="1">
      <c r="B158" s="2"/>
      <c r="C158" s="2"/>
      <c r="E158" s="2"/>
      <c r="G158" s="2"/>
      <c r="I158" s="2"/>
      <c r="N158" s="2"/>
      <c r="P158" s="2"/>
      <c r="Q158" s="2"/>
      <c r="R158" s="2"/>
      <c r="S158" s="2"/>
      <c r="T158" s="2"/>
      <c r="U158" s="2"/>
      <c r="V158" s="2"/>
      <c r="W158" s="2"/>
    </row>
    <row r="159" spans="2:23" ht="15.75" customHeight="1">
      <c r="B159" s="2"/>
      <c r="C159" s="2"/>
      <c r="E159" s="2"/>
      <c r="G159" s="2"/>
      <c r="I159" s="2"/>
      <c r="N159" s="2"/>
      <c r="P159" s="2"/>
      <c r="Q159" s="2"/>
      <c r="R159" s="2"/>
      <c r="S159" s="2"/>
      <c r="T159" s="2"/>
      <c r="U159" s="2"/>
      <c r="V159" s="2"/>
      <c r="W159" s="2"/>
    </row>
    <row r="160" spans="2:23" ht="15.75" customHeight="1">
      <c r="B160" s="2"/>
      <c r="C160" s="2"/>
      <c r="E160" s="2"/>
      <c r="G160" s="2"/>
      <c r="I160" s="2"/>
      <c r="N160" s="2"/>
      <c r="P160" s="2"/>
      <c r="Q160" s="2"/>
      <c r="R160" s="2"/>
      <c r="S160" s="2"/>
      <c r="T160" s="2"/>
      <c r="U160" s="2"/>
      <c r="V160" s="2"/>
      <c r="W160" s="2"/>
    </row>
    <row r="161" spans="2:23" ht="15.75" customHeight="1">
      <c r="B161" s="2"/>
      <c r="C161" s="2"/>
      <c r="E161" s="2"/>
      <c r="G161" s="2"/>
      <c r="I161" s="2"/>
      <c r="N161" s="2"/>
      <c r="P161" s="2"/>
      <c r="Q161" s="2"/>
      <c r="R161" s="2"/>
      <c r="S161" s="2"/>
      <c r="T161" s="2"/>
      <c r="U161" s="2"/>
      <c r="V161" s="2"/>
      <c r="W161" s="2"/>
    </row>
    <row r="162" spans="2:23" ht="15.75" customHeight="1">
      <c r="B162" s="2"/>
      <c r="C162" s="2"/>
      <c r="E162" s="2"/>
      <c r="G162" s="2"/>
      <c r="I162" s="2"/>
      <c r="N162" s="2"/>
      <c r="P162" s="2"/>
      <c r="Q162" s="2"/>
      <c r="R162" s="2"/>
      <c r="S162" s="2"/>
      <c r="T162" s="2"/>
      <c r="U162" s="2"/>
      <c r="V162" s="2"/>
      <c r="W162" s="2"/>
    </row>
    <row r="163" spans="2:23" ht="15.75" customHeight="1">
      <c r="B163" s="2"/>
      <c r="C163" s="2"/>
      <c r="E163" s="2"/>
      <c r="G163" s="2"/>
      <c r="I163" s="2"/>
      <c r="N163" s="2"/>
      <c r="P163" s="2"/>
      <c r="Q163" s="2"/>
      <c r="R163" s="2"/>
      <c r="S163" s="2"/>
      <c r="T163" s="2"/>
      <c r="U163" s="2"/>
      <c r="V163" s="2"/>
      <c r="W163" s="2"/>
    </row>
    <row r="164" spans="2:23" ht="15.75" customHeight="1">
      <c r="B164" s="2"/>
      <c r="C164" s="2"/>
      <c r="E164" s="2"/>
      <c r="G164" s="2"/>
      <c r="I164" s="2"/>
      <c r="N164" s="2"/>
      <c r="P164" s="2"/>
      <c r="Q164" s="2"/>
      <c r="R164" s="2"/>
      <c r="S164" s="2"/>
      <c r="T164" s="2"/>
      <c r="U164" s="2"/>
      <c r="V164" s="2"/>
      <c r="W164" s="2"/>
    </row>
    <row r="165" spans="2:23" ht="15.75" customHeight="1">
      <c r="B165" s="2"/>
      <c r="C165" s="2"/>
      <c r="E165" s="2"/>
      <c r="G165" s="2"/>
      <c r="I165" s="2"/>
      <c r="N165" s="2"/>
      <c r="P165" s="2"/>
      <c r="Q165" s="2"/>
      <c r="R165" s="2"/>
      <c r="S165" s="2"/>
      <c r="T165" s="2"/>
      <c r="U165" s="2"/>
      <c r="V165" s="2"/>
      <c r="W165" s="2"/>
    </row>
    <row r="166" spans="2:23" ht="15.75" customHeight="1">
      <c r="B166" s="2"/>
      <c r="C166" s="2"/>
      <c r="E166" s="2"/>
      <c r="G166" s="2"/>
      <c r="I166" s="2"/>
      <c r="N166" s="2"/>
      <c r="P166" s="2"/>
      <c r="Q166" s="2"/>
      <c r="R166" s="2"/>
      <c r="S166" s="2"/>
      <c r="T166" s="2"/>
      <c r="U166" s="2"/>
      <c r="V166" s="2"/>
      <c r="W166" s="2"/>
    </row>
    <row r="167" spans="2:23" ht="15.75" customHeight="1">
      <c r="B167" s="2"/>
      <c r="C167" s="2"/>
      <c r="E167" s="2"/>
      <c r="G167" s="2"/>
      <c r="I167" s="2"/>
      <c r="N167" s="2"/>
      <c r="P167" s="2"/>
      <c r="Q167" s="2"/>
      <c r="R167" s="2"/>
      <c r="S167" s="2"/>
      <c r="T167" s="2"/>
      <c r="U167" s="2"/>
      <c r="V167" s="2"/>
      <c r="W167" s="2"/>
    </row>
    <row r="168" spans="2:23" ht="15.75" customHeight="1">
      <c r="B168" s="2"/>
      <c r="C168" s="2"/>
      <c r="E168" s="2"/>
      <c r="G168" s="2"/>
      <c r="I168" s="2"/>
      <c r="N168" s="2"/>
      <c r="P168" s="2"/>
      <c r="Q168" s="2"/>
      <c r="R168" s="2"/>
      <c r="S168" s="2"/>
      <c r="T168" s="2"/>
      <c r="U168" s="2"/>
      <c r="V168" s="2"/>
      <c r="W168" s="2"/>
    </row>
    <row r="169" spans="2:23" ht="15.75" customHeight="1">
      <c r="B169" s="2"/>
      <c r="C169" s="2"/>
      <c r="E169" s="2"/>
      <c r="G169" s="2"/>
      <c r="I169" s="2"/>
      <c r="N169" s="2"/>
      <c r="P169" s="2"/>
      <c r="Q169" s="2"/>
      <c r="R169" s="2"/>
      <c r="S169" s="2"/>
      <c r="T169" s="2"/>
      <c r="U169" s="2"/>
      <c r="V169" s="2"/>
      <c r="W169" s="2"/>
    </row>
    <row r="170" spans="2:23" ht="15.75" customHeight="1">
      <c r="B170" s="2"/>
      <c r="C170" s="2"/>
      <c r="E170" s="2"/>
      <c r="G170" s="2"/>
      <c r="I170" s="2"/>
      <c r="N170" s="2"/>
      <c r="P170" s="2"/>
      <c r="Q170" s="2"/>
      <c r="R170" s="2"/>
      <c r="S170" s="2"/>
      <c r="T170" s="2"/>
      <c r="U170" s="2"/>
      <c r="V170" s="2"/>
      <c r="W170" s="2"/>
    </row>
    <row r="171" spans="2:23" ht="15.75" customHeight="1">
      <c r="B171" s="2"/>
      <c r="C171" s="2"/>
      <c r="E171" s="2"/>
      <c r="G171" s="2"/>
      <c r="I171" s="2"/>
      <c r="N171" s="2"/>
      <c r="P171" s="2"/>
      <c r="Q171" s="2"/>
      <c r="R171" s="2"/>
      <c r="S171" s="2"/>
      <c r="T171" s="2"/>
      <c r="U171" s="2"/>
      <c r="V171" s="2"/>
      <c r="W171" s="2"/>
    </row>
    <row r="172" spans="2:23" ht="15.75" customHeight="1">
      <c r="B172" s="2"/>
      <c r="C172" s="2"/>
      <c r="E172" s="2"/>
      <c r="G172" s="2"/>
      <c r="I172" s="2"/>
      <c r="N172" s="2"/>
      <c r="P172" s="2"/>
      <c r="Q172" s="2"/>
      <c r="R172" s="2"/>
      <c r="S172" s="2"/>
      <c r="T172" s="2"/>
      <c r="U172" s="2"/>
      <c r="V172" s="2"/>
      <c r="W172" s="2"/>
    </row>
    <row r="173" spans="2:23" ht="15.75" customHeight="1">
      <c r="B173" s="2"/>
      <c r="C173" s="2"/>
      <c r="E173" s="2"/>
      <c r="G173" s="2"/>
      <c r="I173" s="2"/>
      <c r="N173" s="2"/>
      <c r="P173" s="2"/>
      <c r="Q173" s="2"/>
      <c r="R173" s="2"/>
      <c r="S173" s="2"/>
      <c r="T173" s="2"/>
      <c r="U173" s="2"/>
      <c r="V173" s="2"/>
      <c r="W173" s="2"/>
    </row>
    <row r="174" spans="2:23" ht="15.75" customHeight="1">
      <c r="B174" s="2"/>
      <c r="C174" s="2"/>
      <c r="E174" s="2"/>
      <c r="G174" s="2"/>
      <c r="I174" s="2"/>
      <c r="N174" s="2"/>
      <c r="P174" s="2"/>
      <c r="Q174" s="2"/>
      <c r="R174" s="2"/>
      <c r="S174" s="2"/>
      <c r="T174" s="2"/>
      <c r="U174" s="2"/>
      <c r="V174" s="2"/>
      <c r="W174" s="2"/>
    </row>
    <row r="175" spans="2:23" ht="15.75" customHeight="1">
      <c r="B175" s="2"/>
      <c r="C175" s="2"/>
      <c r="E175" s="2"/>
      <c r="G175" s="2"/>
      <c r="I175" s="2"/>
      <c r="N175" s="2"/>
      <c r="P175" s="2"/>
      <c r="Q175" s="2"/>
      <c r="R175" s="2"/>
      <c r="S175" s="2"/>
      <c r="T175" s="2"/>
      <c r="U175" s="2"/>
      <c r="V175" s="2"/>
      <c r="W175" s="2"/>
    </row>
    <row r="176" spans="2:23" ht="15.75" customHeight="1">
      <c r="B176" s="2"/>
      <c r="C176" s="2"/>
      <c r="E176" s="2"/>
      <c r="G176" s="2"/>
      <c r="I176" s="2"/>
      <c r="N176" s="2"/>
      <c r="P176" s="2"/>
      <c r="Q176" s="2"/>
      <c r="R176" s="2"/>
      <c r="S176" s="2"/>
      <c r="T176" s="2"/>
      <c r="U176" s="2"/>
      <c r="V176" s="2"/>
      <c r="W176" s="2"/>
    </row>
    <row r="177" spans="2:23" ht="15.75" customHeight="1">
      <c r="B177" s="2"/>
      <c r="C177" s="2"/>
      <c r="E177" s="2"/>
      <c r="G177" s="2"/>
      <c r="I177" s="2"/>
      <c r="N177" s="2"/>
      <c r="P177" s="2"/>
      <c r="Q177" s="2"/>
      <c r="R177" s="2"/>
      <c r="S177" s="2"/>
      <c r="T177" s="2"/>
      <c r="U177" s="2"/>
      <c r="V177" s="2"/>
      <c r="W177" s="2"/>
    </row>
    <row r="178" spans="2:23" ht="15.75" customHeight="1">
      <c r="B178" s="2"/>
      <c r="C178" s="2"/>
      <c r="E178" s="2"/>
      <c r="G178" s="2"/>
      <c r="I178" s="2"/>
      <c r="N178" s="2"/>
      <c r="P178" s="2"/>
      <c r="Q178" s="2"/>
      <c r="R178" s="2"/>
      <c r="S178" s="2"/>
      <c r="T178" s="2"/>
      <c r="U178" s="2"/>
      <c r="V178" s="2"/>
      <c r="W178" s="2"/>
    </row>
    <row r="179" spans="2:23" ht="15.75" customHeight="1">
      <c r="B179" s="2"/>
      <c r="C179" s="2"/>
      <c r="E179" s="2"/>
      <c r="G179" s="2"/>
      <c r="I179" s="2"/>
      <c r="N179" s="2"/>
      <c r="P179" s="2"/>
      <c r="Q179" s="2"/>
      <c r="R179" s="2"/>
      <c r="S179" s="2"/>
      <c r="T179" s="2"/>
      <c r="U179" s="2"/>
      <c r="V179" s="2"/>
      <c r="W179" s="2"/>
    </row>
    <row r="180" spans="2:23" ht="15.75" customHeight="1">
      <c r="B180" s="2"/>
      <c r="C180" s="2"/>
      <c r="E180" s="2"/>
      <c r="G180" s="2"/>
      <c r="I180" s="2"/>
      <c r="N180" s="2"/>
      <c r="P180" s="2"/>
      <c r="Q180" s="2"/>
      <c r="R180" s="2"/>
      <c r="S180" s="2"/>
      <c r="T180" s="2"/>
      <c r="U180" s="2"/>
      <c r="V180" s="2"/>
      <c r="W180" s="2"/>
    </row>
    <row r="181" spans="2:23" ht="15.75" customHeight="1">
      <c r="B181" s="2"/>
      <c r="C181" s="2"/>
      <c r="E181" s="2"/>
      <c r="G181" s="2"/>
      <c r="I181" s="2"/>
      <c r="N181" s="2"/>
      <c r="P181" s="2"/>
      <c r="Q181" s="2"/>
      <c r="R181" s="2"/>
      <c r="S181" s="2"/>
      <c r="T181" s="2"/>
      <c r="U181" s="2"/>
      <c r="V181" s="2"/>
      <c r="W181" s="2"/>
    </row>
    <row r="182" spans="2:23" ht="15.75" customHeight="1">
      <c r="B182" s="2"/>
      <c r="C182" s="2"/>
      <c r="E182" s="2"/>
      <c r="G182" s="2"/>
      <c r="I182" s="2"/>
      <c r="N182" s="2"/>
      <c r="P182" s="2"/>
      <c r="Q182" s="2"/>
      <c r="R182" s="2"/>
      <c r="S182" s="2"/>
      <c r="T182" s="2"/>
      <c r="U182" s="2"/>
      <c r="V182" s="2"/>
      <c r="W182" s="2"/>
    </row>
    <row r="183" spans="2:23" ht="15.75" customHeight="1">
      <c r="B183" s="2"/>
      <c r="C183" s="2"/>
      <c r="E183" s="2"/>
      <c r="G183" s="2"/>
      <c r="I183" s="2"/>
      <c r="N183" s="2"/>
      <c r="P183" s="2"/>
      <c r="Q183" s="2"/>
      <c r="R183" s="2"/>
      <c r="S183" s="2"/>
      <c r="T183" s="2"/>
      <c r="U183" s="2"/>
      <c r="V183" s="2"/>
      <c r="W183" s="2"/>
    </row>
    <row r="184" spans="2:23" ht="15.75" customHeight="1">
      <c r="B184" s="2"/>
      <c r="C184" s="2"/>
      <c r="E184" s="2"/>
      <c r="G184" s="2"/>
      <c r="I184" s="2"/>
      <c r="N184" s="2"/>
      <c r="P184" s="2"/>
      <c r="Q184" s="2"/>
      <c r="R184" s="2"/>
      <c r="S184" s="2"/>
      <c r="T184" s="2"/>
      <c r="U184" s="2"/>
      <c r="V184" s="2"/>
      <c r="W184" s="2"/>
    </row>
    <row r="185" spans="2:23" ht="15.75" customHeight="1">
      <c r="B185" s="2"/>
      <c r="C185" s="2"/>
      <c r="E185" s="2"/>
      <c r="G185" s="2"/>
      <c r="I185" s="2"/>
      <c r="N185" s="2"/>
      <c r="P185" s="2"/>
      <c r="Q185" s="2"/>
      <c r="R185" s="2"/>
      <c r="S185" s="2"/>
      <c r="T185" s="2"/>
      <c r="U185" s="2"/>
      <c r="V185" s="2"/>
      <c r="W185" s="2"/>
    </row>
    <row r="186" spans="2:23" ht="15.75" customHeight="1">
      <c r="B186" s="2"/>
      <c r="C186" s="2"/>
      <c r="E186" s="2"/>
      <c r="G186" s="2"/>
      <c r="I186" s="2"/>
      <c r="N186" s="2"/>
      <c r="P186" s="2"/>
      <c r="Q186" s="2"/>
      <c r="R186" s="2"/>
      <c r="S186" s="2"/>
      <c r="T186" s="2"/>
      <c r="U186" s="2"/>
      <c r="V186" s="2"/>
      <c r="W186" s="2"/>
    </row>
    <row r="187" spans="2:23" ht="15.75" customHeight="1">
      <c r="B187" s="2"/>
      <c r="C187" s="2"/>
      <c r="E187" s="2"/>
      <c r="G187" s="2"/>
      <c r="I187" s="2"/>
      <c r="N187" s="2"/>
      <c r="P187" s="2"/>
      <c r="Q187" s="2"/>
      <c r="R187" s="2"/>
      <c r="S187" s="2"/>
      <c r="T187" s="2"/>
      <c r="U187" s="2"/>
      <c r="V187" s="2"/>
      <c r="W187" s="2"/>
    </row>
    <row r="188" spans="2:23" ht="15.75" customHeight="1">
      <c r="B188" s="2"/>
      <c r="C188" s="2"/>
      <c r="E188" s="2"/>
      <c r="G188" s="2"/>
      <c r="I188" s="2"/>
      <c r="N188" s="2"/>
      <c r="P188" s="2"/>
      <c r="Q188" s="2"/>
      <c r="R188" s="2"/>
      <c r="S188" s="2"/>
      <c r="T188" s="2"/>
      <c r="U188" s="2"/>
      <c r="V188" s="2"/>
      <c r="W188" s="2"/>
    </row>
    <row r="189" spans="2:23" ht="15.75" customHeight="1">
      <c r="B189" s="2"/>
      <c r="C189" s="2"/>
      <c r="E189" s="2"/>
      <c r="G189" s="2"/>
      <c r="I189" s="2"/>
      <c r="N189" s="2"/>
      <c r="P189" s="2"/>
      <c r="Q189" s="2"/>
      <c r="R189" s="2"/>
      <c r="S189" s="2"/>
      <c r="T189" s="2"/>
      <c r="U189" s="2"/>
      <c r="V189" s="2"/>
      <c r="W189" s="2"/>
    </row>
    <row r="190" spans="2:23" ht="15.75" customHeight="1">
      <c r="B190" s="2"/>
      <c r="C190" s="2"/>
      <c r="E190" s="2"/>
      <c r="G190" s="2"/>
      <c r="I190" s="2"/>
      <c r="N190" s="2"/>
      <c r="P190" s="2"/>
      <c r="Q190" s="2"/>
      <c r="R190" s="2"/>
      <c r="S190" s="2"/>
      <c r="T190" s="2"/>
      <c r="U190" s="2"/>
      <c r="V190" s="2"/>
      <c r="W190" s="2"/>
    </row>
    <row r="191" spans="2:23" ht="15.75" customHeight="1">
      <c r="B191" s="2"/>
      <c r="C191" s="2"/>
      <c r="E191" s="2"/>
      <c r="G191" s="2"/>
      <c r="I191" s="2"/>
      <c r="N191" s="2"/>
      <c r="P191" s="2"/>
      <c r="Q191" s="2"/>
      <c r="R191" s="2"/>
      <c r="S191" s="2"/>
      <c r="T191" s="2"/>
      <c r="U191" s="2"/>
      <c r="V191" s="2"/>
      <c r="W191" s="2"/>
    </row>
    <row r="192" spans="2:23" ht="15.75" customHeight="1">
      <c r="B192" s="2"/>
      <c r="C192" s="2"/>
      <c r="E192" s="2"/>
      <c r="G192" s="2"/>
      <c r="I192" s="2"/>
      <c r="N192" s="2"/>
      <c r="P192" s="2"/>
      <c r="Q192" s="2"/>
      <c r="R192" s="2"/>
      <c r="S192" s="2"/>
      <c r="T192" s="2"/>
      <c r="U192" s="2"/>
      <c r="V192" s="2"/>
      <c r="W192" s="2"/>
    </row>
    <row r="193" spans="2:23" ht="15.75" customHeight="1">
      <c r="B193" s="2"/>
      <c r="C193" s="2"/>
      <c r="E193" s="2"/>
      <c r="G193" s="2"/>
      <c r="I193" s="2"/>
      <c r="N193" s="2"/>
      <c r="P193" s="2"/>
      <c r="Q193" s="2"/>
      <c r="R193" s="2"/>
      <c r="S193" s="2"/>
      <c r="T193" s="2"/>
      <c r="U193" s="2"/>
      <c r="V193" s="2"/>
      <c r="W193" s="2"/>
    </row>
    <row r="194" spans="2:23" ht="15.75" customHeight="1">
      <c r="B194" s="2"/>
      <c r="C194" s="2"/>
      <c r="E194" s="2"/>
      <c r="G194" s="2"/>
      <c r="I194" s="2"/>
      <c r="N194" s="2"/>
      <c r="P194" s="2"/>
      <c r="Q194" s="2"/>
      <c r="R194" s="2"/>
      <c r="S194" s="2"/>
      <c r="T194" s="2"/>
      <c r="U194" s="2"/>
      <c r="V194" s="2"/>
      <c r="W194" s="2"/>
    </row>
    <row r="195" spans="2:23" ht="15.75" customHeight="1">
      <c r="B195" s="2"/>
      <c r="C195" s="2"/>
      <c r="E195" s="2"/>
      <c r="G195" s="2"/>
      <c r="I195" s="2"/>
      <c r="N195" s="2"/>
      <c r="P195" s="2"/>
      <c r="Q195" s="2"/>
      <c r="R195" s="2"/>
      <c r="S195" s="2"/>
      <c r="T195" s="2"/>
      <c r="U195" s="2"/>
      <c r="V195" s="2"/>
      <c r="W195" s="2"/>
    </row>
    <row r="196" spans="2:23" ht="15.75" customHeight="1">
      <c r="B196" s="2"/>
      <c r="C196" s="2"/>
      <c r="E196" s="2"/>
      <c r="G196" s="2"/>
      <c r="I196" s="2"/>
      <c r="N196" s="2"/>
      <c r="P196" s="2"/>
      <c r="Q196" s="2"/>
      <c r="R196" s="2"/>
      <c r="S196" s="2"/>
      <c r="T196" s="2"/>
      <c r="U196" s="2"/>
      <c r="V196" s="2"/>
      <c r="W196" s="2"/>
    </row>
    <row r="197" spans="2:23" ht="15.75" customHeight="1">
      <c r="B197" s="2"/>
      <c r="C197" s="2"/>
      <c r="E197" s="2"/>
      <c r="G197" s="2"/>
      <c r="I197" s="2"/>
      <c r="N197" s="2"/>
      <c r="P197" s="2"/>
      <c r="Q197" s="2"/>
      <c r="R197" s="2"/>
      <c r="S197" s="2"/>
      <c r="T197" s="2"/>
      <c r="U197" s="2"/>
      <c r="V197" s="2"/>
      <c r="W197" s="2"/>
    </row>
    <row r="198" spans="2:23" ht="15.75" customHeight="1">
      <c r="B198" s="2"/>
      <c r="C198" s="2"/>
      <c r="E198" s="2"/>
      <c r="G198" s="2"/>
      <c r="I198" s="2"/>
      <c r="N198" s="2"/>
      <c r="P198" s="2"/>
      <c r="Q198" s="2"/>
      <c r="R198" s="2"/>
      <c r="S198" s="2"/>
      <c r="T198" s="2"/>
      <c r="U198" s="2"/>
      <c r="V198" s="2"/>
      <c r="W198" s="2"/>
    </row>
    <row r="199" spans="2:23" ht="15.75" customHeight="1">
      <c r="B199" s="2"/>
      <c r="C199" s="2"/>
      <c r="E199" s="2"/>
      <c r="G199" s="2"/>
      <c r="I199" s="2"/>
      <c r="N199" s="2"/>
      <c r="P199" s="2"/>
      <c r="Q199" s="2"/>
      <c r="R199" s="2"/>
      <c r="S199" s="2"/>
      <c r="T199" s="2"/>
      <c r="U199" s="2"/>
      <c r="V199" s="2"/>
      <c r="W199" s="2"/>
    </row>
    <row r="200" spans="2:23" ht="15.75" customHeight="1">
      <c r="B200" s="2"/>
      <c r="C200" s="2"/>
      <c r="E200" s="2"/>
      <c r="G200" s="2"/>
      <c r="I200" s="2"/>
      <c r="N200" s="2"/>
      <c r="P200" s="2"/>
      <c r="Q200" s="2"/>
      <c r="R200" s="2"/>
      <c r="S200" s="2"/>
      <c r="T200" s="2"/>
      <c r="U200" s="2"/>
      <c r="V200" s="2"/>
      <c r="W200" s="2"/>
    </row>
    <row r="201" spans="2:23" ht="15.75" customHeight="1">
      <c r="B201" s="2"/>
      <c r="C201" s="2"/>
      <c r="E201" s="2"/>
      <c r="G201" s="2"/>
      <c r="I201" s="2"/>
      <c r="N201" s="2"/>
      <c r="P201" s="2"/>
      <c r="Q201" s="2"/>
      <c r="R201" s="2"/>
      <c r="S201" s="2"/>
      <c r="T201" s="2"/>
      <c r="U201" s="2"/>
      <c r="V201" s="2"/>
      <c r="W201" s="2"/>
    </row>
    <row r="202" spans="2:23" ht="15.75" customHeight="1">
      <c r="B202" s="2"/>
      <c r="C202" s="2"/>
      <c r="E202" s="2"/>
      <c r="G202" s="2"/>
      <c r="I202" s="2"/>
      <c r="N202" s="2"/>
      <c r="P202" s="2"/>
      <c r="Q202" s="2"/>
      <c r="R202" s="2"/>
      <c r="S202" s="2"/>
      <c r="T202" s="2"/>
      <c r="U202" s="2"/>
      <c r="V202" s="2"/>
      <c r="W202" s="2"/>
    </row>
    <row r="203" spans="2:23" ht="15.75" customHeight="1">
      <c r="B203" s="2"/>
      <c r="C203" s="2"/>
      <c r="E203" s="2"/>
      <c r="G203" s="2"/>
      <c r="I203" s="2"/>
      <c r="N203" s="2"/>
      <c r="P203" s="2"/>
      <c r="Q203" s="2"/>
      <c r="R203" s="2"/>
      <c r="S203" s="2"/>
      <c r="T203" s="2"/>
      <c r="U203" s="2"/>
      <c r="V203" s="2"/>
      <c r="W203" s="2"/>
    </row>
    <row r="204" spans="2:23" ht="15.75" customHeight="1">
      <c r="B204" s="2"/>
      <c r="C204" s="2"/>
      <c r="E204" s="2"/>
      <c r="G204" s="2"/>
      <c r="I204" s="2"/>
      <c r="N204" s="2"/>
      <c r="P204" s="2"/>
      <c r="Q204" s="2"/>
      <c r="R204" s="2"/>
      <c r="S204" s="2"/>
      <c r="T204" s="2"/>
      <c r="U204" s="2"/>
      <c r="V204" s="2"/>
      <c r="W204" s="2"/>
    </row>
    <row r="205" spans="2:23" ht="15.75" customHeight="1">
      <c r="B205" s="2"/>
      <c r="C205" s="2"/>
      <c r="E205" s="2"/>
      <c r="G205" s="2"/>
      <c r="I205" s="2"/>
      <c r="N205" s="2"/>
      <c r="P205" s="2"/>
      <c r="Q205" s="2"/>
      <c r="R205" s="2"/>
      <c r="S205" s="2"/>
      <c r="T205" s="2"/>
      <c r="U205" s="2"/>
      <c r="V205" s="2"/>
      <c r="W205" s="2"/>
    </row>
    <row r="206" spans="2:23" ht="15.75" customHeight="1">
      <c r="B206" s="2"/>
      <c r="C206" s="2"/>
      <c r="E206" s="2"/>
      <c r="G206" s="2"/>
      <c r="I206" s="2"/>
      <c r="N206" s="2"/>
      <c r="P206" s="2"/>
      <c r="Q206" s="2"/>
      <c r="R206" s="2"/>
      <c r="S206" s="2"/>
      <c r="T206" s="2"/>
      <c r="U206" s="2"/>
      <c r="V206" s="2"/>
      <c r="W206" s="2"/>
    </row>
    <row r="207" spans="2:23" ht="15.75" customHeight="1">
      <c r="B207" s="2"/>
      <c r="C207" s="2"/>
      <c r="E207" s="2"/>
      <c r="G207" s="2"/>
      <c r="I207" s="2"/>
      <c r="N207" s="2"/>
      <c r="P207" s="2"/>
      <c r="Q207" s="2"/>
      <c r="R207" s="2"/>
      <c r="S207" s="2"/>
      <c r="T207" s="2"/>
      <c r="U207" s="2"/>
      <c r="V207" s="2"/>
      <c r="W207" s="2"/>
    </row>
    <row r="208" spans="2:23" ht="15.75" customHeight="1">
      <c r="B208" s="2"/>
      <c r="C208" s="2"/>
      <c r="E208" s="2"/>
      <c r="G208" s="2"/>
      <c r="I208" s="2"/>
      <c r="N208" s="2"/>
      <c r="P208" s="2"/>
      <c r="Q208" s="2"/>
      <c r="R208" s="2"/>
      <c r="S208" s="2"/>
      <c r="T208" s="2"/>
      <c r="U208" s="2"/>
      <c r="V208" s="2"/>
      <c r="W208" s="2"/>
    </row>
    <row r="209" spans="2:23" ht="15.75" customHeight="1">
      <c r="B209" s="2"/>
      <c r="C209" s="2"/>
      <c r="E209" s="2"/>
      <c r="G209" s="2"/>
      <c r="I209" s="2"/>
      <c r="N209" s="2"/>
      <c r="P209" s="2"/>
      <c r="Q209" s="2"/>
      <c r="R209" s="2"/>
      <c r="S209" s="2"/>
      <c r="T209" s="2"/>
      <c r="U209" s="2"/>
      <c r="V209" s="2"/>
      <c r="W209" s="2"/>
    </row>
    <row r="210" spans="2:23" ht="15.75" customHeight="1">
      <c r="B210" s="2"/>
      <c r="C210" s="2"/>
      <c r="E210" s="2"/>
      <c r="G210" s="2"/>
      <c r="I210" s="2"/>
      <c r="N210" s="2"/>
      <c r="P210" s="2"/>
      <c r="Q210" s="2"/>
      <c r="R210" s="2"/>
      <c r="S210" s="2"/>
      <c r="T210" s="2"/>
      <c r="U210" s="2"/>
      <c r="V210" s="2"/>
      <c r="W210" s="2"/>
    </row>
    <row r="211" spans="2:23" ht="15.75" customHeight="1">
      <c r="B211" s="2"/>
      <c r="C211" s="2"/>
      <c r="E211" s="2"/>
      <c r="G211" s="2"/>
      <c r="I211" s="2"/>
      <c r="N211" s="2"/>
      <c r="P211" s="2"/>
      <c r="Q211" s="2"/>
      <c r="R211" s="2"/>
      <c r="S211" s="2"/>
      <c r="T211" s="2"/>
      <c r="U211" s="2"/>
      <c r="V211" s="2"/>
      <c r="W211" s="2"/>
    </row>
    <row r="212" spans="2:23" ht="15.75" customHeight="1">
      <c r="B212" s="2"/>
      <c r="C212" s="2"/>
      <c r="E212" s="2"/>
      <c r="G212" s="2"/>
      <c r="I212" s="2"/>
      <c r="N212" s="2"/>
      <c r="P212" s="2"/>
      <c r="Q212" s="2"/>
      <c r="R212" s="2"/>
      <c r="S212" s="2"/>
      <c r="T212" s="2"/>
      <c r="U212" s="2"/>
      <c r="V212" s="2"/>
      <c r="W212" s="2"/>
    </row>
    <row r="213" spans="2:23" ht="15.75" customHeight="1">
      <c r="B213" s="2"/>
      <c r="C213" s="2"/>
      <c r="E213" s="2"/>
      <c r="G213" s="2"/>
      <c r="I213" s="2"/>
      <c r="N213" s="2"/>
      <c r="P213" s="2"/>
      <c r="Q213" s="2"/>
      <c r="R213" s="2"/>
      <c r="S213" s="2"/>
      <c r="T213" s="2"/>
      <c r="U213" s="2"/>
      <c r="V213" s="2"/>
      <c r="W213" s="2"/>
    </row>
    <row r="214" spans="2:23" ht="15.75" customHeight="1">
      <c r="B214" s="2"/>
      <c r="C214" s="2"/>
      <c r="E214" s="2"/>
      <c r="G214" s="2"/>
      <c r="I214" s="2"/>
      <c r="N214" s="2"/>
      <c r="P214" s="2"/>
      <c r="Q214" s="2"/>
      <c r="R214" s="2"/>
      <c r="S214" s="2"/>
      <c r="T214" s="2"/>
      <c r="U214" s="2"/>
      <c r="V214" s="2"/>
      <c r="W214" s="2"/>
    </row>
    <row r="215" spans="2:23" ht="15.75" customHeight="1">
      <c r="B215" s="2"/>
      <c r="C215" s="2"/>
      <c r="E215" s="2"/>
      <c r="G215" s="2"/>
      <c r="I215" s="2"/>
      <c r="N215" s="2"/>
      <c r="P215" s="2"/>
      <c r="Q215" s="2"/>
      <c r="R215" s="2"/>
      <c r="S215" s="2"/>
      <c r="T215" s="2"/>
      <c r="U215" s="2"/>
      <c r="V215" s="2"/>
      <c r="W215" s="2"/>
    </row>
    <row r="216" spans="2:23" ht="15.75" customHeight="1">
      <c r="B216" s="2"/>
      <c r="C216" s="2"/>
      <c r="E216" s="2"/>
      <c r="G216" s="2"/>
      <c r="I216" s="2"/>
      <c r="N216" s="2"/>
      <c r="P216" s="2"/>
      <c r="Q216" s="2"/>
      <c r="R216" s="2"/>
      <c r="S216" s="2"/>
      <c r="T216" s="2"/>
      <c r="U216" s="2"/>
      <c r="V216" s="2"/>
      <c r="W216" s="2"/>
    </row>
    <row r="217" spans="2:23" ht="15.75" customHeight="1">
      <c r="B217" s="2"/>
      <c r="C217" s="2"/>
      <c r="E217" s="2"/>
      <c r="G217" s="2"/>
      <c r="I217" s="2"/>
      <c r="N217" s="2"/>
      <c r="P217" s="2"/>
      <c r="Q217" s="2"/>
      <c r="R217" s="2"/>
      <c r="S217" s="2"/>
      <c r="T217" s="2"/>
      <c r="U217" s="2"/>
      <c r="V217" s="2"/>
      <c r="W217" s="2"/>
    </row>
    <row r="218" spans="2:23" ht="15.75" customHeight="1">
      <c r="B218" s="2"/>
      <c r="C218" s="2"/>
      <c r="E218" s="2"/>
      <c r="G218" s="2"/>
      <c r="I218" s="2"/>
      <c r="N218" s="2"/>
      <c r="P218" s="2"/>
      <c r="Q218" s="2"/>
      <c r="R218" s="2"/>
      <c r="S218" s="2"/>
      <c r="T218" s="2"/>
      <c r="U218" s="2"/>
      <c r="V218" s="2"/>
      <c r="W218" s="2"/>
    </row>
    <row r="219" spans="2:23" ht="15.75" customHeight="1">
      <c r="B219" s="2"/>
      <c r="C219" s="2"/>
      <c r="E219" s="2"/>
      <c r="G219" s="2"/>
      <c r="I219" s="2"/>
      <c r="N219" s="2"/>
      <c r="P219" s="2"/>
      <c r="Q219" s="2"/>
      <c r="R219" s="2"/>
      <c r="S219" s="2"/>
      <c r="T219" s="2"/>
      <c r="U219" s="2"/>
      <c r="V219" s="2"/>
      <c r="W219" s="2"/>
    </row>
    <row r="220" spans="2:23" ht="15.75" customHeight="1">
      <c r="B220" s="2"/>
      <c r="C220" s="2"/>
      <c r="E220" s="2"/>
      <c r="G220" s="2"/>
      <c r="I220" s="2"/>
      <c r="N220" s="2"/>
      <c r="P220" s="2"/>
      <c r="Q220" s="2"/>
      <c r="R220" s="2"/>
      <c r="S220" s="2"/>
      <c r="T220" s="2"/>
      <c r="U220" s="2"/>
      <c r="V220" s="2"/>
      <c r="W220" s="2"/>
    </row>
    <row r="221" spans="2:23" ht="15.75" customHeight="1">
      <c r="B221" s="2"/>
      <c r="C221" s="2"/>
      <c r="E221" s="2"/>
      <c r="G221" s="2"/>
      <c r="I221" s="2"/>
      <c r="N221" s="2"/>
      <c r="P221" s="2"/>
      <c r="Q221" s="2"/>
      <c r="R221" s="2"/>
      <c r="S221" s="2"/>
      <c r="T221" s="2"/>
      <c r="U221" s="2"/>
      <c r="V221" s="2"/>
      <c r="W221" s="2"/>
    </row>
    <row r="222" spans="2:23" ht="15.75" customHeight="1">
      <c r="B222" s="2"/>
      <c r="C222" s="2"/>
      <c r="E222" s="2"/>
      <c r="G222" s="2"/>
      <c r="I222" s="2"/>
      <c r="N222" s="2"/>
      <c r="P222" s="2"/>
      <c r="Q222" s="2"/>
      <c r="R222" s="2"/>
      <c r="S222" s="2"/>
      <c r="T222" s="2"/>
      <c r="U222" s="2"/>
      <c r="V222" s="2"/>
      <c r="W222" s="2"/>
    </row>
    <row r="223" spans="2:23" ht="15.75" customHeight="1">
      <c r="B223" s="2"/>
      <c r="C223" s="2"/>
      <c r="E223" s="2"/>
      <c r="G223" s="2"/>
      <c r="I223" s="2"/>
      <c r="N223" s="2"/>
      <c r="P223" s="2"/>
      <c r="Q223" s="2"/>
      <c r="R223" s="2"/>
      <c r="S223" s="2"/>
      <c r="T223" s="2"/>
      <c r="U223" s="2"/>
      <c r="V223" s="2"/>
      <c r="W223" s="2"/>
    </row>
    <row r="224" spans="2:23" ht="15.75" customHeight="1">
      <c r="B224" s="2"/>
      <c r="C224" s="2"/>
      <c r="E224" s="2"/>
      <c r="G224" s="2"/>
      <c r="I224" s="2"/>
      <c r="N224" s="2"/>
      <c r="P224" s="2"/>
      <c r="Q224" s="2"/>
      <c r="R224" s="2"/>
      <c r="S224" s="2"/>
      <c r="T224" s="2"/>
      <c r="U224" s="2"/>
      <c r="V224" s="2"/>
      <c r="W224" s="2"/>
    </row>
    <row r="225" spans="2:23" ht="15.75" customHeight="1">
      <c r="B225" s="2"/>
      <c r="C225" s="2"/>
      <c r="E225" s="2"/>
      <c r="G225" s="2"/>
      <c r="I225" s="2"/>
      <c r="N225" s="2"/>
      <c r="P225" s="2"/>
      <c r="Q225" s="2"/>
      <c r="R225" s="2"/>
      <c r="S225" s="2"/>
      <c r="T225" s="2"/>
      <c r="U225" s="2"/>
      <c r="V225" s="2"/>
      <c r="W225" s="2"/>
    </row>
    <row r="226" spans="2:23" ht="15.75" customHeight="1">
      <c r="B226" s="2"/>
      <c r="C226" s="2"/>
      <c r="E226" s="2"/>
      <c r="G226" s="2"/>
      <c r="I226" s="2"/>
      <c r="N226" s="2"/>
      <c r="P226" s="2"/>
      <c r="Q226" s="2"/>
      <c r="R226" s="2"/>
      <c r="S226" s="2"/>
      <c r="T226" s="2"/>
      <c r="U226" s="2"/>
      <c r="V226" s="2"/>
      <c r="W226" s="2"/>
    </row>
    <row r="227" spans="2:23" ht="15.75" customHeight="1">
      <c r="B227" s="2"/>
      <c r="C227" s="2"/>
      <c r="E227" s="2"/>
      <c r="G227" s="2"/>
      <c r="I227" s="2"/>
      <c r="N227" s="2"/>
      <c r="P227" s="2"/>
      <c r="Q227" s="2"/>
      <c r="R227" s="2"/>
      <c r="S227" s="2"/>
      <c r="T227" s="2"/>
      <c r="U227" s="2"/>
      <c r="V227" s="2"/>
      <c r="W227" s="2"/>
    </row>
    <row r="228" spans="2:23" ht="15.75" customHeight="1">
      <c r="B228" s="2"/>
      <c r="C228" s="2"/>
      <c r="E228" s="2"/>
      <c r="G228" s="2"/>
      <c r="I228" s="2"/>
      <c r="N228" s="2"/>
      <c r="P228" s="2"/>
      <c r="Q228" s="2"/>
      <c r="R228" s="2"/>
      <c r="S228" s="2"/>
      <c r="T228" s="2"/>
      <c r="U228" s="2"/>
      <c r="V228" s="2"/>
      <c r="W228" s="2"/>
    </row>
    <row r="229" spans="2:23" ht="15.75" customHeight="1">
      <c r="B229" s="2"/>
      <c r="C229" s="2"/>
      <c r="E229" s="2"/>
      <c r="G229" s="2"/>
      <c r="I229" s="2"/>
      <c r="N229" s="2"/>
      <c r="P229" s="2"/>
      <c r="Q229" s="2"/>
      <c r="R229" s="2"/>
      <c r="S229" s="2"/>
      <c r="T229" s="2"/>
      <c r="U229" s="2"/>
      <c r="V229" s="2"/>
      <c r="W229" s="2"/>
    </row>
    <row r="230" spans="2:23" ht="15.75" customHeight="1">
      <c r="B230" s="2"/>
      <c r="C230" s="2"/>
      <c r="E230" s="2"/>
      <c r="G230" s="2"/>
      <c r="I230" s="2"/>
      <c r="N230" s="2"/>
      <c r="P230" s="2"/>
      <c r="Q230" s="2"/>
      <c r="R230" s="2"/>
      <c r="S230" s="2"/>
      <c r="T230" s="2"/>
      <c r="U230" s="2"/>
      <c r="V230" s="2"/>
      <c r="W230" s="2"/>
    </row>
    <row r="231" spans="2:23" ht="15.75" customHeight="1">
      <c r="B231" s="2"/>
      <c r="C231" s="2"/>
      <c r="E231" s="2"/>
      <c r="G231" s="2"/>
      <c r="I231" s="2"/>
      <c r="N231" s="2"/>
      <c r="P231" s="2"/>
      <c r="Q231" s="2"/>
      <c r="R231" s="2"/>
      <c r="S231" s="2"/>
      <c r="T231" s="2"/>
      <c r="U231" s="2"/>
      <c r="V231" s="2"/>
      <c r="W231" s="2"/>
    </row>
    <row r="232" spans="2:23" ht="15.75" customHeight="1">
      <c r="B232" s="2"/>
      <c r="C232" s="2"/>
      <c r="E232" s="2"/>
      <c r="G232" s="2"/>
      <c r="I232" s="2"/>
      <c r="N232" s="2"/>
      <c r="P232" s="2"/>
      <c r="Q232" s="2"/>
      <c r="R232" s="2"/>
      <c r="S232" s="2"/>
      <c r="T232" s="2"/>
      <c r="U232" s="2"/>
      <c r="V232" s="2"/>
      <c r="W232" s="2"/>
    </row>
    <row r="233" spans="2:23" ht="15.75" customHeight="1">
      <c r="B233" s="2"/>
      <c r="C233" s="2"/>
      <c r="E233" s="2"/>
      <c r="G233" s="2"/>
      <c r="I233" s="2"/>
      <c r="N233" s="2"/>
      <c r="P233" s="2"/>
      <c r="Q233" s="2"/>
      <c r="R233" s="2"/>
      <c r="S233" s="2"/>
      <c r="T233" s="2"/>
      <c r="U233" s="2"/>
      <c r="V233" s="2"/>
      <c r="W233" s="2"/>
    </row>
    <row r="234" spans="2:23" ht="15.75" customHeight="1">
      <c r="B234" s="2"/>
      <c r="C234" s="2"/>
      <c r="E234" s="2"/>
      <c r="G234" s="2"/>
      <c r="I234" s="2"/>
      <c r="N234" s="2"/>
      <c r="P234" s="2"/>
      <c r="Q234" s="2"/>
      <c r="R234" s="2"/>
      <c r="S234" s="2"/>
      <c r="T234" s="2"/>
      <c r="U234" s="2"/>
      <c r="V234" s="2"/>
      <c r="W234" s="2"/>
    </row>
    <row r="235" spans="2:23" ht="15.75" customHeight="1">
      <c r="B235" s="2"/>
      <c r="C235" s="2"/>
      <c r="E235" s="2"/>
      <c r="G235" s="2"/>
      <c r="I235" s="2"/>
      <c r="N235" s="2"/>
      <c r="P235" s="2"/>
      <c r="Q235" s="2"/>
      <c r="R235" s="2"/>
      <c r="S235" s="2"/>
      <c r="T235" s="2"/>
      <c r="U235" s="2"/>
      <c r="V235" s="2"/>
      <c r="W235" s="2"/>
    </row>
    <row r="236" spans="2:23" ht="15.75" customHeight="1">
      <c r="B236" s="2"/>
      <c r="C236" s="2"/>
      <c r="E236" s="2"/>
      <c r="G236" s="2"/>
      <c r="I236" s="2"/>
      <c r="N236" s="2"/>
      <c r="P236" s="2"/>
      <c r="Q236" s="2"/>
      <c r="R236" s="2"/>
      <c r="S236" s="2"/>
      <c r="T236" s="2"/>
      <c r="U236" s="2"/>
      <c r="V236" s="2"/>
      <c r="W236" s="2"/>
    </row>
    <row r="237" spans="2:23" ht="15.75" customHeight="1">
      <c r="B237" s="2"/>
      <c r="C237" s="2"/>
      <c r="E237" s="2"/>
      <c r="G237" s="2"/>
      <c r="I237" s="2"/>
      <c r="N237" s="2"/>
      <c r="P237" s="2"/>
      <c r="Q237" s="2"/>
      <c r="R237" s="2"/>
      <c r="S237" s="2"/>
      <c r="T237" s="2"/>
      <c r="U237" s="2"/>
      <c r="V237" s="2"/>
      <c r="W237" s="2"/>
    </row>
    <row r="238" spans="2:23" ht="15.75" customHeight="1">
      <c r="B238" s="2"/>
      <c r="C238" s="2"/>
      <c r="E238" s="2"/>
      <c r="G238" s="2"/>
      <c r="I238" s="2"/>
      <c r="N238" s="2"/>
      <c r="P238" s="2"/>
      <c r="Q238" s="2"/>
      <c r="R238" s="2"/>
      <c r="S238" s="2"/>
      <c r="T238" s="2"/>
      <c r="U238" s="2"/>
      <c r="V238" s="2"/>
      <c r="W238" s="2"/>
    </row>
    <row r="239" spans="2:23" ht="15.75" customHeight="1">
      <c r="B239" s="2"/>
      <c r="C239" s="2"/>
      <c r="E239" s="2"/>
      <c r="G239" s="2"/>
      <c r="I239" s="2"/>
      <c r="N239" s="2"/>
      <c r="P239" s="2"/>
      <c r="Q239" s="2"/>
      <c r="R239" s="2"/>
      <c r="S239" s="2"/>
      <c r="T239" s="2"/>
      <c r="U239" s="2"/>
      <c r="V239" s="2"/>
      <c r="W239" s="2"/>
    </row>
    <row r="240" spans="2:23" ht="15.75" customHeight="1">
      <c r="B240" s="2"/>
      <c r="C240" s="2"/>
      <c r="E240" s="2"/>
      <c r="G240" s="2"/>
      <c r="I240" s="2"/>
      <c r="N240" s="2"/>
      <c r="P240" s="2"/>
      <c r="Q240" s="2"/>
      <c r="R240" s="2"/>
      <c r="S240" s="2"/>
      <c r="T240" s="2"/>
      <c r="U240" s="2"/>
      <c r="V240" s="2"/>
      <c r="W240" s="2"/>
    </row>
    <row r="241" spans="2:23" ht="15.75" customHeight="1">
      <c r="B241" s="2"/>
      <c r="C241" s="2"/>
      <c r="E241" s="2"/>
      <c r="G241" s="2"/>
      <c r="I241" s="2"/>
      <c r="N241" s="2"/>
      <c r="P241" s="2"/>
      <c r="Q241" s="2"/>
      <c r="R241" s="2"/>
      <c r="S241" s="2"/>
      <c r="T241" s="2"/>
      <c r="U241" s="2"/>
      <c r="V241" s="2"/>
      <c r="W241" s="2"/>
    </row>
    <row r="242" spans="2:23" ht="15.75" customHeight="1">
      <c r="B242" s="2"/>
      <c r="C242" s="2"/>
      <c r="E242" s="2"/>
      <c r="G242" s="2"/>
      <c r="I242" s="2"/>
      <c r="N242" s="2"/>
      <c r="P242" s="2"/>
      <c r="Q242" s="2"/>
      <c r="R242" s="2"/>
      <c r="S242" s="2"/>
      <c r="T242" s="2"/>
      <c r="U242" s="2"/>
      <c r="V242" s="2"/>
      <c r="W242" s="2"/>
    </row>
    <row r="243" spans="2:23" ht="15.75" customHeight="1">
      <c r="B243" s="2"/>
      <c r="C243" s="2"/>
      <c r="E243" s="2"/>
      <c r="G243" s="2"/>
      <c r="I243" s="2"/>
      <c r="N243" s="2"/>
      <c r="P243" s="2"/>
      <c r="Q243" s="2"/>
      <c r="R243" s="2"/>
      <c r="S243" s="2"/>
      <c r="T243" s="2"/>
      <c r="U243" s="2"/>
      <c r="V243" s="2"/>
      <c r="W243" s="2"/>
    </row>
    <row r="244" spans="2:23" ht="15.75" customHeight="1">
      <c r="B244" s="2"/>
      <c r="C244" s="2"/>
      <c r="E244" s="2"/>
      <c r="G244" s="2"/>
      <c r="I244" s="2"/>
      <c r="N244" s="2"/>
      <c r="P244" s="2"/>
      <c r="Q244" s="2"/>
      <c r="R244" s="2"/>
      <c r="S244" s="2"/>
      <c r="T244" s="2"/>
      <c r="U244" s="2"/>
      <c r="V244" s="2"/>
      <c r="W244" s="2"/>
    </row>
    <row r="245" spans="2:23" ht="15.75" customHeight="1">
      <c r="B245" s="2"/>
      <c r="C245" s="2"/>
      <c r="E245" s="2"/>
      <c r="G245" s="2"/>
      <c r="I245" s="2"/>
      <c r="N245" s="2"/>
      <c r="P245" s="2"/>
      <c r="Q245" s="2"/>
      <c r="R245" s="2"/>
      <c r="S245" s="2"/>
      <c r="T245" s="2"/>
      <c r="U245" s="2"/>
      <c r="V245" s="2"/>
      <c r="W245" s="2"/>
    </row>
    <row r="246" spans="2:23" ht="15.75" customHeight="1">
      <c r="B246" s="2"/>
      <c r="C246" s="2"/>
      <c r="E246" s="2"/>
      <c r="G246" s="2"/>
      <c r="I246" s="2"/>
      <c r="N246" s="2"/>
      <c r="P246" s="2"/>
      <c r="Q246" s="2"/>
      <c r="R246" s="2"/>
      <c r="S246" s="2"/>
      <c r="T246" s="2"/>
      <c r="U246" s="2"/>
      <c r="V246" s="2"/>
      <c r="W246" s="2"/>
    </row>
    <row r="247" spans="2:23" ht="15.75" customHeight="1">
      <c r="B247" s="2"/>
      <c r="C247" s="2"/>
      <c r="E247" s="2"/>
      <c r="G247" s="2"/>
      <c r="I247" s="2"/>
      <c r="N247" s="2"/>
      <c r="P247" s="2"/>
      <c r="Q247" s="2"/>
      <c r="R247" s="2"/>
      <c r="S247" s="2"/>
      <c r="T247" s="2"/>
      <c r="U247" s="2"/>
      <c r="V247" s="2"/>
      <c r="W247" s="2"/>
    </row>
    <row r="248" spans="2:23" ht="15.75" customHeight="1">
      <c r="B248" s="2"/>
      <c r="C248" s="2"/>
      <c r="E248" s="2"/>
      <c r="G248" s="2"/>
      <c r="I248" s="2"/>
      <c r="N248" s="2"/>
      <c r="P248" s="2"/>
      <c r="Q248" s="2"/>
      <c r="R248" s="2"/>
      <c r="S248" s="2"/>
      <c r="T248" s="2"/>
      <c r="U248" s="2"/>
      <c r="V248" s="2"/>
      <c r="W248" s="2"/>
    </row>
    <row r="249" spans="2:23" ht="15.75" customHeight="1">
      <c r="B249" s="2"/>
      <c r="C249" s="2"/>
      <c r="E249" s="2"/>
      <c r="G249" s="2"/>
      <c r="I249" s="2"/>
      <c r="N249" s="2"/>
      <c r="P249" s="2"/>
      <c r="Q249" s="2"/>
      <c r="R249" s="2"/>
      <c r="S249" s="2"/>
      <c r="T249" s="2"/>
      <c r="U249" s="2"/>
      <c r="V249" s="2"/>
      <c r="W249" s="2"/>
    </row>
    <row r="250" spans="2:23" ht="15.75" customHeight="1">
      <c r="B250" s="2"/>
      <c r="C250" s="2"/>
      <c r="E250" s="2"/>
      <c r="G250" s="2"/>
      <c r="I250" s="2"/>
      <c r="N250" s="2"/>
      <c r="P250" s="2"/>
      <c r="Q250" s="2"/>
      <c r="R250" s="2"/>
      <c r="S250" s="2"/>
      <c r="T250" s="2"/>
      <c r="U250" s="2"/>
      <c r="V250" s="2"/>
      <c r="W250" s="2"/>
    </row>
    <row r="251" spans="2:23" ht="15.75" customHeight="1">
      <c r="B251" s="2"/>
      <c r="C251" s="2"/>
      <c r="E251" s="2"/>
      <c r="G251" s="2"/>
      <c r="I251" s="2"/>
      <c r="N251" s="2"/>
      <c r="P251" s="2"/>
      <c r="Q251" s="2"/>
      <c r="R251" s="2"/>
      <c r="S251" s="2"/>
      <c r="T251" s="2"/>
      <c r="U251" s="2"/>
      <c r="V251" s="2"/>
      <c r="W251" s="2"/>
    </row>
    <row r="252" spans="2:23" ht="15.75" customHeight="1">
      <c r="B252" s="2"/>
      <c r="C252" s="2"/>
      <c r="E252" s="2"/>
      <c r="G252" s="2"/>
      <c r="I252" s="2"/>
      <c r="N252" s="2"/>
      <c r="P252" s="2"/>
      <c r="Q252" s="2"/>
      <c r="R252" s="2"/>
      <c r="S252" s="2"/>
      <c r="T252" s="2"/>
      <c r="U252" s="2"/>
      <c r="V252" s="2"/>
      <c r="W252" s="2"/>
    </row>
    <row r="253" spans="2:23" ht="15.75" customHeight="1">
      <c r="B253" s="2"/>
      <c r="C253" s="2"/>
      <c r="E253" s="2"/>
      <c r="G253" s="2"/>
      <c r="I253" s="2"/>
      <c r="N253" s="2"/>
      <c r="P253" s="2"/>
      <c r="Q253" s="2"/>
      <c r="R253" s="2"/>
      <c r="S253" s="2"/>
      <c r="T253" s="2"/>
      <c r="U253" s="2"/>
      <c r="V253" s="2"/>
      <c r="W253" s="2"/>
    </row>
    <row r="254" spans="2:23" ht="15.75" customHeight="1">
      <c r="B254" s="2"/>
      <c r="C254" s="2"/>
      <c r="E254" s="2"/>
      <c r="G254" s="2"/>
      <c r="I254" s="2"/>
      <c r="N254" s="2"/>
      <c r="P254" s="2"/>
      <c r="Q254" s="2"/>
      <c r="R254" s="2"/>
      <c r="S254" s="2"/>
      <c r="T254" s="2"/>
      <c r="U254" s="2"/>
      <c r="V254" s="2"/>
      <c r="W254" s="2"/>
    </row>
    <row r="255" spans="2:23" ht="15.75" customHeight="1">
      <c r="B255" s="2"/>
      <c r="C255" s="2"/>
      <c r="E255" s="2"/>
      <c r="G255" s="2"/>
      <c r="I255" s="2"/>
      <c r="N255" s="2"/>
      <c r="P255" s="2"/>
      <c r="Q255" s="2"/>
      <c r="R255" s="2"/>
      <c r="S255" s="2"/>
      <c r="T255" s="2"/>
      <c r="U255" s="2"/>
      <c r="V255" s="2"/>
      <c r="W255" s="2"/>
    </row>
    <row r="256" spans="2:23" ht="15.75" customHeight="1">
      <c r="B256" s="2"/>
      <c r="C256" s="2"/>
      <c r="E256" s="2"/>
      <c r="G256" s="2"/>
      <c r="I256" s="2"/>
      <c r="N256" s="2"/>
      <c r="P256" s="2"/>
      <c r="Q256" s="2"/>
      <c r="R256" s="2"/>
      <c r="S256" s="2"/>
      <c r="T256" s="2"/>
      <c r="U256" s="2"/>
      <c r="V256" s="2"/>
      <c r="W256" s="2"/>
    </row>
    <row r="257" spans="2:23" ht="15.75" customHeight="1">
      <c r="B257" s="2"/>
      <c r="C257" s="2"/>
      <c r="E257" s="2"/>
      <c r="G257" s="2"/>
      <c r="I257" s="2"/>
      <c r="N257" s="2"/>
      <c r="P257" s="2"/>
      <c r="Q257" s="2"/>
      <c r="R257" s="2"/>
      <c r="S257" s="2"/>
      <c r="T257" s="2"/>
      <c r="U257" s="2"/>
      <c r="V257" s="2"/>
      <c r="W257" s="2"/>
    </row>
    <row r="258" spans="2:23" ht="15.75" customHeight="1">
      <c r="B258" s="2"/>
      <c r="C258" s="2"/>
      <c r="E258" s="2"/>
      <c r="G258" s="2"/>
      <c r="I258" s="2"/>
      <c r="N258" s="2"/>
      <c r="P258" s="2"/>
      <c r="Q258" s="2"/>
      <c r="R258" s="2"/>
      <c r="S258" s="2"/>
      <c r="T258" s="2"/>
      <c r="U258" s="2"/>
      <c r="V258" s="2"/>
      <c r="W258" s="2"/>
    </row>
    <row r="259" spans="2:23" ht="15.75" customHeight="1">
      <c r="B259" s="2"/>
      <c r="C259" s="2"/>
      <c r="E259" s="2"/>
      <c r="G259" s="2"/>
      <c r="I259" s="2"/>
      <c r="N259" s="2"/>
      <c r="P259" s="2"/>
      <c r="Q259" s="2"/>
      <c r="R259" s="2"/>
      <c r="S259" s="2"/>
      <c r="T259" s="2"/>
      <c r="U259" s="2"/>
      <c r="V259" s="2"/>
      <c r="W259" s="2"/>
    </row>
    <row r="260" spans="2:23" ht="15.75" customHeight="1">
      <c r="B260" s="2"/>
      <c r="C260" s="2"/>
      <c r="E260" s="2"/>
      <c r="G260" s="2"/>
      <c r="I260" s="2"/>
      <c r="N260" s="2"/>
      <c r="P260" s="2"/>
      <c r="Q260" s="2"/>
      <c r="R260" s="2"/>
      <c r="S260" s="2"/>
      <c r="T260" s="2"/>
      <c r="U260" s="2"/>
      <c r="V260" s="2"/>
      <c r="W260" s="2"/>
    </row>
    <row r="261" spans="2:23" ht="15.75" customHeight="1">
      <c r="B261" s="2"/>
      <c r="C261" s="2"/>
      <c r="E261" s="2"/>
      <c r="G261" s="2"/>
      <c r="I261" s="2"/>
      <c r="N261" s="2"/>
      <c r="P261" s="2"/>
      <c r="Q261" s="2"/>
      <c r="R261" s="2"/>
      <c r="S261" s="2"/>
      <c r="T261" s="2"/>
      <c r="U261" s="2"/>
      <c r="V261" s="2"/>
      <c r="W261" s="2"/>
    </row>
    <row r="262" spans="2:23" ht="15.75" customHeight="1">
      <c r="B262" s="2"/>
      <c r="C262" s="2"/>
      <c r="E262" s="2"/>
      <c r="G262" s="2"/>
      <c r="I262" s="2"/>
      <c r="N262" s="2"/>
      <c r="P262" s="2"/>
      <c r="Q262" s="2"/>
      <c r="R262" s="2"/>
      <c r="S262" s="2"/>
      <c r="T262" s="2"/>
      <c r="U262" s="2"/>
      <c r="V262" s="2"/>
      <c r="W262" s="2"/>
    </row>
    <row r="263" spans="2:23" ht="15.75" customHeight="1">
      <c r="B263" s="2"/>
      <c r="C263" s="2"/>
      <c r="E263" s="2"/>
      <c r="G263" s="2"/>
      <c r="I263" s="2"/>
      <c r="N263" s="2"/>
      <c r="P263" s="2"/>
      <c r="Q263" s="2"/>
      <c r="R263" s="2"/>
      <c r="S263" s="2"/>
      <c r="T263" s="2"/>
      <c r="U263" s="2"/>
      <c r="V263" s="2"/>
      <c r="W263" s="2"/>
    </row>
    <row r="264" spans="2:23" ht="15.75" customHeight="1">
      <c r="B264" s="2"/>
      <c r="C264" s="2"/>
      <c r="E264" s="2"/>
      <c r="G264" s="2"/>
      <c r="I264" s="2"/>
      <c r="N264" s="2"/>
      <c r="P264" s="2"/>
      <c r="Q264" s="2"/>
      <c r="R264" s="2"/>
      <c r="S264" s="2"/>
      <c r="T264" s="2"/>
      <c r="U264" s="2"/>
      <c r="V264" s="2"/>
      <c r="W264" s="2"/>
    </row>
    <row r="265" spans="2:23" ht="15.75" customHeight="1">
      <c r="B265" s="2"/>
      <c r="C265" s="2"/>
      <c r="E265" s="2"/>
      <c r="G265" s="2"/>
      <c r="I265" s="2"/>
      <c r="N265" s="2"/>
      <c r="P265" s="2"/>
      <c r="Q265" s="2"/>
      <c r="R265" s="2"/>
      <c r="S265" s="2"/>
      <c r="T265" s="2"/>
      <c r="U265" s="2"/>
      <c r="V265" s="2"/>
      <c r="W265" s="2"/>
    </row>
    <row r="266" spans="2:23" ht="15.75" customHeight="1">
      <c r="B266" s="2"/>
      <c r="C266" s="2"/>
      <c r="E266" s="2"/>
      <c r="G266" s="2"/>
      <c r="I266" s="2"/>
      <c r="N266" s="2"/>
      <c r="P266" s="2"/>
      <c r="Q266" s="2"/>
      <c r="R266" s="2"/>
      <c r="S266" s="2"/>
      <c r="T266" s="2"/>
      <c r="U266" s="2"/>
      <c r="V266" s="2"/>
      <c r="W266" s="2"/>
    </row>
    <row r="267" spans="2:23" ht="15.75" customHeight="1">
      <c r="B267" s="2"/>
      <c r="C267" s="2"/>
      <c r="E267" s="2"/>
      <c r="G267" s="2"/>
      <c r="I267" s="2"/>
      <c r="N267" s="2"/>
      <c r="P267" s="2"/>
      <c r="Q267" s="2"/>
      <c r="R267" s="2"/>
      <c r="S267" s="2"/>
      <c r="T267" s="2"/>
      <c r="U267" s="2"/>
      <c r="V267" s="2"/>
      <c r="W267" s="2"/>
    </row>
    <row r="268" spans="2:23" ht="15.75" customHeight="1">
      <c r="B268" s="2"/>
      <c r="C268" s="2"/>
      <c r="E268" s="2"/>
      <c r="G268" s="2"/>
      <c r="I268" s="2"/>
      <c r="N268" s="2"/>
      <c r="P268" s="2"/>
      <c r="Q268" s="2"/>
      <c r="R268" s="2"/>
      <c r="S268" s="2"/>
      <c r="T268" s="2"/>
      <c r="U268" s="2"/>
      <c r="V268" s="2"/>
      <c r="W268" s="2"/>
    </row>
    <row r="269" spans="2:23" ht="15.75" customHeight="1">
      <c r="B269" s="2"/>
      <c r="C269" s="2"/>
      <c r="E269" s="2"/>
      <c r="G269" s="2"/>
      <c r="I269" s="2"/>
      <c r="N269" s="2"/>
      <c r="P269" s="2"/>
      <c r="Q269" s="2"/>
      <c r="R269" s="2"/>
      <c r="S269" s="2"/>
      <c r="T269" s="2"/>
      <c r="U269" s="2"/>
      <c r="V269" s="2"/>
      <c r="W269" s="2"/>
    </row>
    <row r="270" spans="2:23" ht="15.75" customHeight="1">
      <c r="B270" s="2"/>
      <c r="C270" s="2"/>
      <c r="E270" s="2"/>
      <c r="G270" s="2"/>
      <c r="I270" s="2"/>
      <c r="N270" s="2"/>
      <c r="P270" s="2"/>
      <c r="Q270" s="2"/>
      <c r="R270" s="2"/>
      <c r="S270" s="2"/>
      <c r="T270" s="2"/>
      <c r="U270" s="2"/>
      <c r="V270" s="2"/>
      <c r="W270" s="2"/>
    </row>
    <row r="271" spans="2:23" ht="15.75" customHeight="1">
      <c r="B271" s="2"/>
      <c r="C271" s="2"/>
      <c r="E271" s="2"/>
      <c r="G271" s="2"/>
      <c r="I271" s="2"/>
      <c r="N271" s="2"/>
      <c r="P271" s="2"/>
      <c r="Q271" s="2"/>
      <c r="R271" s="2"/>
      <c r="S271" s="2"/>
      <c r="T271" s="2"/>
      <c r="U271" s="2"/>
      <c r="V271" s="2"/>
      <c r="W271" s="2"/>
    </row>
    <row r="272" spans="2:23" ht="15.75" customHeight="1">
      <c r="B272" s="2"/>
      <c r="C272" s="2"/>
      <c r="E272" s="2"/>
      <c r="G272" s="2"/>
      <c r="I272" s="2"/>
      <c r="N272" s="2"/>
      <c r="P272" s="2"/>
      <c r="Q272" s="2"/>
      <c r="R272" s="2"/>
      <c r="S272" s="2"/>
      <c r="T272" s="2"/>
      <c r="U272" s="2"/>
      <c r="V272" s="2"/>
      <c r="W272" s="2"/>
    </row>
    <row r="273" spans="2:23" ht="15.75" customHeight="1">
      <c r="B273" s="2"/>
      <c r="C273" s="2"/>
      <c r="E273" s="2"/>
      <c r="G273" s="2"/>
      <c r="I273" s="2"/>
      <c r="N273" s="2"/>
      <c r="P273" s="2"/>
      <c r="Q273" s="2"/>
      <c r="R273" s="2"/>
      <c r="S273" s="2"/>
      <c r="T273" s="2"/>
      <c r="U273" s="2"/>
      <c r="V273" s="2"/>
      <c r="W273" s="2"/>
    </row>
    <row r="274" spans="2:23" ht="15.75" customHeight="1">
      <c r="B274" s="2"/>
      <c r="C274" s="2"/>
      <c r="E274" s="2"/>
      <c r="G274" s="2"/>
      <c r="I274" s="2"/>
      <c r="N274" s="2"/>
      <c r="P274" s="2"/>
      <c r="Q274" s="2"/>
      <c r="R274" s="2"/>
      <c r="S274" s="2"/>
      <c r="T274" s="2"/>
      <c r="U274" s="2"/>
      <c r="V274" s="2"/>
      <c r="W274" s="2"/>
    </row>
    <row r="275" spans="2:23" ht="15.75" customHeight="1">
      <c r="B275" s="2"/>
      <c r="C275" s="2"/>
      <c r="E275" s="2"/>
      <c r="G275" s="2"/>
      <c r="I275" s="2"/>
      <c r="N275" s="2"/>
      <c r="P275" s="2"/>
      <c r="Q275" s="2"/>
      <c r="R275" s="2"/>
      <c r="S275" s="2"/>
      <c r="T275" s="2"/>
      <c r="U275" s="2"/>
      <c r="V275" s="2"/>
      <c r="W275" s="2"/>
    </row>
    <row r="276" spans="2:23" ht="15.75" customHeight="1">
      <c r="B276" s="2"/>
      <c r="C276" s="2"/>
      <c r="E276" s="2"/>
      <c r="G276" s="2"/>
      <c r="I276" s="2"/>
      <c r="N276" s="2"/>
      <c r="P276" s="2"/>
      <c r="Q276" s="2"/>
      <c r="R276" s="2"/>
      <c r="S276" s="2"/>
      <c r="T276" s="2"/>
      <c r="U276" s="2"/>
      <c r="V276" s="2"/>
      <c r="W276" s="2"/>
    </row>
    <row r="277" spans="2:23" ht="15.75" customHeight="1">
      <c r="B277" s="2"/>
      <c r="C277" s="2"/>
      <c r="E277" s="2"/>
      <c r="G277" s="2"/>
      <c r="I277" s="2"/>
      <c r="N277" s="2"/>
      <c r="P277" s="2"/>
      <c r="Q277" s="2"/>
      <c r="R277" s="2"/>
      <c r="S277" s="2"/>
      <c r="T277" s="2"/>
      <c r="U277" s="2"/>
      <c r="V277" s="2"/>
      <c r="W277" s="2"/>
    </row>
    <row r="278" spans="2:23" ht="15.75" customHeight="1">
      <c r="B278" s="2"/>
      <c r="C278" s="2"/>
      <c r="E278" s="2"/>
      <c r="G278" s="2"/>
      <c r="I278" s="2"/>
      <c r="N278" s="2"/>
      <c r="P278" s="2"/>
      <c r="Q278" s="2"/>
      <c r="R278" s="2"/>
      <c r="S278" s="2"/>
      <c r="T278" s="2"/>
      <c r="U278" s="2"/>
      <c r="V278" s="2"/>
      <c r="W278" s="2"/>
    </row>
    <row r="279" spans="2:23" ht="15.75" customHeight="1">
      <c r="B279" s="2"/>
      <c r="C279" s="2"/>
      <c r="E279" s="2"/>
      <c r="G279" s="2"/>
      <c r="I279" s="2"/>
      <c r="N279" s="2"/>
      <c r="P279" s="2"/>
      <c r="Q279" s="2"/>
      <c r="R279" s="2"/>
      <c r="S279" s="2"/>
      <c r="T279" s="2"/>
      <c r="U279" s="2"/>
      <c r="V279" s="2"/>
      <c r="W279" s="2"/>
    </row>
    <row r="280" spans="2:23" ht="15.75" customHeight="1">
      <c r="B280" s="2"/>
      <c r="C280" s="2"/>
      <c r="E280" s="2"/>
      <c r="G280" s="2"/>
      <c r="I280" s="2"/>
      <c r="N280" s="2"/>
      <c r="P280" s="2"/>
      <c r="Q280" s="2"/>
      <c r="R280" s="2"/>
      <c r="S280" s="2"/>
      <c r="T280" s="2"/>
      <c r="U280" s="2"/>
      <c r="V280" s="2"/>
      <c r="W280" s="2"/>
    </row>
    <row r="281" spans="2:23" ht="15.75" customHeight="1">
      <c r="B281" s="2"/>
      <c r="C281" s="2"/>
      <c r="E281" s="2"/>
      <c r="G281" s="2"/>
      <c r="I281" s="2"/>
      <c r="N281" s="2"/>
      <c r="P281" s="2"/>
      <c r="Q281" s="2"/>
      <c r="R281" s="2"/>
      <c r="S281" s="2"/>
      <c r="T281" s="2"/>
      <c r="U281" s="2"/>
      <c r="V281" s="2"/>
      <c r="W281" s="2"/>
    </row>
    <row r="282" spans="2:23" ht="15.75" customHeight="1">
      <c r="B282" s="2"/>
      <c r="C282" s="2"/>
      <c r="E282" s="2"/>
      <c r="G282" s="2"/>
      <c r="I282" s="2"/>
      <c r="N282" s="2"/>
      <c r="P282" s="2"/>
      <c r="Q282" s="2"/>
      <c r="R282" s="2"/>
      <c r="S282" s="2"/>
      <c r="T282" s="2"/>
      <c r="U282" s="2"/>
      <c r="V282" s="2"/>
      <c r="W282" s="2"/>
    </row>
    <row r="283" spans="2:23" ht="15.75" customHeight="1">
      <c r="B283" s="2"/>
      <c r="C283" s="2"/>
      <c r="E283" s="2"/>
      <c r="G283" s="2"/>
      <c r="I283" s="2"/>
      <c r="N283" s="2"/>
      <c r="P283" s="2"/>
      <c r="Q283" s="2"/>
      <c r="R283" s="2"/>
      <c r="S283" s="2"/>
      <c r="T283" s="2"/>
      <c r="U283" s="2"/>
      <c r="V283" s="2"/>
      <c r="W283" s="2"/>
    </row>
    <row r="284" spans="2:23" ht="15.75" customHeight="1">
      <c r="B284" s="2"/>
      <c r="C284" s="2"/>
      <c r="E284" s="2"/>
      <c r="G284" s="2"/>
      <c r="I284" s="2"/>
      <c r="N284" s="2"/>
      <c r="P284" s="2"/>
      <c r="Q284" s="2"/>
      <c r="R284" s="2"/>
      <c r="S284" s="2"/>
      <c r="T284" s="2"/>
      <c r="U284" s="2"/>
      <c r="V284" s="2"/>
      <c r="W284" s="2"/>
    </row>
    <row r="285" spans="2:23" ht="15.75" customHeight="1">
      <c r="B285" s="2"/>
      <c r="C285" s="2"/>
      <c r="E285" s="2"/>
      <c r="G285" s="2"/>
      <c r="I285" s="2"/>
      <c r="N285" s="2"/>
      <c r="P285" s="2"/>
      <c r="Q285" s="2"/>
      <c r="R285" s="2"/>
      <c r="S285" s="2"/>
      <c r="T285" s="2"/>
      <c r="U285" s="2"/>
      <c r="V285" s="2"/>
      <c r="W285" s="2"/>
    </row>
    <row r="286" spans="2:23" ht="15.75" customHeight="1">
      <c r="B286" s="2"/>
      <c r="C286" s="2"/>
      <c r="E286" s="2"/>
      <c r="G286" s="2"/>
      <c r="I286" s="2"/>
      <c r="N286" s="2"/>
      <c r="P286" s="2"/>
      <c r="Q286" s="2"/>
      <c r="R286" s="2"/>
      <c r="S286" s="2"/>
      <c r="T286" s="2"/>
      <c r="U286" s="2"/>
      <c r="V286" s="2"/>
      <c r="W286" s="2"/>
    </row>
    <row r="287" spans="2:23" ht="15.75" customHeight="1">
      <c r="B287" s="2"/>
      <c r="C287" s="2"/>
      <c r="E287" s="2"/>
      <c r="G287" s="2"/>
      <c r="I287" s="2"/>
      <c r="N287" s="2"/>
      <c r="P287" s="2"/>
      <c r="Q287" s="2"/>
      <c r="R287" s="2"/>
      <c r="S287" s="2"/>
      <c r="T287" s="2"/>
      <c r="U287" s="2"/>
      <c r="V287" s="2"/>
      <c r="W287" s="2"/>
    </row>
    <row r="288" spans="2:23" ht="15.75" customHeight="1">
      <c r="B288" s="2"/>
      <c r="C288" s="2"/>
      <c r="E288" s="2"/>
      <c r="G288" s="2"/>
      <c r="I288" s="2"/>
      <c r="N288" s="2"/>
      <c r="P288" s="2"/>
      <c r="Q288" s="2"/>
      <c r="R288" s="2"/>
      <c r="S288" s="2"/>
      <c r="T288" s="2"/>
      <c r="U288" s="2"/>
      <c r="V288" s="2"/>
      <c r="W288" s="2"/>
    </row>
    <row r="289" spans="2:23" ht="15.75" customHeight="1">
      <c r="B289" s="2"/>
      <c r="C289" s="2"/>
      <c r="E289" s="2"/>
      <c r="G289" s="2"/>
      <c r="I289" s="2"/>
      <c r="N289" s="2"/>
      <c r="P289" s="2"/>
      <c r="Q289" s="2"/>
      <c r="R289" s="2"/>
      <c r="S289" s="2"/>
      <c r="T289" s="2"/>
      <c r="U289" s="2"/>
      <c r="V289" s="2"/>
      <c r="W289" s="2"/>
    </row>
    <row r="290" spans="2:23" ht="15.75" customHeight="1">
      <c r="B290" s="2"/>
      <c r="C290" s="2"/>
      <c r="E290" s="2"/>
      <c r="G290" s="2"/>
      <c r="I290" s="2"/>
      <c r="N290" s="2"/>
      <c r="P290" s="2"/>
      <c r="Q290" s="2"/>
      <c r="R290" s="2"/>
      <c r="S290" s="2"/>
      <c r="T290" s="2"/>
      <c r="U290" s="2"/>
      <c r="V290" s="2"/>
      <c r="W290" s="2"/>
    </row>
    <row r="291" spans="2:23" ht="15.75" customHeight="1">
      <c r="B291" s="2"/>
      <c r="C291" s="2"/>
      <c r="E291" s="2"/>
      <c r="G291" s="2"/>
      <c r="I291" s="2"/>
      <c r="N291" s="2"/>
      <c r="P291" s="2"/>
      <c r="Q291" s="2"/>
      <c r="R291" s="2"/>
      <c r="S291" s="2"/>
      <c r="T291" s="2"/>
      <c r="U291" s="2"/>
      <c r="V291" s="2"/>
      <c r="W291" s="2"/>
    </row>
    <row r="292" spans="2:23" ht="15.75" customHeight="1">
      <c r="B292" s="2"/>
      <c r="C292" s="2"/>
      <c r="E292" s="2"/>
      <c r="G292" s="2"/>
      <c r="I292" s="2"/>
      <c r="N292" s="2"/>
      <c r="P292" s="2"/>
      <c r="Q292" s="2"/>
      <c r="R292" s="2"/>
      <c r="S292" s="2"/>
      <c r="T292" s="2"/>
      <c r="U292" s="2"/>
      <c r="V292" s="2"/>
      <c r="W292" s="2"/>
    </row>
    <row r="293" spans="2:23" ht="15.75" customHeight="1">
      <c r="B293" s="2"/>
      <c r="C293" s="2"/>
      <c r="E293" s="2"/>
      <c r="G293" s="2"/>
      <c r="I293" s="2"/>
      <c r="N293" s="2"/>
      <c r="P293" s="2"/>
      <c r="Q293" s="2"/>
      <c r="R293" s="2"/>
      <c r="S293" s="2"/>
      <c r="T293" s="2"/>
      <c r="U293" s="2"/>
      <c r="V293" s="2"/>
      <c r="W293" s="2"/>
    </row>
    <row r="294" spans="2:23" ht="15.75" customHeight="1">
      <c r="B294" s="2"/>
      <c r="C294" s="2"/>
      <c r="E294" s="2"/>
      <c r="G294" s="2"/>
      <c r="I294" s="2"/>
      <c r="N294" s="2"/>
      <c r="P294" s="2"/>
      <c r="Q294" s="2"/>
      <c r="R294" s="2"/>
      <c r="S294" s="2"/>
      <c r="T294" s="2"/>
      <c r="U294" s="2"/>
      <c r="V294" s="2"/>
      <c r="W294" s="2"/>
    </row>
    <row r="295" spans="2:23" ht="15.75" customHeight="1">
      <c r="B295" s="2"/>
      <c r="C295" s="2"/>
      <c r="E295" s="2"/>
      <c r="G295" s="2"/>
      <c r="I295" s="2"/>
      <c r="N295" s="2"/>
      <c r="P295" s="2"/>
      <c r="Q295" s="2"/>
      <c r="R295" s="2"/>
      <c r="S295" s="2"/>
      <c r="T295" s="2"/>
      <c r="U295" s="2"/>
      <c r="V295" s="2"/>
      <c r="W295" s="2"/>
    </row>
    <row r="296" spans="2:23" ht="15.75" customHeight="1">
      <c r="B296" s="2"/>
      <c r="C296" s="2"/>
      <c r="E296" s="2"/>
      <c r="G296" s="2"/>
      <c r="I296" s="2"/>
      <c r="N296" s="2"/>
      <c r="P296" s="2"/>
      <c r="Q296" s="2"/>
      <c r="R296" s="2"/>
      <c r="S296" s="2"/>
      <c r="T296" s="2"/>
      <c r="U296" s="2"/>
      <c r="V296" s="2"/>
      <c r="W296" s="2"/>
    </row>
    <row r="297" spans="2:23" ht="15.75" customHeight="1">
      <c r="B297" s="2"/>
      <c r="C297" s="2"/>
      <c r="E297" s="2"/>
      <c r="G297" s="2"/>
      <c r="I297" s="2"/>
      <c r="N297" s="2"/>
      <c r="P297" s="2"/>
      <c r="Q297" s="2"/>
      <c r="R297" s="2"/>
      <c r="S297" s="2"/>
      <c r="T297" s="2"/>
      <c r="U297" s="2"/>
      <c r="V297" s="2"/>
      <c r="W297" s="2"/>
    </row>
    <row r="298" spans="2:23" ht="15.75" customHeight="1">
      <c r="B298" s="2"/>
      <c r="C298" s="2"/>
      <c r="E298" s="2"/>
      <c r="G298" s="2"/>
      <c r="I298" s="2"/>
      <c r="N298" s="2"/>
      <c r="P298" s="2"/>
      <c r="Q298" s="2"/>
      <c r="R298" s="2"/>
      <c r="S298" s="2"/>
      <c r="T298" s="2"/>
      <c r="U298" s="2"/>
      <c r="V298" s="2"/>
      <c r="W298" s="2"/>
    </row>
    <row r="299" spans="2:23" ht="15.75" customHeight="1">
      <c r="B299" s="2"/>
      <c r="C299" s="2"/>
      <c r="E299" s="2"/>
      <c r="G299" s="2"/>
      <c r="I299" s="2"/>
      <c r="N299" s="2"/>
      <c r="P299" s="2"/>
      <c r="Q299" s="2"/>
      <c r="R299" s="2"/>
      <c r="S299" s="2"/>
      <c r="T299" s="2"/>
      <c r="U299" s="2"/>
      <c r="V299" s="2"/>
      <c r="W299" s="2"/>
    </row>
    <row r="300" spans="2:23" ht="15.75" customHeight="1">
      <c r="B300" s="2"/>
      <c r="C300" s="2"/>
      <c r="E300" s="2"/>
      <c r="G300" s="2"/>
      <c r="I300" s="2"/>
      <c r="N300" s="2"/>
      <c r="P300" s="2"/>
      <c r="Q300" s="2"/>
      <c r="R300" s="2"/>
      <c r="S300" s="2"/>
      <c r="T300" s="2"/>
      <c r="U300" s="2"/>
      <c r="V300" s="2"/>
      <c r="W300" s="2"/>
    </row>
    <row r="301" spans="2:23" ht="15.75" customHeight="1">
      <c r="B301" s="2"/>
      <c r="C301" s="2"/>
      <c r="E301" s="2"/>
      <c r="G301" s="2"/>
      <c r="I301" s="2"/>
      <c r="N301" s="2"/>
      <c r="P301" s="2"/>
      <c r="Q301" s="2"/>
      <c r="R301" s="2"/>
      <c r="S301" s="2"/>
      <c r="T301" s="2"/>
      <c r="U301" s="2"/>
      <c r="V301" s="2"/>
      <c r="W301" s="2"/>
    </row>
    <row r="302" spans="2:23" ht="15.75" customHeight="1">
      <c r="B302" s="2"/>
      <c r="C302" s="2"/>
      <c r="E302" s="2"/>
      <c r="G302" s="2"/>
      <c r="I302" s="2"/>
      <c r="N302" s="2"/>
      <c r="P302" s="2"/>
      <c r="Q302" s="2"/>
      <c r="R302" s="2"/>
      <c r="S302" s="2"/>
      <c r="T302" s="2"/>
      <c r="U302" s="2"/>
      <c r="V302" s="2"/>
      <c r="W302" s="2"/>
    </row>
    <row r="303" spans="2:23" ht="15.75" customHeight="1">
      <c r="B303" s="2"/>
      <c r="C303" s="2"/>
      <c r="E303" s="2"/>
      <c r="G303" s="2"/>
      <c r="I303" s="2"/>
      <c r="N303" s="2"/>
      <c r="P303" s="2"/>
      <c r="Q303" s="2"/>
      <c r="R303" s="2"/>
      <c r="S303" s="2"/>
      <c r="T303" s="2"/>
      <c r="U303" s="2"/>
      <c r="V303" s="2"/>
      <c r="W303" s="2"/>
    </row>
    <row r="304" spans="2:23" ht="15.75" customHeight="1">
      <c r="B304" s="2"/>
      <c r="C304" s="2"/>
      <c r="E304" s="2"/>
      <c r="G304" s="2"/>
      <c r="I304" s="2"/>
      <c r="N304" s="2"/>
      <c r="P304" s="2"/>
      <c r="Q304" s="2"/>
      <c r="R304" s="2"/>
      <c r="S304" s="2"/>
      <c r="T304" s="2"/>
      <c r="U304" s="2"/>
      <c r="V304" s="2"/>
      <c r="W304" s="2"/>
    </row>
    <row r="305" spans="2:23" ht="15.75" customHeight="1">
      <c r="B305" s="2"/>
      <c r="C305" s="2"/>
      <c r="E305" s="2"/>
      <c r="G305" s="2"/>
      <c r="I305" s="2"/>
      <c r="N305" s="2"/>
      <c r="P305" s="2"/>
      <c r="Q305" s="2"/>
      <c r="R305" s="2"/>
      <c r="S305" s="2"/>
      <c r="T305" s="2"/>
      <c r="U305" s="2"/>
      <c r="V305" s="2"/>
      <c r="W305" s="2"/>
    </row>
    <row r="306" spans="2:23" ht="15.75" customHeight="1">
      <c r="B306" s="2"/>
      <c r="C306" s="2"/>
      <c r="E306" s="2"/>
      <c r="G306" s="2"/>
      <c r="I306" s="2"/>
      <c r="N306" s="2"/>
      <c r="P306" s="2"/>
      <c r="Q306" s="2"/>
      <c r="R306" s="2"/>
      <c r="S306" s="2"/>
      <c r="T306" s="2"/>
      <c r="U306" s="2"/>
      <c r="V306" s="2"/>
      <c r="W306" s="2"/>
    </row>
    <row r="307" spans="2:23" ht="15.75" customHeight="1">
      <c r="B307" s="2"/>
      <c r="C307" s="2"/>
      <c r="E307" s="2"/>
      <c r="G307" s="2"/>
      <c r="I307" s="2"/>
      <c r="N307" s="2"/>
      <c r="P307" s="2"/>
      <c r="Q307" s="2"/>
      <c r="R307" s="2"/>
      <c r="S307" s="2"/>
      <c r="T307" s="2"/>
      <c r="U307" s="2"/>
      <c r="V307" s="2"/>
      <c r="W307" s="2"/>
    </row>
    <row r="308" spans="2:23" ht="15.75" customHeight="1">
      <c r="B308" s="2"/>
      <c r="C308" s="2"/>
      <c r="E308" s="2"/>
      <c r="G308" s="2"/>
      <c r="I308" s="2"/>
      <c r="N308" s="2"/>
      <c r="P308" s="2"/>
      <c r="Q308" s="2"/>
      <c r="R308" s="2"/>
      <c r="S308" s="2"/>
      <c r="T308" s="2"/>
      <c r="U308" s="2"/>
      <c r="V308" s="2"/>
      <c r="W308" s="2"/>
    </row>
    <row r="309" spans="2:23" ht="15.75" customHeight="1">
      <c r="B309" s="2"/>
      <c r="C309" s="2"/>
      <c r="E309" s="2"/>
      <c r="G309" s="2"/>
      <c r="I309" s="2"/>
      <c r="N309" s="2"/>
      <c r="P309" s="2"/>
      <c r="Q309" s="2"/>
      <c r="R309" s="2"/>
      <c r="S309" s="2"/>
      <c r="T309" s="2"/>
      <c r="U309" s="2"/>
      <c r="V309" s="2"/>
      <c r="W309" s="2"/>
    </row>
    <row r="310" spans="2:23" ht="15.75" customHeight="1">
      <c r="B310" s="2"/>
      <c r="C310" s="2"/>
      <c r="E310" s="2"/>
      <c r="G310" s="2"/>
      <c r="I310" s="2"/>
      <c r="N310" s="2"/>
      <c r="P310" s="2"/>
      <c r="Q310" s="2"/>
      <c r="R310" s="2"/>
      <c r="S310" s="2"/>
      <c r="T310" s="2"/>
      <c r="U310" s="2"/>
      <c r="V310" s="2"/>
      <c r="W310" s="2"/>
    </row>
    <row r="311" spans="2:23" ht="15.75" customHeight="1">
      <c r="B311" s="2"/>
      <c r="C311" s="2"/>
      <c r="E311" s="2"/>
      <c r="G311" s="2"/>
      <c r="I311" s="2"/>
      <c r="N311" s="2"/>
      <c r="P311" s="2"/>
      <c r="Q311" s="2"/>
      <c r="R311" s="2"/>
      <c r="S311" s="2"/>
      <c r="T311" s="2"/>
      <c r="U311" s="2"/>
      <c r="V311" s="2"/>
      <c r="W311" s="2"/>
    </row>
    <row r="312" spans="2:23" ht="15.75" customHeight="1">
      <c r="B312" s="2"/>
      <c r="C312" s="2"/>
      <c r="E312" s="2"/>
      <c r="G312" s="2"/>
      <c r="I312" s="2"/>
      <c r="N312" s="2"/>
      <c r="P312" s="2"/>
      <c r="Q312" s="2"/>
      <c r="R312" s="2"/>
      <c r="S312" s="2"/>
      <c r="T312" s="2"/>
      <c r="U312" s="2"/>
      <c r="V312" s="2"/>
      <c r="W312" s="2"/>
    </row>
    <row r="313" spans="2:23" ht="15.75" customHeight="1">
      <c r="B313" s="2"/>
      <c r="C313" s="2"/>
      <c r="E313" s="2"/>
      <c r="G313" s="2"/>
      <c r="I313" s="2"/>
      <c r="N313" s="2"/>
      <c r="P313" s="2"/>
      <c r="Q313" s="2"/>
      <c r="R313" s="2"/>
      <c r="S313" s="2"/>
      <c r="T313" s="2"/>
      <c r="U313" s="2"/>
      <c r="V313" s="2"/>
      <c r="W313" s="2"/>
    </row>
    <row r="314" spans="2:23" ht="15.75" customHeight="1">
      <c r="B314" s="2"/>
      <c r="C314" s="2"/>
      <c r="E314" s="2"/>
      <c r="G314" s="2"/>
      <c r="I314" s="2"/>
      <c r="N314" s="2"/>
      <c r="P314" s="2"/>
      <c r="Q314" s="2"/>
      <c r="R314" s="2"/>
      <c r="S314" s="2"/>
      <c r="T314" s="2"/>
      <c r="U314" s="2"/>
      <c r="V314" s="2"/>
      <c r="W314" s="2"/>
    </row>
    <row r="315" spans="2:23" ht="15.75" customHeight="1">
      <c r="B315" s="2"/>
      <c r="C315" s="2"/>
      <c r="E315" s="2"/>
      <c r="G315" s="2"/>
      <c r="I315" s="2"/>
      <c r="N315" s="2"/>
      <c r="P315" s="2"/>
      <c r="Q315" s="2"/>
      <c r="R315" s="2"/>
      <c r="S315" s="2"/>
      <c r="T315" s="2"/>
      <c r="U315" s="2"/>
      <c r="V315" s="2"/>
      <c r="W315" s="2"/>
    </row>
    <row r="316" spans="2:23" ht="15.75" customHeight="1">
      <c r="B316" s="2"/>
      <c r="C316" s="2"/>
      <c r="E316" s="2"/>
      <c r="G316" s="2"/>
      <c r="I316" s="2"/>
      <c r="N316" s="2"/>
      <c r="P316" s="2"/>
      <c r="Q316" s="2"/>
      <c r="R316" s="2"/>
      <c r="S316" s="2"/>
      <c r="T316" s="2"/>
      <c r="U316" s="2"/>
      <c r="V316" s="2"/>
      <c r="W316" s="2"/>
    </row>
    <row r="317" spans="2:23" ht="15.75" customHeight="1">
      <c r="B317" s="2"/>
      <c r="C317" s="2"/>
      <c r="E317" s="2"/>
      <c r="G317" s="2"/>
      <c r="I317" s="2"/>
      <c r="N317" s="2"/>
      <c r="P317" s="2"/>
      <c r="Q317" s="2"/>
      <c r="R317" s="2"/>
      <c r="S317" s="2"/>
      <c r="T317" s="2"/>
      <c r="U317" s="2"/>
      <c r="V317" s="2"/>
      <c r="W317" s="2"/>
    </row>
    <row r="318" spans="2:23" ht="15.75" customHeight="1">
      <c r="B318" s="2"/>
      <c r="C318" s="2"/>
      <c r="E318" s="2"/>
      <c r="G318" s="2"/>
      <c r="I318" s="2"/>
      <c r="N318" s="2"/>
      <c r="P318" s="2"/>
      <c r="Q318" s="2"/>
      <c r="R318" s="2"/>
      <c r="S318" s="2"/>
      <c r="T318" s="2"/>
      <c r="U318" s="2"/>
      <c r="V318" s="2"/>
      <c r="W318" s="2"/>
    </row>
    <row r="319" spans="2:23" ht="15.75" customHeight="1">
      <c r="B319" s="2"/>
      <c r="C319" s="2"/>
      <c r="E319" s="2"/>
      <c r="G319" s="2"/>
      <c r="I319" s="2"/>
      <c r="N319" s="2"/>
      <c r="P319" s="2"/>
      <c r="Q319" s="2"/>
      <c r="R319" s="2"/>
      <c r="S319" s="2"/>
      <c r="T319" s="2"/>
      <c r="U319" s="2"/>
      <c r="V319" s="2"/>
      <c r="W319" s="2"/>
    </row>
    <row r="320" spans="2:23" ht="15.75" customHeight="1">
      <c r="B320" s="2"/>
      <c r="C320" s="2"/>
      <c r="E320" s="2"/>
      <c r="G320" s="2"/>
      <c r="I320" s="2"/>
      <c r="N320" s="2"/>
      <c r="P320" s="2"/>
      <c r="Q320" s="2"/>
      <c r="R320" s="2"/>
      <c r="S320" s="2"/>
      <c r="T320" s="2"/>
      <c r="U320" s="2"/>
      <c r="V320" s="2"/>
      <c r="W320" s="2"/>
    </row>
    <row r="321" spans="2:23" ht="15.75" customHeight="1">
      <c r="B321" s="2"/>
      <c r="C321" s="2"/>
      <c r="E321" s="2"/>
      <c r="G321" s="2"/>
      <c r="I321" s="2"/>
      <c r="N321" s="2"/>
      <c r="P321" s="2"/>
      <c r="Q321" s="2"/>
      <c r="R321" s="2"/>
      <c r="S321" s="2"/>
      <c r="T321" s="2"/>
      <c r="U321" s="2"/>
      <c r="V321" s="2"/>
      <c r="W321" s="2"/>
    </row>
    <row r="322" spans="2:23" ht="15.75" customHeight="1">
      <c r="B322" s="2"/>
      <c r="C322" s="2"/>
      <c r="E322" s="2"/>
      <c r="G322" s="2"/>
      <c r="I322" s="2"/>
      <c r="N322" s="2"/>
      <c r="P322" s="2"/>
      <c r="Q322" s="2"/>
      <c r="R322" s="2"/>
      <c r="S322" s="2"/>
      <c r="T322" s="2"/>
      <c r="U322" s="2"/>
      <c r="V322" s="2"/>
      <c r="W322" s="2"/>
    </row>
    <row r="323" spans="2:23" ht="15.75" customHeight="1">
      <c r="B323" s="2"/>
      <c r="C323" s="2"/>
      <c r="E323" s="2"/>
      <c r="G323" s="2"/>
      <c r="I323" s="2"/>
      <c r="N323" s="2"/>
      <c r="P323" s="2"/>
      <c r="Q323" s="2"/>
      <c r="R323" s="2"/>
      <c r="S323" s="2"/>
      <c r="T323" s="2"/>
      <c r="U323" s="2"/>
      <c r="V323" s="2"/>
      <c r="W323" s="2"/>
    </row>
    <row r="324" spans="2:23" ht="15.75" customHeight="1">
      <c r="B324" s="2"/>
      <c r="C324" s="2"/>
      <c r="E324" s="2"/>
      <c r="G324" s="2"/>
      <c r="I324" s="2"/>
      <c r="N324" s="2"/>
      <c r="P324" s="2"/>
      <c r="Q324" s="2"/>
      <c r="R324" s="2"/>
      <c r="S324" s="2"/>
      <c r="T324" s="2"/>
      <c r="U324" s="2"/>
      <c r="V324" s="2"/>
      <c r="W324" s="2"/>
    </row>
    <row r="325" spans="2:23" ht="15.75" customHeight="1">
      <c r="B325" s="2"/>
      <c r="C325" s="2"/>
      <c r="E325" s="2"/>
      <c r="G325" s="2"/>
      <c r="I325" s="2"/>
      <c r="N325" s="2"/>
      <c r="P325" s="2"/>
      <c r="Q325" s="2"/>
      <c r="R325" s="2"/>
      <c r="S325" s="2"/>
      <c r="T325" s="2"/>
      <c r="U325" s="2"/>
      <c r="V325" s="2"/>
      <c r="W325" s="2"/>
    </row>
    <row r="326" spans="2:23" ht="15.75" customHeight="1">
      <c r="B326" s="2"/>
      <c r="C326" s="2"/>
      <c r="E326" s="2"/>
      <c r="G326" s="2"/>
      <c r="I326" s="2"/>
      <c r="N326" s="2"/>
      <c r="P326" s="2"/>
      <c r="Q326" s="2"/>
      <c r="R326" s="2"/>
      <c r="S326" s="2"/>
      <c r="T326" s="2"/>
      <c r="U326" s="2"/>
      <c r="V326" s="2"/>
      <c r="W326" s="2"/>
    </row>
    <row r="327" spans="2:23" ht="15.75" customHeight="1">
      <c r="B327" s="2"/>
      <c r="C327" s="2"/>
      <c r="E327" s="2"/>
      <c r="G327" s="2"/>
      <c r="I327" s="2"/>
      <c r="N327" s="2"/>
      <c r="P327" s="2"/>
      <c r="Q327" s="2"/>
      <c r="R327" s="2"/>
      <c r="S327" s="2"/>
      <c r="T327" s="2"/>
      <c r="U327" s="2"/>
      <c r="V327" s="2"/>
      <c r="W327" s="2"/>
    </row>
    <row r="328" spans="2:23" ht="15.75" customHeight="1">
      <c r="B328" s="2"/>
      <c r="C328" s="2"/>
      <c r="E328" s="2"/>
      <c r="G328" s="2"/>
      <c r="I328" s="2"/>
      <c r="N328" s="2"/>
      <c r="P328" s="2"/>
      <c r="Q328" s="2"/>
      <c r="R328" s="2"/>
      <c r="S328" s="2"/>
      <c r="T328" s="2"/>
      <c r="U328" s="2"/>
      <c r="V328" s="2"/>
      <c r="W328" s="2"/>
    </row>
    <row r="329" spans="2:23" ht="15.75" customHeight="1">
      <c r="B329" s="2"/>
      <c r="C329" s="2"/>
      <c r="E329" s="2"/>
      <c r="G329" s="2"/>
      <c r="I329" s="2"/>
      <c r="N329" s="2"/>
      <c r="P329" s="2"/>
      <c r="Q329" s="2"/>
      <c r="R329" s="2"/>
      <c r="S329" s="2"/>
      <c r="T329" s="2"/>
      <c r="U329" s="2"/>
      <c r="V329" s="2"/>
      <c r="W329" s="2"/>
    </row>
    <row r="330" spans="2:23" ht="15.75" customHeight="1">
      <c r="B330" s="2"/>
      <c r="C330" s="2"/>
      <c r="E330" s="2"/>
      <c r="G330" s="2"/>
      <c r="I330" s="2"/>
      <c r="N330" s="2"/>
      <c r="P330" s="2"/>
      <c r="Q330" s="2"/>
      <c r="R330" s="2"/>
      <c r="S330" s="2"/>
      <c r="T330" s="2"/>
      <c r="U330" s="2"/>
      <c r="V330" s="2"/>
      <c r="W330" s="2"/>
    </row>
    <row r="331" spans="2:23" ht="15.75" customHeight="1">
      <c r="B331" s="2"/>
      <c r="C331" s="2"/>
      <c r="E331" s="2"/>
      <c r="G331" s="2"/>
      <c r="I331" s="2"/>
      <c r="N331" s="2"/>
      <c r="P331" s="2"/>
      <c r="Q331" s="2"/>
      <c r="R331" s="2"/>
      <c r="S331" s="2"/>
      <c r="T331" s="2"/>
      <c r="U331" s="2"/>
      <c r="V331" s="2"/>
      <c r="W331" s="2"/>
    </row>
    <row r="332" spans="2:23" ht="15.75" customHeight="1">
      <c r="B332" s="2"/>
      <c r="C332" s="2"/>
      <c r="E332" s="2"/>
      <c r="G332" s="2"/>
      <c r="I332" s="2"/>
      <c r="N332" s="2"/>
      <c r="P332" s="2"/>
      <c r="Q332" s="2"/>
      <c r="R332" s="2"/>
      <c r="S332" s="2"/>
      <c r="T332" s="2"/>
      <c r="U332" s="2"/>
      <c r="V332" s="2"/>
      <c r="W332" s="2"/>
    </row>
    <row r="333" spans="2:23" ht="15.75" customHeight="1">
      <c r="B333" s="2"/>
      <c r="C333" s="2"/>
      <c r="E333" s="2"/>
      <c r="G333" s="2"/>
      <c r="I333" s="2"/>
      <c r="N333" s="2"/>
      <c r="P333" s="2"/>
      <c r="Q333" s="2"/>
      <c r="R333" s="2"/>
      <c r="S333" s="2"/>
      <c r="T333" s="2"/>
      <c r="U333" s="2"/>
      <c r="V333" s="2"/>
      <c r="W333" s="2"/>
    </row>
    <row r="334" spans="2:23" ht="15.75" customHeight="1">
      <c r="B334" s="2"/>
      <c r="C334" s="2"/>
      <c r="E334" s="2"/>
      <c r="G334" s="2"/>
      <c r="I334" s="2"/>
      <c r="N334" s="2"/>
      <c r="P334" s="2"/>
      <c r="Q334" s="2"/>
      <c r="R334" s="2"/>
      <c r="S334" s="2"/>
      <c r="T334" s="2"/>
      <c r="U334" s="2"/>
      <c r="V334" s="2"/>
      <c r="W334" s="2"/>
    </row>
    <row r="335" spans="2:23" ht="15.75" customHeight="1">
      <c r="B335" s="2"/>
      <c r="C335" s="2"/>
      <c r="E335" s="2"/>
      <c r="G335" s="2"/>
      <c r="I335" s="2"/>
      <c r="N335" s="2"/>
      <c r="P335" s="2"/>
      <c r="Q335" s="2"/>
      <c r="R335" s="2"/>
      <c r="S335" s="2"/>
      <c r="T335" s="2"/>
      <c r="U335" s="2"/>
      <c r="V335" s="2"/>
      <c r="W335" s="2"/>
    </row>
    <row r="336" spans="2:23" ht="15.75" customHeight="1">
      <c r="B336" s="2"/>
      <c r="C336" s="2"/>
      <c r="E336" s="2"/>
      <c r="G336" s="2"/>
      <c r="I336" s="2"/>
      <c r="N336" s="2"/>
      <c r="P336" s="2"/>
      <c r="Q336" s="2"/>
      <c r="R336" s="2"/>
      <c r="S336" s="2"/>
      <c r="T336" s="2"/>
      <c r="U336" s="2"/>
      <c r="V336" s="2"/>
      <c r="W336" s="2"/>
    </row>
    <row r="337" spans="2:23" ht="15.75" customHeight="1">
      <c r="B337" s="2"/>
      <c r="C337" s="2"/>
      <c r="E337" s="2"/>
      <c r="G337" s="2"/>
      <c r="I337" s="2"/>
      <c r="N337" s="2"/>
      <c r="P337" s="2"/>
      <c r="Q337" s="2"/>
      <c r="R337" s="2"/>
      <c r="S337" s="2"/>
      <c r="T337" s="2"/>
      <c r="U337" s="2"/>
      <c r="V337" s="2"/>
      <c r="W337" s="2"/>
    </row>
    <row r="338" spans="2:23" ht="15.75" customHeight="1">
      <c r="B338" s="2"/>
      <c r="C338" s="2"/>
      <c r="E338" s="2"/>
      <c r="G338" s="2"/>
      <c r="I338" s="2"/>
      <c r="N338" s="2"/>
      <c r="P338" s="2"/>
      <c r="Q338" s="2"/>
      <c r="R338" s="2"/>
      <c r="S338" s="2"/>
      <c r="T338" s="2"/>
      <c r="U338" s="2"/>
      <c r="V338" s="2"/>
      <c r="W338" s="2"/>
    </row>
    <row r="339" spans="2:23" ht="15.75" customHeight="1">
      <c r="B339" s="2"/>
      <c r="C339" s="2"/>
      <c r="E339" s="2"/>
      <c r="G339" s="2"/>
      <c r="I339" s="2"/>
      <c r="N339" s="2"/>
      <c r="P339" s="2"/>
      <c r="Q339" s="2"/>
      <c r="R339" s="2"/>
      <c r="S339" s="2"/>
      <c r="T339" s="2"/>
      <c r="U339" s="2"/>
      <c r="V339" s="2"/>
      <c r="W339" s="2"/>
    </row>
    <row r="340" spans="2:23" ht="15.75" customHeight="1">
      <c r="B340" s="2"/>
      <c r="C340" s="2"/>
      <c r="E340" s="2"/>
      <c r="G340" s="2"/>
      <c r="I340" s="2"/>
      <c r="N340" s="2"/>
      <c r="P340" s="2"/>
      <c r="Q340" s="2"/>
      <c r="R340" s="2"/>
      <c r="S340" s="2"/>
      <c r="T340" s="2"/>
      <c r="U340" s="2"/>
      <c r="V340" s="2"/>
      <c r="W340" s="2"/>
    </row>
    <row r="341" spans="2:23" ht="15.75" customHeight="1">
      <c r="B341" s="2"/>
      <c r="C341" s="2"/>
      <c r="E341" s="2"/>
      <c r="G341" s="2"/>
      <c r="I341" s="2"/>
      <c r="N341" s="2"/>
      <c r="P341" s="2"/>
      <c r="Q341" s="2"/>
      <c r="R341" s="2"/>
      <c r="S341" s="2"/>
      <c r="T341" s="2"/>
      <c r="U341" s="2"/>
      <c r="V341" s="2"/>
      <c r="W341" s="2"/>
    </row>
    <row r="342" spans="2:23" ht="15.75" customHeight="1">
      <c r="B342" s="2"/>
      <c r="C342" s="2"/>
      <c r="E342" s="2"/>
      <c r="G342" s="2"/>
      <c r="I342" s="2"/>
      <c r="N342" s="2"/>
      <c r="P342" s="2"/>
      <c r="Q342" s="2"/>
      <c r="R342" s="2"/>
      <c r="S342" s="2"/>
      <c r="T342" s="2"/>
      <c r="U342" s="2"/>
      <c r="V342" s="2"/>
      <c r="W342" s="2"/>
    </row>
    <row r="343" spans="2:23" ht="15.75" customHeight="1">
      <c r="B343" s="2"/>
      <c r="C343" s="2"/>
      <c r="E343" s="2"/>
      <c r="G343" s="2"/>
      <c r="I343" s="2"/>
      <c r="N343" s="2"/>
      <c r="P343" s="2"/>
      <c r="Q343" s="2"/>
      <c r="R343" s="2"/>
      <c r="S343" s="2"/>
      <c r="T343" s="2"/>
      <c r="U343" s="2"/>
      <c r="V343" s="2"/>
      <c r="W343" s="2"/>
    </row>
    <row r="344" spans="2:23" ht="15.75" customHeight="1">
      <c r="B344" s="2"/>
      <c r="C344" s="2"/>
      <c r="E344" s="2"/>
      <c r="G344" s="2"/>
      <c r="I344" s="2"/>
      <c r="N344" s="2"/>
      <c r="P344" s="2"/>
      <c r="Q344" s="2"/>
      <c r="R344" s="2"/>
      <c r="S344" s="2"/>
      <c r="T344" s="2"/>
      <c r="U344" s="2"/>
      <c r="V344" s="2"/>
      <c r="W344" s="2"/>
    </row>
    <row r="345" spans="2:23" ht="15.75" customHeight="1">
      <c r="B345" s="2"/>
      <c r="C345" s="2"/>
      <c r="E345" s="2"/>
      <c r="G345" s="2"/>
      <c r="I345" s="2"/>
      <c r="N345" s="2"/>
      <c r="P345" s="2"/>
      <c r="Q345" s="2"/>
      <c r="R345" s="2"/>
      <c r="S345" s="2"/>
      <c r="T345" s="2"/>
      <c r="U345" s="2"/>
      <c r="V345" s="2"/>
      <c r="W345" s="2"/>
    </row>
    <row r="346" spans="2:23" ht="15.75" customHeight="1">
      <c r="B346" s="2"/>
      <c r="C346" s="2"/>
      <c r="E346" s="2"/>
      <c r="G346" s="2"/>
      <c r="I346" s="2"/>
      <c r="N346" s="2"/>
      <c r="P346" s="2"/>
      <c r="Q346" s="2"/>
      <c r="R346" s="2"/>
      <c r="S346" s="2"/>
      <c r="T346" s="2"/>
      <c r="U346" s="2"/>
      <c r="V346" s="2"/>
      <c r="W346" s="2"/>
    </row>
    <row r="347" spans="2:23" ht="15.75" customHeight="1">
      <c r="B347" s="2"/>
      <c r="C347" s="2"/>
      <c r="E347" s="2"/>
      <c r="G347" s="2"/>
      <c r="I347" s="2"/>
      <c r="N347" s="2"/>
      <c r="P347" s="2"/>
      <c r="Q347" s="2"/>
      <c r="R347" s="2"/>
      <c r="S347" s="2"/>
      <c r="T347" s="2"/>
      <c r="U347" s="2"/>
      <c r="V347" s="2"/>
      <c r="W347" s="2"/>
    </row>
    <row r="348" spans="2:23" ht="15.75" customHeight="1">
      <c r="B348" s="2"/>
      <c r="C348" s="2"/>
      <c r="E348" s="2"/>
      <c r="G348" s="2"/>
      <c r="I348" s="2"/>
      <c r="N348" s="2"/>
      <c r="P348" s="2"/>
      <c r="Q348" s="2"/>
      <c r="R348" s="2"/>
      <c r="S348" s="2"/>
      <c r="T348" s="2"/>
      <c r="U348" s="2"/>
      <c r="V348" s="2"/>
      <c r="W348" s="2"/>
    </row>
    <row r="349" spans="2:23" ht="15.75" customHeight="1">
      <c r="B349" s="2"/>
      <c r="C349" s="2"/>
      <c r="E349" s="2"/>
      <c r="G349" s="2"/>
      <c r="I349" s="2"/>
      <c r="N349" s="2"/>
      <c r="P349" s="2"/>
      <c r="Q349" s="2"/>
      <c r="R349" s="2"/>
      <c r="S349" s="2"/>
      <c r="T349" s="2"/>
      <c r="U349" s="2"/>
      <c r="V349" s="2"/>
      <c r="W349" s="2"/>
    </row>
    <row r="350" spans="2:23" ht="15.75" customHeight="1">
      <c r="B350" s="2"/>
      <c r="C350" s="2"/>
      <c r="E350" s="2"/>
      <c r="G350" s="2"/>
      <c r="I350" s="2"/>
      <c r="N350" s="2"/>
      <c r="P350" s="2"/>
      <c r="Q350" s="2"/>
      <c r="R350" s="2"/>
      <c r="S350" s="2"/>
      <c r="T350" s="2"/>
      <c r="U350" s="2"/>
      <c r="V350" s="2"/>
      <c r="W350" s="2"/>
    </row>
    <row r="351" spans="2:23" ht="15.75" customHeight="1">
      <c r="B351" s="2"/>
      <c r="C351" s="2"/>
      <c r="E351" s="2"/>
      <c r="G351" s="2"/>
      <c r="I351" s="2"/>
      <c r="N351" s="2"/>
      <c r="P351" s="2"/>
      <c r="Q351" s="2"/>
      <c r="R351" s="2"/>
      <c r="S351" s="2"/>
      <c r="T351" s="2"/>
      <c r="U351" s="2"/>
      <c r="V351" s="2"/>
      <c r="W351" s="2"/>
    </row>
    <row r="352" spans="2:23" ht="15.75" customHeight="1">
      <c r="B352" s="2"/>
      <c r="C352" s="2"/>
      <c r="E352" s="2"/>
      <c r="G352" s="2"/>
      <c r="I352" s="2"/>
      <c r="N352" s="2"/>
      <c r="P352" s="2"/>
      <c r="Q352" s="2"/>
      <c r="R352" s="2"/>
      <c r="S352" s="2"/>
      <c r="T352" s="2"/>
      <c r="U352" s="2"/>
      <c r="V352" s="2"/>
      <c r="W352" s="2"/>
    </row>
    <row r="353" spans="2:23" ht="15.75" customHeight="1">
      <c r="B353" s="2"/>
      <c r="C353" s="2"/>
      <c r="E353" s="2"/>
      <c r="G353" s="2"/>
      <c r="I353" s="2"/>
      <c r="N353" s="2"/>
      <c r="P353" s="2"/>
      <c r="Q353" s="2"/>
      <c r="R353" s="2"/>
      <c r="S353" s="2"/>
      <c r="T353" s="2"/>
      <c r="U353" s="2"/>
      <c r="V353" s="2"/>
      <c r="W353" s="2"/>
    </row>
    <row r="354" spans="2:23" ht="15.75" customHeight="1">
      <c r="B354" s="2"/>
      <c r="C354" s="2"/>
      <c r="E354" s="2"/>
      <c r="G354" s="2"/>
      <c r="I354" s="2"/>
      <c r="N354" s="2"/>
      <c r="P354" s="2"/>
      <c r="Q354" s="2"/>
      <c r="R354" s="2"/>
      <c r="S354" s="2"/>
      <c r="T354" s="2"/>
      <c r="U354" s="2"/>
      <c r="V354" s="2"/>
      <c r="W354" s="2"/>
    </row>
    <row r="355" spans="2:23" ht="15.75" customHeight="1">
      <c r="B355" s="2"/>
      <c r="C355" s="2"/>
      <c r="E355" s="2"/>
      <c r="G355" s="2"/>
      <c r="I355" s="2"/>
      <c r="N355" s="2"/>
      <c r="P355" s="2"/>
      <c r="Q355" s="2"/>
      <c r="R355" s="2"/>
      <c r="S355" s="2"/>
      <c r="T355" s="2"/>
      <c r="U355" s="2"/>
      <c r="V355" s="2"/>
      <c r="W355" s="2"/>
    </row>
    <row r="356" spans="2:23" ht="15.75" customHeight="1">
      <c r="B356" s="2"/>
      <c r="C356" s="2"/>
      <c r="E356" s="2"/>
      <c r="G356" s="2"/>
      <c r="I356" s="2"/>
      <c r="N356" s="2"/>
      <c r="P356" s="2"/>
      <c r="Q356" s="2"/>
      <c r="R356" s="2"/>
      <c r="S356" s="2"/>
      <c r="T356" s="2"/>
      <c r="U356" s="2"/>
      <c r="V356" s="2"/>
      <c r="W356" s="2"/>
    </row>
    <row r="357" spans="2:23" ht="15.75" customHeight="1">
      <c r="B357" s="2"/>
      <c r="C357" s="2"/>
      <c r="E357" s="2"/>
      <c r="G357" s="2"/>
      <c r="I357" s="2"/>
      <c r="N357" s="2"/>
      <c r="P357" s="2"/>
      <c r="Q357" s="2"/>
      <c r="R357" s="2"/>
      <c r="S357" s="2"/>
      <c r="T357" s="2"/>
      <c r="U357" s="2"/>
      <c r="V357" s="2"/>
      <c r="W357" s="2"/>
    </row>
    <row r="358" spans="2:23" ht="15.75" customHeight="1">
      <c r="B358" s="2"/>
      <c r="C358" s="2"/>
      <c r="E358" s="2"/>
      <c r="G358" s="2"/>
      <c r="I358" s="2"/>
      <c r="N358" s="2"/>
      <c r="P358" s="2"/>
      <c r="Q358" s="2"/>
      <c r="R358" s="2"/>
      <c r="S358" s="2"/>
      <c r="T358" s="2"/>
      <c r="U358" s="2"/>
      <c r="V358" s="2"/>
      <c r="W358" s="2"/>
    </row>
    <row r="359" spans="2:23" ht="15.75" customHeight="1">
      <c r="B359" s="2"/>
      <c r="C359" s="2"/>
      <c r="E359" s="2"/>
      <c r="G359" s="2"/>
      <c r="I359" s="2"/>
      <c r="N359" s="2"/>
      <c r="P359" s="2"/>
      <c r="Q359" s="2"/>
      <c r="R359" s="2"/>
      <c r="S359" s="2"/>
      <c r="T359" s="2"/>
      <c r="U359" s="2"/>
      <c r="V359" s="2"/>
      <c r="W359" s="2"/>
    </row>
    <row r="360" spans="2:23" ht="15.75" customHeight="1">
      <c r="B360" s="2"/>
      <c r="C360" s="2"/>
      <c r="E360" s="2"/>
      <c r="G360" s="2"/>
      <c r="I360" s="2"/>
      <c r="N360" s="2"/>
      <c r="P360" s="2"/>
      <c r="Q360" s="2"/>
      <c r="R360" s="2"/>
      <c r="S360" s="2"/>
      <c r="T360" s="2"/>
      <c r="U360" s="2"/>
      <c r="V360" s="2"/>
      <c r="W360" s="2"/>
    </row>
    <row r="361" spans="2:23" ht="15.75" customHeight="1">
      <c r="B361" s="2"/>
      <c r="C361" s="2"/>
      <c r="E361" s="2"/>
      <c r="G361" s="2"/>
      <c r="I361" s="2"/>
      <c r="N361" s="2"/>
      <c r="P361" s="2"/>
      <c r="Q361" s="2"/>
      <c r="R361" s="2"/>
      <c r="S361" s="2"/>
      <c r="T361" s="2"/>
      <c r="U361" s="2"/>
      <c r="V361" s="2"/>
      <c r="W361" s="2"/>
    </row>
    <row r="362" spans="2:23" ht="15.75" customHeight="1">
      <c r="B362" s="2"/>
      <c r="C362" s="2"/>
      <c r="E362" s="2"/>
      <c r="G362" s="2"/>
      <c r="I362" s="2"/>
      <c r="N362" s="2"/>
      <c r="P362" s="2"/>
      <c r="Q362" s="2"/>
      <c r="R362" s="2"/>
      <c r="S362" s="2"/>
      <c r="T362" s="2"/>
      <c r="U362" s="2"/>
      <c r="V362" s="2"/>
      <c r="W362" s="2"/>
    </row>
    <row r="363" spans="2:23" ht="15.75" customHeight="1">
      <c r="B363" s="2"/>
      <c r="C363" s="2"/>
      <c r="E363" s="2"/>
      <c r="G363" s="2"/>
      <c r="I363" s="2"/>
      <c r="N363" s="2"/>
      <c r="P363" s="2"/>
      <c r="Q363" s="2"/>
      <c r="R363" s="2"/>
      <c r="S363" s="2"/>
      <c r="T363" s="2"/>
      <c r="U363" s="2"/>
      <c r="V363" s="2"/>
      <c r="W363" s="2"/>
    </row>
    <row r="364" spans="2:23" ht="15.75" customHeight="1">
      <c r="B364" s="2"/>
      <c r="C364" s="2"/>
      <c r="E364" s="2"/>
      <c r="G364" s="2"/>
      <c r="I364" s="2"/>
      <c r="N364" s="2"/>
      <c r="P364" s="2"/>
      <c r="Q364" s="2"/>
      <c r="R364" s="2"/>
      <c r="S364" s="2"/>
      <c r="T364" s="2"/>
      <c r="U364" s="2"/>
      <c r="V364" s="2"/>
      <c r="W364" s="2"/>
    </row>
    <row r="365" spans="2:23" ht="15.75" customHeight="1">
      <c r="B365" s="2"/>
      <c r="C365" s="2"/>
      <c r="E365" s="2"/>
      <c r="G365" s="2"/>
      <c r="I365" s="2"/>
      <c r="N365" s="2"/>
      <c r="P365" s="2"/>
      <c r="Q365" s="2"/>
      <c r="R365" s="2"/>
      <c r="S365" s="2"/>
      <c r="T365" s="2"/>
      <c r="U365" s="2"/>
      <c r="V365" s="2"/>
      <c r="W365" s="2"/>
    </row>
    <row r="366" spans="2:23" ht="15.75" customHeight="1">
      <c r="B366" s="2"/>
      <c r="C366" s="2"/>
      <c r="E366" s="2"/>
      <c r="G366" s="2"/>
      <c r="I366" s="2"/>
      <c r="N366" s="2"/>
      <c r="P366" s="2"/>
      <c r="Q366" s="2"/>
      <c r="R366" s="2"/>
      <c r="S366" s="2"/>
      <c r="T366" s="2"/>
      <c r="U366" s="2"/>
      <c r="V366" s="2"/>
      <c r="W366" s="2"/>
    </row>
    <row r="367" spans="2:23" ht="15.75" customHeight="1">
      <c r="B367" s="2"/>
      <c r="C367" s="2"/>
      <c r="E367" s="2"/>
      <c r="G367" s="2"/>
      <c r="I367" s="2"/>
      <c r="N367" s="2"/>
      <c r="P367" s="2"/>
      <c r="Q367" s="2"/>
      <c r="R367" s="2"/>
      <c r="S367" s="2"/>
      <c r="T367" s="2"/>
      <c r="U367" s="2"/>
      <c r="V367" s="2"/>
      <c r="W367" s="2"/>
    </row>
    <row r="368" spans="2:23" ht="15.75" customHeight="1">
      <c r="B368" s="2"/>
      <c r="C368" s="2"/>
      <c r="E368" s="2"/>
      <c r="G368" s="2"/>
      <c r="I368" s="2"/>
      <c r="N368" s="2"/>
      <c r="P368" s="2"/>
      <c r="Q368" s="2"/>
      <c r="R368" s="2"/>
      <c r="S368" s="2"/>
      <c r="T368" s="2"/>
      <c r="U368" s="2"/>
      <c r="V368" s="2"/>
      <c r="W368" s="2"/>
    </row>
    <row r="369" spans="2:23" ht="15.75" customHeight="1">
      <c r="B369" s="2"/>
      <c r="C369" s="2"/>
      <c r="E369" s="2"/>
      <c r="G369" s="2"/>
      <c r="I369" s="2"/>
      <c r="N369" s="2"/>
      <c r="P369" s="2"/>
      <c r="Q369" s="2"/>
      <c r="R369" s="2"/>
      <c r="S369" s="2"/>
      <c r="T369" s="2"/>
      <c r="U369" s="2"/>
      <c r="V369" s="2"/>
      <c r="W369" s="2"/>
    </row>
    <row r="370" spans="2:23" ht="15.75" customHeight="1">
      <c r="B370" s="2"/>
      <c r="C370" s="2"/>
      <c r="E370" s="2"/>
      <c r="G370" s="2"/>
      <c r="I370" s="2"/>
      <c r="N370" s="2"/>
      <c r="P370" s="2"/>
      <c r="Q370" s="2"/>
      <c r="R370" s="2"/>
      <c r="S370" s="2"/>
      <c r="T370" s="2"/>
      <c r="U370" s="2"/>
      <c r="V370" s="2"/>
      <c r="W370" s="2"/>
    </row>
    <row r="371" spans="2:23" ht="15.75" customHeight="1">
      <c r="B371" s="2"/>
      <c r="C371" s="2"/>
      <c r="E371" s="2"/>
      <c r="G371" s="2"/>
      <c r="I371" s="2"/>
      <c r="N371" s="2"/>
      <c r="P371" s="2"/>
      <c r="Q371" s="2"/>
      <c r="R371" s="2"/>
      <c r="S371" s="2"/>
      <c r="T371" s="2"/>
      <c r="U371" s="2"/>
      <c r="V371" s="2"/>
      <c r="W371" s="2"/>
    </row>
    <row r="372" spans="2:23" ht="15.75" customHeight="1">
      <c r="B372" s="2"/>
      <c r="C372" s="2"/>
      <c r="E372" s="2"/>
      <c r="G372" s="2"/>
      <c r="I372" s="2"/>
      <c r="N372" s="2"/>
      <c r="P372" s="2"/>
      <c r="Q372" s="2"/>
      <c r="R372" s="2"/>
      <c r="S372" s="2"/>
      <c r="T372" s="2"/>
      <c r="U372" s="2"/>
      <c r="V372" s="2"/>
      <c r="W372" s="2"/>
    </row>
    <row r="373" spans="2:23" ht="15.75" customHeight="1">
      <c r="B373" s="2"/>
      <c r="C373" s="2"/>
      <c r="E373" s="2"/>
      <c r="G373" s="2"/>
      <c r="I373" s="2"/>
      <c r="N373" s="2"/>
      <c r="P373" s="2"/>
      <c r="Q373" s="2"/>
      <c r="R373" s="2"/>
      <c r="S373" s="2"/>
      <c r="T373" s="2"/>
      <c r="U373" s="2"/>
      <c r="V373" s="2"/>
      <c r="W373" s="2"/>
    </row>
    <row r="374" spans="2:23" ht="15.75" customHeight="1">
      <c r="B374" s="2"/>
      <c r="C374" s="2"/>
      <c r="E374" s="2"/>
      <c r="G374" s="2"/>
      <c r="I374" s="2"/>
      <c r="N374" s="2"/>
      <c r="P374" s="2"/>
      <c r="Q374" s="2"/>
      <c r="R374" s="2"/>
      <c r="S374" s="2"/>
      <c r="T374" s="2"/>
      <c r="U374" s="2"/>
      <c r="V374" s="2"/>
      <c r="W374" s="2"/>
    </row>
    <row r="375" spans="2:23" ht="15.75" customHeight="1">
      <c r="B375" s="2"/>
      <c r="C375" s="2"/>
      <c r="E375" s="2"/>
      <c r="G375" s="2"/>
      <c r="I375" s="2"/>
      <c r="N375" s="2"/>
      <c r="P375" s="2"/>
      <c r="Q375" s="2"/>
      <c r="R375" s="2"/>
      <c r="S375" s="2"/>
      <c r="T375" s="2"/>
      <c r="U375" s="2"/>
      <c r="V375" s="2"/>
      <c r="W375" s="2"/>
    </row>
    <row r="376" spans="2:23" ht="15.75" customHeight="1">
      <c r="B376" s="2"/>
      <c r="C376" s="2"/>
      <c r="E376" s="2"/>
      <c r="G376" s="2"/>
      <c r="I376" s="2"/>
      <c r="N376" s="2"/>
      <c r="P376" s="2"/>
      <c r="Q376" s="2"/>
      <c r="R376" s="2"/>
      <c r="S376" s="2"/>
      <c r="T376" s="2"/>
      <c r="U376" s="2"/>
      <c r="V376" s="2"/>
      <c r="W376" s="2"/>
    </row>
    <row r="377" spans="2:23" ht="15.75" customHeight="1">
      <c r="B377" s="2"/>
      <c r="C377" s="2"/>
      <c r="E377" s="2"/>
      <c r="G377" s="2"/>
      <c r="I377" s="2"/>
      <c r="N377" s="2"/>
      <c r="P377" s="2"/>
      <c r="Q377" s="2"/>
      <c r="R377" s="2"/>
      <c r="S377" s="2"/>
      <c r="T377" s="2"/>
      <c r="U377" s="2"/>
      <c r="V377" s="2"/>
      <c r="W377" s="2"/>
    </row>
    <row r="378" spans="2:23" ht="15.75" customHeight="1">
      <c r="B378" s="2"/>
      <c r="C378" s="2"/>
      <c r="E378" s="2"/>
      <c r="G378" s="2"/>
      <c r="I378" s="2"/>
      <c r="N378" s="2"/>
      <c r="P378" s="2"/>
      <c r="Q378" s="2"/>
      <c r="R378" s="2"/>
      <c r="S378" s="2"/>
      <c r="T378" s="2"/>
      <c r="U378" s="2"/>
      <c r="V378" s="2"/>
      <c r="W378" s="2"/>
    </row>
    <row r="379" spans="2:23" ht="15.75" customHeight="1">
      <c r="B379" s="2"/>
      <c r="C379" s="2"/>
      <c r="E379" s="2"/>
      <c r="G379" s="2"/>
      <c r="I379" s="2"/>
      <c r="N379" s="2"/>
      <c r="P379" s="2"/>
      <c r="Q379" s="2"/>
      <c r="R379" s="2"/>
      <c r="S379" s="2"/>
      <c r="T379" s="2"/>
      <c r="U379" s="2"/>
      <c r="V379" s="2"/>
      <c r="W379" s="2"/>
    </row>
    <row r="380" spans="2:23" ht="15.75" customHeight="1">
      <c r="B380" s="2"/>
      <c r="C380" s="2"/>
      <c r="E380" s="2"/>
      <c r="G380" s="2"/>
      <c r="I380" s="2"/>
      <c r="N380" s="2"/>
      <c r="P380" s="2"/>
      <c r="Q380" s="2"/>
      <c r="R380" s="2"/>
      <c r="S380" s="2"/>
      <c r="T380" s="2"/>
      <c r="U380" s="2"/>
      <c r="V380" s="2"/>
      <c r="W380" s="2"/>
    </row>
    <row r="381" spans="2:23" ht="15.75" customHeight="1">
      <c r="B381" s="2"/>
      <c r="C381" s="2"/>
      <c r="E381" s="2"/>
      <c r="G381" s="2"/>
      <c r="I381" s="2"/>
      <c r="N381" s="2"/>
      <c r="P381" s="2"/>
      <c r="Q381" s="2"/>
      <c r="R381" s="2"/>
      <c r="S381" s="2"/>
      <c r="T381" s="2"/>
      <c r="U381" s="2"/>
      <c r="V381" s="2"/>
      <c r="W381" s="2"/>
    </row>
    <row r="382" spans="2:23" ht="15.75" customHeight="1">
      <c r="B382" s="2"/>
      <c r="C382" s="2"/>
      <c r="E382" s="2"/>
      <c r="G382" s="2"/>
      <c r="I382" s="2"/>
      <c r="N382" s="2"/>
      <c r="P382" s="2"/>
      <c r="Q382" s="2"/>
      <c r="R382" s="2"/>
      <c r="S382" s="2"/>
      <c r="T382" s="2"/>
      <c r="U382" s="2"/>
      <c r="V382" s="2"/>
      <c r="W382" s="2"/>
    </row>
    <row r="383" spans="2:23" ht="15.75" customHeight="1">
      <c r="B383" s="2"/>
      <c r="C383" s="2"/>
      <c r="E383" s="2"/>
      <c r="G383" s="2"/>
      <c r="I383" s="2"/>
      <c r="N383" s="2"/>
      <c r="P383" s="2"/>
      <c r="Q383" s="2"/>
      <c r="R383" s="2"/>
      <c r="S383" s="2"/>
      <c r="T383" s="2"/>
      <c r="U383" s="2"/>
      <c r="V383" s="2"/>
      <c r="W383" s="2"/>
    </row>
    <row r="384" spans="2:23" ht="15.75" customHeight="1">
      <c r="B384" s="2"/>
      <c r="C384" s="2"/>
      <c r="E384" s="2"/>
      <c r="G384" s="2"/>
      <c r="I384" s="2"/>
      <c r="N384" s="2"/>
      <c r="P384" s="2"/>
      <c r="Q384" s="2"/>
      <c r="R384" s="2"/>
      <c r="S384" s="2"/>
      <c r="T384" s="2"/>
      <c r="U384" s="2"/>
      <c r="V384" s="2"/>
      <c r="W384" s="2"/>
    </row>
    <row r="385" spans="2:23" ht="15.75" customHeight="1">
      <c r="B385" s="2"/>
      <c r="C385" s="2"/>
      <c r="E385" s="2"/>
      <c r="G385" s="2"/>
      <c r="I385" s="2"/>
      <c r="N385" s="2"/>
      <c r="P385" s="2"/>
      <c r="Q385" s="2"/>
      <c r="R385" s="2"/>
      <c r="S385" s="2"/>
      <c r="T385" s="2"/>
      <c r="U385" s="2"/>
      <c r="V385" s="2"/>
      <c r="W385" s="2"/>
    </row>
    <row r="386" spans="2:23" ht="15.75" customHeight="1">
      <c r="B386" s="2"/>
      <c r="C386" s="2"/>
      <c r="E386" s="2"/>
      <c r="G386" s="2"/>
      <c r="I386" s="2"/>
      <c r="N386" s="2"/>
      <c r="P386" s="2"/>
      <c r="Q386" s="2"/>
      <c r="R386" s="2"/>
      <c r="S386" s="2"/>
      <c r="T386" s="2"/>
      <c r="U386" s="2"/>
      <c r="V386" s="2"/>
      <c r="W386" s="2"/>
    </row>
    <row r="387" spans="2:23" ht="15.75" customHeight="1">
      <c r="B387" s="2"/>
      <c r="C387" s="2"/>
      <c r="E387" s="2"/>
      <c r="G387" s="2"/>
      <c r="I387" s="2"/>
      <c r="N387" s="2"/>
      <c r="P387" s="2"/>
      <c r="Q387" s="2"/>
      <c r="R387" s="2"/>
      <c r="S387" s="2"/>
      <c r="T387" s="2"/>
      <c r="U387" s="2"/>
      <c r="V387" s="2"/>
      <c r="W387" s="2"/>
    </row>
    <row r="388" spans="2:23" ht="15.75" customHeight="1">
      <c r="B388" s="2"/>
      <c r="C388" s="2"/>
      <c r="E388" s="2"/>
      <c r="G388" s="2"/>
      <c r="I388" s="2"/>
      <c r="N388" s="2"/>
      <c r="P388" s="2"/>
      <c r="Q388" s="2"/>
      <c r="R388" s="2"/>
      <c r="S388" s="2"/>
      <c r="T388" s="2"/>
      <c r="U388" s="2"/>
      <c r="V388" s="2"/>
      <c r="W388" s="2"/>
    </row>
    <row r="389" spans="2:23" ht="15.75" customHeight="1">
      <c r="B389" s="2"/>
      <c r="C389" s="2"/>
      <c r="E389" s="2"/>
      <c r="G389" s="2"/>
      <c r="I389" s="2"/>
      <c r="N389" s="2"/>
      <c r="P389" s="2"/>
      <c r="Q389" s="2"/>
      <c r="R389" s="2"/>
      <c r="S389" s="2"/>
      <c r="T389" s="2"/>
      <c r="U389" s="2"/>
      <c r="V389" s="2"/>
      <c r="W389" s="2"/>
    </row>
    <row r="390" spans="2:23" ht="15.75" customHeight="1">
      <c r="B390" s="2"/>
      <c r="C390" s="2"/>
      <c r="E390" s="2"/>
      <c r="G390" s="2"/>
      <c r="I390" s="2"/>
      <c r="N390" s="2"/>
      <c r="P390" s="2"/>
      <c r="Q390" s="2"/>
      <c r="R390" s="2"/>
      <c r="S390" s="2"/>
      <c r="T390" s="2"/>
      <c r="U390" s="2"/>
      <c r="V390" s="2"/>
      <c r="W390" s="2"/>
    </row>
    <row r="391" spans="2:23" ht="15.75" customHeight="1">
      <c r="B391" s="2"/>
      <c r="C391" s="2"/>
      <c r="E391" s="2"/>
      <c r="G391" s="2"/>
      <c r="I391" s="2"/>
      <c r="N391" s="2"/>
      <c r="P391" s="2"/>
      <c r="Q391" s="2"/>
      <c r="R391" s="2"/>
      <c r="S391" s="2"/>
      <c r="T391" s="2"/>
      <c r="U391" s="2"/>
      <c r="V391" s="2"/>
      <c r="W391" s="2"/>
    </row>
    <row r="392" spans="2:23" ht="15.75" customHeight="1">
      <c r="B392" s="2"/>
      <c r="C392" s="2"/>
      <c r="E392" s="2"/>
      <c r="G392" s="2"/>
      <c r="I392" s="2"/>
      <c r="N392" s="2"/>
      <c r="P392" s="2"/>
      <c r="Q392" s="2"/>
      <c r="R392" s="2"/>
      <c r="S392" s="2"/>
      <c r="T392" s="2"/>
      <c r="U392" s="2"/>
      <c r="V392" s="2"/>
      <c r="W392" s="2"/>
    </row>
    <row r="393" spans="2:23" ht="15.75" customHeight="1">
      <c r="B393" s="2"/>
      <c r="C393" s="2"/>
      <c r="E393" s="2"/>
      <c r="G393" s="2"/>
      <c r="I393" s="2"/>
      <c r="N393" s="2"/>
      <c r="P393" s="2"/>
      <c r="Q393" s="2"/>
      <c r="R393" s="2"/>
      <c r="S393" s="2"/>
      <c r="T393" s="2"/>
      <c r="U393" s="2"/>
      <c r="V393" s="2"/>
      <c r="W393" s="2"/>
    </row>
    <row r="394" spans="2:23" ht="15.75" customHeight="1">
      <c r="B394" s="2"/>
      <c r="C394" s="2"/>
      <c r="E394" s="2"/>
      <c r="G394" s="2"/>
      <c r="I394" s="2"/>
      <c r="N394" s="2"/>
      <c r="P394" s="2"/>
      <c r="Q394" s="2"/>
      <c r="R394" s="2"/>
      <c r="S394" s="2"/>
      <c r="T394" s="2"/>
      <c r="U394" s="2"/>
      <c r="V394" s="2"/>
      <c r="W394" s="2"/>
    </row>
    <row r="395" spans="2:23" ht="15.75" customHeight="1">
      <c r="B395" s="2"/>
      <c r="C395" s="2"/>
      <c r="E395" s="2"/>
      <c r="G395" s="2"/>
      <c r="I395" s="2"/>
      <c r="N395" s="2"/>
      <c r="P395" s="2"/>
      <c r="Q395" s="2"/>
      <c r="R395" s="2"/>
      <c r="S395" s="2"/>
      <c r="T395" s="2"/>
      <c r="U395" s="2"/>
      <c r="V395" s="2"/>
      <c r="W395" s="2"/>
    </row>
    <row r="396" spans="2:23" ht="15.75" customHeight="1">
      <c r="B396" s="2"/>
      <c r="C396" s="2"/>
      <c r="E396" s="2"/>
      <c r="G396" s="2"/>
      <c r="I396" s="2"/>
      <c r="N396" s="2"/>
      <c r="P396" s="2"/>
      <c r="Q396" s="2"/>
      <c r="R396" s="2"/>
      <c r="S396" s="2"/>
      <c r="T396" s="2"/>
      <c r="U396" s="2"/>
      <c r="V396" s="2"/>
      <c r="W396" s="2"/>
    </row>
    <row r="397" spans="2:23" ht="15.75" customHeight="1">
      <c r="B397" s="2"/>
      <c r="C397" s="2"/>
      <c r="E397" s="2"/>
      <c r="G397" s="2"/>
      <c r="I397" s="2"/>
      <c r="N397" s="2"/>
      <c r="P397" s="2"/>
      <c r="Q397" s="2"/>
      <c r="R397" s="2"/>
      <c r="S397" s="2"/>
      <c r="T397" s="2"/>
      <c r="U397" s="2"/>
      <c r="V397" s="2"/>
      <c r="W397" s="2"/>
    </row>
    <row r="398" spans="2:23" ht="15.75" customHeight="1">
      <c r="B398" s="2"/>
      <c r="C398" s="2"/>
      <c r="E398" s="2"/>
      <c r="G398" s="2"/>
      <c r="I398" s="2"/>
      <c r="N398" s="2"/>
      <c r="P398" s="2"/>
      <c r="Q398" s="2"/>
      <c r="R398" s="2"/>
      <c r="S398" s="2"/>
      <c r="T398" s="2"/>
      <c r="U398" s="2"/>
      <c r="V398" s="2"/>
      <c r="W398" s="2"/>
    </row>
    <row r="399" spans="2:23" ht="15.75" customHeight="1">
      <c r="B399" s="2"/>
      <c r="C399" s="2"/>
      <c r="E399" s="2"/>
      <c r="G399" s="2"/>
      <c r="I399" s="2"/>
      <c r="N399" s="2"/>
      <c r="P399" s="2"/>
      <c r="Q399" s="2"/>
      <c r="R399" s="2"/>
      <c r="S399" s="2"/>
      <c r="T399" s="2"/>
      <c r="U399" s="2"/>
      <c r="V399" s="2"/>
      <c r="W399" s="2"/>
    </row>
    <row r="400" spans="2:23" ht="15.75" customHeight="1">
      <c r="B400" s="2"/>
      <c r="C400" s="2"/>
      <c r="E400" s="2"/>
      <c r="G400" s="2"/>
      <c r="I400" s="2"/>
      <c r="N400" s="2"/>
      <c r="P400" s="2"/>
      <c r="Q400" s="2"/>
      <c r="R400" s="2"/>
      <c r="S400" s="2"/>
      <c r="T400" s="2"/>
      <c r="U400" s="2"/>
      <c r="V400" s="2"/>
      <c r="W400" s="2"/>
    </row>
    <row r="401" spans="2:23" ht="15.75" customHeight="1">
      <c r="B401" s="2"/>
      <c r="C401" s="2"/>
      <c r="E401" s="2"/>
      <c r="G401" s="2"/>
      <c r="I401" s="2"/>
      <c r="N401" s="2"/>
      <c r="P401" s="2"/>
      <c r="Q401" s="2"/>
      <c r="R401" s="2"/>
      <c r="S401" s="2"/>
      <c r="T401" s="2"/>
      <c r="U401" s="2"/>
      <c r="V401" s="2"/>
      <c r="W401" s="2"/>
    </row>
    <row r="402" spans="2:23" ht="15.75" customHeight="1">
      <c r="B402" s="2"/>
      <c r="C402" s="2"/>
      <c r="E402" s="2"/>
      <c r="G402" s="2"/>
      <c r="I402" s="2"/>
      <c r="N402" s="2"/>
      <c r="P402" s="2"/>
      <c r="Q402" s="2"/>
      <c r="R402" s="2"/>
      <c r="S402" s="2"/>
      <c r="T402" s="2"/>
      <c r="U402" s="2"/>
      <c r="V402" s="2"/>
      <c r="W402" s="2"/>
    </row>
    <row r="403" spans="2:23" ht="15.75" customHeight="1">
      <c r="B403" s="2"/>
      <c r="C403" s="2"/>
      <c r="E403" s="2"/>
      <c r="G403" s="2"/>
      <c r="I403" s="2"/>
      <c r="N403" s="2"/>
      <c r="P403" s="2"/>
      <c r="Q403" s="2"/>
      <c r="R403" s="2"/>
      <c r="S403" s="2"/>
      <c r="T403" s="2"/>
      <c r="U403" s="2"/>
      <c r="V403" s="2"/>
      <c r="W403" s="2"/>
    </row>
    <row r="404" spans="2:23" ht="15.75" customHeight="1">
      <c r="B404" s="2"/>
      <c r="C404" s="2"/>
      <c r="E404" s="2"/>
      <c r="G404" s="2"/>
      <c r="I404" s="2"/>
      <c r="N404" s="2"/>
      <c r="P404" s="2"/>
      <c r="Q404" s="2"/>
      <c r="R404" s="2"/>
      <c r="S404" s="2"/>
      <c r="T404" s="2"/>
      <c r="U404" s="2"/>
      <c r="V404" s="2"/>
      <c r="W404" s="2"/>
    </row>
    <row r="405" spans="2:23" ht="15.75" customHeight="1">
      <c r="B405" s="2"/>
      <c r="C405" s="2"/>
      <c r="E405" s="2"/>
      <c r="G405" s="2"/>
      <c r="I405" s="2"/>
      <c r="N405" s="2"/>
      <c r="P405" s="2"/>
      <c r="Q405" s="2"/>
      <c r="R405" s="2"/>
      <c r="S405" s="2"/>
      <c r="T405" s="2"/>
      <c r="U405" s="2"/>
      <c r="V405" s="2"/>
      <c r="W405" s="2"/>
    </row>
    <row r="406" spans="2:23" ht="15.75" customHeight="1">
      <c r="B406" s="2"/>
      <c r="C406" s="2"/>
      <c r="E406" s="2"/>
      <c r="G406" s="2"/>
      <c r="I406" s="2"/>
      <c r="N406" s="2"/>
      <c r="P406" s="2"/>
      <c r="Q406" s="2"/>
      <c r="R406" s="2"/>
      <c r="S406" s="2"/>
      <c r="T406" s="2"/>
      <c r="U406" s="2"/>
      <c r="V406" s="2"/>
      <c r="W406" s="2"/>
    </row>
    <row r="407" spans="2:23" ht="15.75" customHeight="1">
      <c r="B407" s="2"/>
      <c r="C407" s="2"/>
      <c r="E407" s="2"/>
      <c r="G407" s="2"/>
      <c r="I407" s="2"/>
      <c r="N407" s="2"/>
      <c r="P407" s="2"/>
      <c r="Q407" s="2"/>
      <c r="R407" s="2"/>
      <c r="S407" s="2"/>
      <c r="T407" s="2"/>
      <c r="U407" s="2"/>
      <c r="V407" s="2"/>
      <c r="W407" s="2"/>
    </row>
    <row r="408" spans="2:23" ht="15.75" customHeight="1">
      <c r="B408" s="2"/>
      <c r="C408" s="2"/>
      <c r="E408" s="2"/>
      <c r="G408" s="2"/>
      <c r="I408" s="2"/>
      <c r="N408" s="2"/>
      <c r="P408" s="2"/>
      <c r="Q408" s="2"/>
      <c r="R408" s="2"/>
      <c r="S408" s="2"/>
      <c r="T408" s="2"/>
      <c r="U408" s="2"/>
      <c r="V408" s="2"/>
      <c r="W408" s="2"/>
    </row>
    <row r="409" spans="2:23" ht="15.75" customHeight="1">
      <c r="B409" s="2"/>
      <c r="C409" s="2"/>
      <c r="E409" s="2"/>
      <c r="G409" s="2"/>
      <c r="I409" s="2"/>
      <c r="N409" s="2"/>
      <c r="P409" s="2"/>
      <c r="Q409" s="2"/>
      <c r="R409" s="2"/>
      <c r="S409" s="2"/>
      <c r="T409" s="2"/>
      <c r="U409" s="2"/>
      <c r="V409" s="2"/>
      <c r="W409" s="2"/>
    </row>
    <row r="410" spans="2:23" ht="15.75" customHeight="1">
      <c r="B410" s="2"/>
      <c r="C410" s="2"/>
      <c r="E410" s="2"/>
      <c r="G410" s="2"/>
      <c r="I410" s="2"/>
      <c r="N410" s="2"/>
      <c r="P410" s="2"/>
      <c r="Q410" s="2"/>
      <c r="R410" s="2"/>
      <c r="S410" s="2"/>
      <c r="T410" s="2"/>
      <c r="U410" s="2"/>
      <c r="V410" s="2"/>
      <c r="W410" s="2"/>
    </row>
    <row r="411" spans="2:23" ht="15.75" customHeight="1">
      <c r="B411" s="2"/>
      <c r="C411" s="2"/>
      <c r="E411" s="2"/>
      <c r="G411" s="2"/>
      <c r="I411" s="2"/>
      <c r="N411" s="2"/>
      <c r="P411" s="2"/>
      <c r="Q411" s="2"/>
      <c r="R411" s="2"/>
      <c r="S411" s="2"/>
      <c r="T411" s="2"/>
      <c r="U411" s="2"/>
      <c r="V411" s="2"/>
      <c r="W411" s="2"/>
    </row>
    <row r="412" spans="2:23" ht="15.75" customHeight="1">
      <c r="B412" s="2"/>
      <c r="C412" s="2"/>
      <c r="E412" s="2"/>
      <c r="G412" s="2"/>
      <c r="I412" s="2"/>
      <c r="N412" s="2"/>
      <c r="P412" s="2"/>
      <c r="Q412" s="2"/>
      <c r="R412" s="2"/>
      <c r="S412" s="2"/>
      <c r="T412" s="2"/>
      <c r="U412" s="2"/>
      <c r="V412" s="2"/>
      <c r="W412" s="2"/>
    </row>
    <row r="413" spans="2:23" ht="15.75" customHeight="1">
      <c r="B413" s="2"/>
      <c r="C413" s="2"/>
      <c r="E413" s="2"/>
      <c r="G413" s="2"/>
      <c r="I413" s="2"/>
      <c r="N413" s="2"/>
      <c r="P413" s="2"/>
      <c r="Q413" s="2"/>
      <c r="R413" s="2"/>
      <c r="S413" s="2"/>
      <c r="T413" s="2"/>
      <c r="U413" s="2"/>
      <c r="V413" s="2"/>
      <c r="W413" s="2"/>
    </row>
    <row r="414" spans="2:23" ht="15.75" customHeight="1">
      <c r="B414" s="2"/>
      <c r="C414" s="2"/>
      <c r="E414" s="2"/>
      <c r="G414" s="2"/>
      <c r="I414" s="2"/>
      <c r="N414" s="2"/>
      <c r="P414" s="2"/>
      <c r="Q414" s="2"/>
      <c r="R414" s="2"/>
      <c r="S414" s="2"/>
      <c r="T414" s="2"/>
      <c r="U414" s="2"/>
      <c r="V414" s="2"/>
      <c r="W414" s="2"/>
    </row>
    <row r="415" spans="2:23" ht="15.75" customHeight="1">
      <c r="B415" s="2"/>
      <c r="C415" s="2"/>
      <c r="E415" s="2"/>
      <c r="G415" s="2"/>
      <c r="I415" s="2"/>
      <c r="N415" s="2"/>
      <c r="P415" s="2"/>
      <c r="Q415" s="2"/>
      <c r="R415" s="2"/>
      <c r="S415" s="2"/>
      <c r="T415" s="2"/>
      <c r="U415" s="2"/>
      <c r="V415" s="2"/>
      <c r="W415" s="2"/>
    </row>
    <row r="416" spans="2:23" ht="15.75" customHeight="1">
      <c r="B416" s="2"/>
      <c r="C416" s="2"/>
      <c r="E416" s="2"/>
      <c r="G416" s="2"/>
      <c r="I416" s="2"/>
      <c r="N416" s="2"/>
      <c r="P416" s="2"/>
      <c r="Q416" s="2"/>
      <c r="R416" s="2"/>
      <c r="S416" s="2"/>
      <c r="T416" s="2"/>
      <c r="U416" s="2"/>
      <c r="V416" s="2"/>
      <c r="W416" s="2"/>
    </row>
    <row r="417" spans="2:23" ht="15.75" customHeight="1">
      <c r="B417" s="2"/>
      <c r="C417" s="2"/>
      <c r="E417" s="2"/>
      <c r="G417" s="2"/>
      <c r="I417" s="2"/>
      <c r="N417" s="2"/>
      <c r="P417" s="2"/>
      <c r="Q417" s="2"/>
      <c r="R417" s="2"/>
      <c r="S417" s="2"/>
      <c r="T417" s="2"/>
      <c r="U417" s="2"/>
      <c r="V417" s="2"/>
      <c r="W417" s="2"/>
    </row>
    <row r="418" spans="2:23" ht="15.75" customHeight="1">
      <c r="B418" s="2"/>
      <c r="C418" s="2"/>
      <c r="E418" s="2"/>
      <c r="G418" s="2"/>
      <c r="I418" s="2"/>
      <c r="N418" s="2"/>
      <c r="P418" s="2"/>
      <c r="Q418" s="2"/>
      <c r="R418" s="2"/>
      <c r="S418" s="2"/>
      <c r="T418" s="2"/>
      <c r="U418" s="2"/>
      <c r="V418" s="2"/>
      <c r="W418" s="2"/>
    </row>
    <row r="419" spans="2:23" ht="15.75" customHeight="1">
      <c r="B419" s="2"/>
      <c r="C419" s="2"/>
      <c r="E419" s="2"/>
      <c r="G419" s="2"/>
      <c r="I419" s="2"/>
      <c r="N419" s="2"/>
      <c r="P419" s="2"/>
      <c r="Q419" s="2"/>
      <c r="R419" s="2"/>
      <c r="S419" s="2"/>
      <c r="T419" s="2"/>
      <c r="U419" s="2"/>
      <c r="V419" s="2"/>
      <c r="W419" s="2"/>
    </row>
    <row r="420" spans="2:23" ht="15.75" customHeight="1">
      <c r="B420" s="2"/>
      <c r="C420" s="2"/>
      <c r="E420" s="2"/>
      <c r="G420" s="2"/>
      <c r="I420" s="2"/>
      <c r="N420" s="2"/>
      <c r="P420" s="2"/>
      <c r="Q420" s="2"/>
      <c r="R420" s="2"/>
      <c r="S420" s="2"/>
      <c r="T420" s="2"/>
      <c r="U420" s="2"/>
      <c r="V420" s="2"/>
      <c r="W420" s="2"/>
    </row>
    <row r="421" spans="2:23" ht="15.75" customHeight="1">
      <c r="B421" s="2"/>
      <c r="C421" s="2"/>
      <c r="E421" s="2"/>
      <c r="G421" s="2"/>
      <c r="I421" s="2"/>
      <c r="N421" s="2"/>
      <c r="P421" s="2"/>
      <c r="Q421" s="2"/>
      <c r="R421" s="2"/>
      <c r="S421" s="2"/>
      <c r="T421" s="2"/>
      <c r="U421" s="2"/>
      <c r="V421" s="2"/>
      <c r="W421" s="2"/>
    </row>
    <row r="422" spans="2:23" ht="15.75" customHeight="1">
      <c r="B422" s="2"/>
      <c r="C422" s="2"/>
      <c r="E422" s="2"/>
      <c r="G422" s="2"/>
      <c r="I422" s="2"/>
      <c r="N422" s="2"/>
      <c r="P422" s="2"/>
      <c r="Q422" s="2"/>
      <c r="R422" s="2"/>
      <c r="S422" s="2"/>
      <c r="T422" s="2"/>
      <c r="U422" s="2"/>
      <c r="V422" s="2"/>
      <c r="W422" s="2"/>
    </row>
    <row r="423" spans="2:23" ht="15.75" customHeight="1">
      <c r="B423" s="2"/>
      <c r="C423" s="2"/>
      <c r="E423" s="2"/>
      <c r="G423" s="2"/>
      <c r="I423" s="2"/>
      <c r="N423" s="2"/>
      <c r="P423" s="2"/>
      <c r="Q423" s="2"/>
      <c r="R423" s="2"/>
      <c r="S423" s="2"/>
      <c r="T423" s="2"/>
      <c r="U423" s="2"/>
      <c r="V423" s="2"/>
      <c r="W423" s="2"/>
    </row>
    <row r="424" spans="2:23" ht="15.75" customHeight="1">
      <c r="B424" s="2"/>
      <c r="C424" s="2"/>
      <c r="E424" s="2"/>
      <c r="G424" s="2"/>
      <c r="I424" s="2"/>
      <c r="N424" s="2"/>
      <c r="P424" s="2"/>
      <c r="Q424" s="2"/>
      <c r="R424" s="2"/>
      <c r="S424" s="2"/>
      <c r="T424" s="2"/>
      <c r="U424" s="2"/>
      <c r="V424" s="2"/>
      <c r="W424" s="2"/>
    </row>
    <row r="425" spans="2:23" ht="15.75" customHeight="1">
      <c r="B425" s="2"/>
      <c r="C425" s="2"/>
      <c r="E425" s="2"/>
      <c r="G425" s="2"/>
      <c r="I425" s="2"/>
      <c r="N425" s="2"/>
      <c r="P425" s="2"/>
      <c r="Q425" s="2"/>
      <c r="R425" s="2"/>
      <c r="S425" s="2"/>
      <c r="T425" s="2"/>
      <c r="U425" s="2"/>
      <c r="V425" s="2"/>
      <c r="W425" s="2"/>
    </row>
    <row r="426" spans="2:23" ht="15.75" customHeight="1">
      <c r="B426" s="2"/>
      <c r="C426" s="2"/>
      <c r="E426" s="2"/>
      <c r="G426" s="2"/>
      <c r="I426" s="2"/>
      <c r="N426" s="2"/>
      <c r="P426" s="2"/>
      <c r="Q426" s="2"/>
      <c r="R426" s="2"/>
      <c r="S426" s="2"/>
      <c r="T426" s="2"/>
      <c r="U426" s="2"/>
      <c r="V426" s="2"/>
      <c r="W426" s="2"/>
    </row>
    <row r="427" spans="2:23" ht="15.75" customHeight="1">
      <c r="B427" s="2"/>
      <c r="C427" s="2"/>
      <c r="E427" s="2"/>
      <c r="G427" s="2"/>
      <c r="I427" s="2"/>
      <c r="N427" s="2"/>
      <c r="P427" s="2"/>
      <c r="Q427" s="2"/>
      <c r="R427" s="2"/>
      <c r="S427" s="2"/>
      <c r="T427" s="2"/>
      <c r="U427" s="2"/>
      <c r="V427" s="2"/>
      <c r="W427" s="2"/>
    </row>
    <row r="428" spans="2:23" ht="15.75" customHeight="1">
      <c r="B428" s="2"/>
      <c r="C428" s="2"/>
      <c r="E428" s="2"/>
      <c r="G428" s="2"/>
      <c r="I428" s="2"/>
      <c r="N428" s="2"/>
      <c r="P428" s="2"/>
      <c r="Q428" s="2"/>
      <c r="R428" s="2"/>
      <c r="S428" s="2"/>
      <c r="T428" s="2"/>
      <c r="U428" s="2"/>
      <c r="V428" s="2"/>
      <c r="W428" s="2"/>
    </row>
    <row r="429" spans="2:23" ht="15.75" customHeight="1">
      <c r="B429" s="2"/>
      <c r="C429" s="2"/>
      <c r="E429" s="2"/>
      <c r="G429" s="2"/>
      <c r="I429" s="2"/>
      <c r="N429" s="2"/>
      <c r="P429" s="2"/>
      <c r="Q429" s="2"/>
      <c r="R429" s="2"/>
      <c r="S429" s="2"/>
      <c r="T429" s="2"/>
      <c r="U429" s="2"/>
      <c r="V429" s="2"/>
      <c r="W429" s="2"/>
    </row>
    <row r="430" spans="2:23" ht="15.75" customHeight="1">
      <c r="B430" s="2"/>
      <c r="C430" s="2"/>
      <c r="E430" s="2"/>
      <c r="G430" s="2"/>
      <c r="I430" s="2"/>
      <c r="N430" s="2"/>
      <c r="P430" s="2"/>
      <c r="Q430" s="2"/>
      <c r="R430" s="2"/>
      <c r="S430" s="2"/>
      <c r="T430" s="2"/>
      <c r="U430" s="2"/>
      <c r="V430" s="2"/>
      <c r="W430" s="2"/>
    </row>
    <row r="431" spans="2:23" ht="15.75" customHeight="1">
      <c r="B431" s="2"/>
      <c r="C431" s="2"/>
      <c r="E431" s="2"/>
      <c r="G431" s="2"/>
      <c r="I431" s="2"/>
      <c r="N431" s="2"/>
      <c r="P431" s="2"/>
      <c r="Q431" s="2"/>
      <c r="R431" s="2"/>
      <c r="S431" s="2"/>
      <c r="T431" s="2"/>
      <c r="U431" s="2"/>
      <c r="V431" s="2"/>
      <c r="W431" s="2"/>
    </row>
    <row r="432" spans="2:23" ht="15.75" customHeight="1">
      <c r="B432" s="2"/>
      <c r="C432" s="2"/>
      <c r="E432" s="2"/>
      <c r="G432" s="2"/>
      <c r="I432" s="2"/>
      <c r="N432" s="2"/>
      <c r="P432" s="2"/>
      <c r="Q432" s="2"/>
      <c r="R432" s="2"/>
      <c r="S432" s="2"/>
      <c r="T432" s="2"/>
      <c r="U432" s="2"/>
      <c r="V432" s="2"/>
      <c r="W432" s="2"/>
    </row>
    <row r="433" spans="2:23" ht="15.75" customHeight="1">
      <c r="B433" s="2"/>
      <c r="C433" s="2"/>
      <c r="E433" s="2"/>
      <c r="G433" s="2"/>
      <c r="I433" s="2"/>
      <c r="N433" s="2"/>
      <c r="P433" s="2"/>
      <c r="Q433" s="2"/>
      <c r="R433" s="2"/>
      <c r="S433" s="2"/>
      <c r="T433" s="2"/>
      <c r="U433" s="2"/>
      <c r="V433" s="2"/>
      <c r="W433" s="2"/>
    </row>
    <row r="434" spans="2:23" ht="15.75" customHeight="1">
      <c r="B434" s="2"/>
      <c r="C434" s="2"/>
      <c r="E434" s="2"/>
      <c r="G434" s="2"/>
      <c r="I434" s="2"/>
      <c r="N434" s="2"/>
      <c r="P434" s="2"/>
      <c r="Q434" s="2"/>
      <c r="R434" s="2"/>
      <c r="S434" s="2"/>
      <c r="T434" s="2"/>
      <c r="U434" s="2"/>
      <c r="V434" s="2"/>
      <c r="W434" s="2"/>
    </row>
    <row r="435" spans="2:23" ht="15.75" customHeight="1">
      <c r="B435" s="2"/>
      <c r="C435" s="2"/>
      <c r="E435" s="2"/>
      <c r="G435" s="2"/>
      <c r="I435" s="2"/>
      <c r="N435" s="2"/>
      <c r="P435" s="2"/>
      <c r="Q435" s="2"/>
      <c r="R435" s="2"/>
      <c r="S435" s="2"/>
      <c r="T435" s="2"/>
      <c r="U435" s="2"/>
      <c r="V435" s="2"/>
      <c r="W435" s="2"/>
    </row>
    <row r="436" spans="2:23" ht="15.75" customHeight="1">
      <c r="B436" s="2"/>
      <c r="C436" s="2"/>
      <c r="E436" s="2"/>
      <c r="G436" s="2"/>
      <c r="I436" s="2"/>
      <c r="N436" s="2"/>
      <c r="P436" s="2"/>
      <c r="Q436" s="2"/>
      <c r="R436" s="2"/>
      <c r="S436" s="2"/>
      <c r="T436" s="2"/>
      <c r="U436" s="2"/>
      <c r="V436" s="2"/>
      <c r="W436" s="2"/>
    </row>
    <row r="437" spans="2:23" ht="15.75" customHeight="1">
      <c r="B437" s="2"/>
      <c r="C437" s="2"/>
      <c r="E437" s="2"/>
      <c r="G437" s="2"/>
      <c r="I437" s="2"/>
      <c r="N437" s="2"/>
      <c r="P437" s="2"/>
      <c r="Q437" s="2"/>
      <c r="R437" s="2"/>
      <c r="S437" s="2"/>
      <c r="T437" s="2"/>
      <c r="U437" s="2"/>
      <c r="V437" s="2"/>
      <c r="W437" s="2"/>
    </row>
    <row r="438" spans="2:23" ht="15.75" customHeight="1">
      <c r="B438" s="2"/>
      <c r="C438" s="2"/>
      <c r="E438" s="2"/>
      <c r="G438" s="2"/>
      <c r="I438" s="2"/>
      <c r="N438" s="2"/>
      <c r="P438" s="2"/>
      <c r="Q438" s="2"/>
      <c r="R438" s="2"/>
      <c r="S438" s="2"/>
      <c r="T438" s="2"/>
      <c r="U438" s="2"/>
      <c r="V438" s="2"/>
      <c r="W438" s="2"/>
    </row>
    <row r="439" spans="2:23" ht="15.75" customHeight="1">
      <c r="B439" s="2"/>
      <c r="C439" s="2"/>
      <c r="E439" s="2"/>
      <c r="G439" s="2"/>
      <c r="I439" s="2"/>
      <c r="N439" s="2"/>
      <c r="P439" s="2"/>
      <c r="Q439" s="2"/>
      <c r="R439" s="2"/>
      <c r="S439" s="2"/>
      <c r="T439" s="2"/>
      <c r="U439" s="2"/>
      <c r="V439" s="2"/>
      <c r="W439" s="2"/>
    </row>
    <row r="440" spans="2:23" ht="15.75" customHeight="1">
      <c r="B440" s="2"/>
      <c r="C440" s="2"/>
      <c r="E440" s="2"/>
      <c r="G440" s="2"/>
      <c r="I440" s="2"/>
      <c r="N440" s="2"/>
      <c r="P440" s="2"/>
      <c r="Q440" s="2"/>
      <c r="R440" s="2"/>
      <c r="S440" s="2"/>
      <c r="T440" s="2"/>
      <c r="U440" s="2"/>
      <c r="V440" s="2"/>
      <c r="W440" s="2"/>
    </row>
    <row r="441" spans="2:23" ht="15.75" customHeight="1">
      <c r="B441" s="2"/>
      <c r="C441" s="2"/>
      <c r="E441" s="2"/>
      <c r="G441" s="2"/>
      <c r="I441" s="2"/>
      <c r="N441" s="2"/>
      <c r="P441" s="2"/>
      <c r="Q441" s="2"/>
      <c r="R441" s="2"/>
      <c r="S441" s="2"/>
      <c r="T441" s="2"/>
      <c r="U441" s="2"/>
      <c r="V441" s="2"/>
      <c r="W441" s="2"/>
    </row>
    <row r="442" spans="2:23" ht="15.75" customHeight="1">
      <c r="B442" s="2"/>
      <c r="C442" s="2"/>
      <c r="E442" s="2"/>
      <c r="G442" s="2"/>
      <c r="I442" s="2"/>
      <c r="N442" s="2"/>
      <c r="P442" s="2"/>
      <c r="Q442" s="2"/>
      <c r="R442" s="2"/>
      <c r="S442" s="2"/>
      <c r="T442" s="2"/>
      <c r="U442" s="2"/>
      <c r="V442" s="2"/>
      <c r="W442" s="2"/>
    </row>
    <row r="443" spans="2:23" ht="15.75" customHeight="1">
      <c r="B443" s="2"/>
      <c r="C443" s="2"/>
      <c r="E443" s="2"/>
      <c r="G443" s="2"/>
      <c r="I443" s="2"/>
      <c r="N443" s="2"/>
      <c r="P443" s="2"/>
      <c r="Q443" s="2"/>
      <c r="R443" s="2"/>
      <c r="S443" s="2"/>
      <c r="T443" s="2"/>
      <c r="U443" s="2"/>
      <c r="V443" s="2"/>
      <c r="W443" s="2"/>
    </row>
    <row r="444" spans="2:23" ht="15.75" customHeight="1">
      <c r="B444" s="2"/>
      <c r="C444" s="2"/>
      <c r="E444" s="2"/>
      <c r="G444" s="2"/>
      <c r="I444" s="2"/>
      <c r="N444" s="2"/>
      <c r="P444" s="2"/>
      <c r="Q444" s="2"/>
      <c r="R444" s="2"/>
      <c r="S444" s="2"/>
      <c r="T444" s="2"/>
      <c r="U444" s="2"/>
      <c r="V444" s="2"/>
      <c r="W444" s="2"/>
    </row>
    <row r="445" spans="2:23" ht="15.75" customHeight="1">
      <c r="B445" s="2"/>
      <c r="C445" s="2"/>
      <c r="E445" s="2"/>
      <c r="G445" s="2"/>
      <c r="I445" s="2"/>
      <c r="N445" s="2"/>
      <c r="P445" s="2"/>
      <c r="Q445" s="2"/>
      <c r="R445" s="2"/>
      <c r="S445" s="2"/>
      <c r="T445" s="2"/>
      <c r="U445" s="2"/>
      <c r="V445" s="2"/>
      <c r="W445" s="2"/>
    </row>
    <row r="446" spans="2:23" ht="15.75" customHeight="1">
      <c r="B446" s="2"/>
      <c r="C446" s="2"/>
      <c r="E446" s="2"/>
      <c r="G446" s="2"/>
      <c r="I446" s="2"/>
      <c r="N446" s="2"/>
      <c r="P446" s="2"/>
      <c r="Q446" s="2"/>
      <c r="R446" s="2"/>
      <c r="S446" s="2"/>
      <c r="T446" s="2"/>
      <c r="U446" s="2"/>
      <c r="V446" s="2"/>
      <c r="W446" s="2"/>
    </row>
    <row r="447" spans="2:23" ht="15.75" customHeight="1">
      <c r="B447" s="2"/>
      <c r="C447" s="2"/>
      <c r="E447" s="2"/>
      <c r="G447" s="2"/>
      <c r="I447" s="2"/>
      <c r="N447" s="2"/>
      <c r="P447" s="2"/>
      <c r="Q447" s="2"/>
      <c r="R447" s="2"/>
      <c r="S447" s="2"/>
      <c r="T447" s="2"/>
      <c r="U447" s="2"/>
      <c r="V447" s="2"/>
      <c r="W447" s="2"/>
    </row>
    <row r="448" spans="2:23" ht="15.75" customHeight="1">
      <c r="B448" s="2"/>
      <c r="C448" s="2"/>
      <c r="E448" s="2"/>
      <c r="G448" s="2"/>
      <c r="I448" s="2"/>
      <c r="N448" s="2"/>
      <c r="P448" s="2"/>
      <c r="Q448" s="2"/>
      <c r="R448" s="2"/>
      <c r="S448" s="2"/>
      <c r="T448" s="2"/>
      <c r="U448" s="2"/>
      <c r="V448" s="2"/>
      <c r="W448" s="2"/>
    </row>
    <row r="449" spans="2:23" ht="15.75" customHeight="1">
      <c r="B449" s="2"/>
      <c r="C449" s="2"/>
      <c r="E449" s="2"/>
      <c r="G449" s="2"/>
      <c r="I449" s="2"/>
      <c r="N449" s="2"/>
      <c r="P449" s="2"/>
      <c r="Q449" s="2"/>
      <c r="R449" s="2"/>
      <c r="S449" s="2"/>
      <c r="T449" s="2"/>
      <c r="U449" s="2"/>
      <c r="V449" s="2"/>
      <c r="W449" s="2"/>
    </row>
    <row r="450" spans="2:23" ht="15.75" customHeight="1">
      <c r="B450" s="2"/>
      <c r="C450" s="2"/>
      <c r="E450" s="2"/>
      <c r="G450" s="2"/>
      <c r="I450" s="2"/>
      <c r="N450" s="2"/>
      <c r="P450" s="2"/>
      <c r="Q450" s="2"/>
      <c r="R450" s="2"/>
      <c r="S450" s="2"/>
      <c r="T450" s="2"/>
      <c r="U450" s="2"/>
      <c r="V450" s="2"/>
      <c r="W450" s="2"/>
    </row>
    <row r="451" spans="2:23" ht="15.75" customHeight="1">
      <c r="B451" s="2"/>
      <c r="C451" s="2"/>
      <c r="E451" s="2"/>
      <c r="G451" s="2"/>
      <c r="I451" s="2"/>
      <c r="N451" s="2"/>
      <c r="P451" s="2"/>
      <c r="Q451" s="2"/>
      <c r="R451" s="2"/>
      <c r="S451" s="2"/>
      <c r="T451" s="2"/>
      <c r="U451" s="2"/>
      <c r="V451" s="2"/>
      <c r="W451" s="2"/>
    </row>
    <row r="452" spans="2:23" ht="15.75" customHeight="1">
      <c r="B452" s="2"/>
      <c r="C452" s="2"/>
      <c r="E452" s="2"/>
      <c r="G452" s="2"/>
      <c r="I452" s="2"/>
      <c r="N452" s="2"/>
      <c r="P452" s="2"/>
      <c r="Q452" s="2"/>
      <c r="R452" s="2"/>
      <c r="S452" s="2"/>
      <c r="T452" s="2"/>
      <c r="U452" s="2"/>
      <c r="V452" s="2"/>
      <c r="W452" s="2"/>
    </row>
    <row r="453" spans="2:23" ht="15.75" customHeight="1">
      <c r="B453" s="2"/>
      <c r="C453" s="2"/>
      <c r="E453" s="2"/>
      <c r="G453" s="2"/>
      <c r="I453" s="2"/>
      <c r="N453" s="2"/>
      <c r="P453" s="2"/>
      <c r="Q453" s="2"/>
      <c r="R453" s="2"/>
      <c r="S453" s="2"/>
      <c r="T453" s="2"/>
      <c r="U453" s="2"/>
      <c r="V453" s="2"/>
      <c r="W453" s="2"/>
    </row>
    <row r="454" spans="2:23" ht="15.75" customHeight="1">
      <c r="B454" s="2"/>
      <c r="C454" s="2"/>
      <c r="E454" s="2"/>
      <c r="G454" s="2"/>
      <c r="I454" s="2"/>
      <c r="N454" s="2"/>
      <c r="P454" s="2"/>
      <c r="Q454" s="2"/>
      <c r="R454" s="2"/>
      <c r="S454" s="2"/>
      <c r="T454" s="2"/>
      <c r="U454" s="2"/>
      <c r="V454" s="2"/>
      <c r="W454" s="2"/>
    </row>
    <row r="455" spans="2:23" ht="15.75" customHeight="1">
      <c r="B455" s="2"/>
      <c r="C455" s="2"/>
      <c r="E455" s="2"/>
      <c r="G455" s="2"/>
      <c r="I455" s="2"/>
      <c r="N455" s="2"/>
      <c r="P455" s="2"/>
      <c r="Q455" s="2"/>
      <c r="R455" s="2"/>
      <c r="S455" s="2"/>
      <c r="T455" s="2"/>
      <c r="U455" s="2"/>
      <c r="V455" s="2"/>
      <c r="W455" s="2"/>
    </row>
    <row r="456" spans="2:23" ht="15.75" customHeight="1">
      <c r="B456" s="2"/>
      <c r="C456" s="2"/>
      <c r="E456" s="2"/>
      <c r="G456" s="2"/>
      <c r="I456" s="2"/>
      <c r="N456" s="2"/>
      <c r="P456" s="2"/>
      <c r="Q456" s="2"/>
      <c r="R456" s="2"/>
      <c r="S456" s="2"/>
      <c r="T456" s="2"/>
      <c r="U456" s="2"/>
      <c r="V456" s="2"/>
      <c r="W456" s="2"/>
    </row>
    <row r="457" spans="2:23" ht="15.75" customHeight="1">
      <c r="B457" s="2"/>
      <c r="C457" s="2"/>
      <c r="E457" s="2"/>
      <c r="G457" s="2"/>
      <c r="I457" s="2"/>
      <c r="N457" s="2"/>
      <c r="P457" s="2"/>
      <c r="Q457" s="2"/>
      <c r="R457" s="2"/>
      <c r="S457" s="2"/>
      <c r="T457" s="2"/>
      <c r="U457" s="2"/>
      <c r="V457" s="2"/>
      <c r="W457" s="2"/>
    </row>
    <row r="458" spans="2:23" ht="15.75" customHeight="1">
      <c r="B458" s="2"/>
      <c r="C458" s="2"/>
      <c r="E458" s="2"/>
      <c r="G458" s="2"/>
      <c r="I458" s="2"/>
      <c r="N458" s="2"/>
      <c r="P458" s="2"/>
      <c r="Q458" s="2"/>
      <c r="R458" s="2"/>
      <c r="S458" s="2"/>
      <c r="T458" s="2"/>
      <c r="U458" s="2"/>
      <c r="V458" s="2"/>
      <c r="W458" s="2"/>
    </row>
    <row r="459" spans="2:23" ht="15.75" customHeight="1">
      <c r="B459" s="2"/>
      <c r="C459" s="2"/>
      <c r="E459" s="2"/>
      <c r="G459" s="2"/>
      <c r="I459" s="2"/>
      <c r="N459" s="2"/>
      <c r="P459" s="2"/>
      <c r="Q459" s="2"/>
      <c r="R459" s="2"/>
      <c r="S459" s="2"/>
      <c r="T459" s="2"/>
      <c r="U459" s="2"/>
      <c r="V459" s="2"/>
      <c r="W459" s="2"/>
    </row>
    <row r="460" spans="2:23" ht="15.75" customHeight="1">
      <c r="B460" s="2"/>
      <c r="C460" s="2"/>
      <c r="E460" s="2"/>
      <c r="G460" s="2"/>
      <c r="I460" s="2"/>
      <c r="N460" s="2"/>
      <c r="P460" s="2"/>
      <c r="Q460" s="2"/>
      <c r="R460" s="2"/>
      <c r="S460" s="2"/>
      <c r="T460" s="2"/>
      <c r="U460" s="2"/>
      <c r="V460" s="2"/>
      <c r="W460" s="2"/>
    </row>
    <row r="461" spans="2:23" ht="15.75" customHeight="1">
      <c r="B461" s="2"/>
      <c r="C461" s="2"/>
      <c r="E461" s="2"/>
      <c r="G461" s="2"/>
      <c r="I461" s="2"/>
      <c r="N461" s="2"/>
      <c r="P461" s="2"/>
      <c r="Q461" s="2"/>
      <c r="R461" s="2"/>
      <c r="S461" s="2"/>
      <c r="T461" s="2"/>
      <c r="U461" s="2"/>
      <c r="V461" s="2"/>
      <c r="W461" s="2"/>
    </row>
    <row r="462" spans="2:23" ht="15.75" customHeight="1">
      <c r="B462" s="2"/>
      <c r="C462" s="2"/>
      <c r="E462" s="2"/>
      <c r="G462" s="2"/>
      <c r="I462" s="2"/>
      <c r="N462" s="2"/>
      <c r="P462" s="2"/>
      <c r="Q462" s="2"/>
      <c r="R462" s="2"/>
      <c r="S462" s="2"/>
      <c r="T462" s="2"/>
      <c r="U462" s="2"/>
      <c r="V462" s="2"/>
      <c r="W462" s="2"/>
    </row>
    <row r="463" spans="2:23" ht="15.75" customHeight="1">
      <c r="B463" s="2"/>
      <c r="C463" s="2"/>
      <c r="E463" s="2"/>
      <c r="G463" s="2"/>
      <c r="I463" s="2"/>
      <c r="N463" s="2"/>
      <c r="P463" s="2"/>
      <c r="Q463" s="2"/>
      <c r="R463" s="2"/>
      <c r="S463" s="2"/>
      <c r="T463" s="2"/>
      <c r="U463" s="2"/>
      <c r="V463" s="2"/>
      <c r="W463" s="2"/>
    </row>
    <row r="464" spans="2:23" ht="15.75" customHeight="1">
      <c r="B464" s="2"/>
      <c r="C464" s="2"/>
      <c r="E464" s="2"/>
      <c r="G464" s="2"/>
      <c r="I464" s="2"/>
      <c r="N464" s="2"/>
      <c r="P464" s="2"/>
      <c r="Q464" s="2"/>
      <c r="R464" s="2"/>
      <c r="S464" s="2"/>
      <c r="T464" s="2"/>
      <c r="U464" s="2"/>
      <c r="V464" s="2"/>
      <c r="W464" s="2"/>
    </row>
    <row r="465" spans="2:23" ht="15.75" customHeight="1">
      <c r="B465" s="2"/>
      <c r="C465" s="2"/>
      <c r="E465" s="2"/>
      <c r="G465" s="2"/>
      <c r="I465" s="2"/>
      <c r="N465" s="2"/>
      <c r="P465" s="2"/>
      <c r="Q465" s="2"/>
      <c r="R465" s="2"/>
      <c r="S465" s="2"/>
      <c r="T465" s="2"/>
      <c r="U465" s="2"/>
      <c r="V465" s="2"/>
      <c r="W465" s="2"/>
    </row>
    <row r="466" spans="2:23" ht="15.75" customHeight="1">
      <c r="B466" s="2"/>
      <c r="C466" s="2"/>
      <c r="E466" s="2"/>
      <c r="G466" s="2"/>
      <c r="I466" s="2"/>
      <c r="N466" s="2"/>
      <c r="P466" s="2"/>
      <c r="Q466" s="2"/>
      <c r="R466" s="2"/>
      <c r="S466" s="2"/>
      <c r="T466" s="2"/>
      <c r="U466" s="2"/>
      <c r="V466" s="2"/>
      <c r="W466" s="2"/>
    </row>
    <row r="467" spans="2:23" ht="15.75" customHeight="1">
      <c r="B467" s="2"/>
      <c r="C467" s="2"/>
      <c r="E467" s="2"/>
      <c r="G467" s="2"/>
      <c r="I467" s="2"/>
      <c r="N467" s="2"/>
      <c r="P467" s="2"/>
      <c r="Q467" s="2"/>
      <c r="R467" s="2"/>
      <c r="S467" s="2"/>
      <c r="T467" s="2"/>
      <c r="U467" s="2"/>
      <c r="V467" s="2"/>
      <c r="W467" s="2"/>
    </row>
    <row r="468" spans="2:23" ht="15.75" customHeight="1">
      <c r="B468" s="2"/>
      <c r="C468" s="2"/>
      <c r="E468" s="2"/>
      <c r="G468" s="2"/>
      <c r="I468" s="2"/>
      <c r="N468" s="2"/>
      <c r="P468" s="2"/>
      <c r="Q468" s="2"/>
      <c r="R468" s="2"/>
      <c r="S468" s="2"/>
      <c r="T468" s="2"/>
      <c r="U468" s="2"/>
      <c r="V468" s="2"/>
      <c r="W468" s="2"/>
    </row>
    <row r="469" spans="2:23" ht="15.75" customHeight="1">
      <c r="B469" s="2"/>
      <c r="C469" s="2"/>
      <c r="E469" s="2"/>
      <c r="G469" s="2"/>
      <c r="I469" s="2"/>
      <c r="N469" s="2"/>
      <c r="P469" s="2"/>
      <c r="Q469" s="2"/>
      <c r="R469" s="2"/>
      <c r="S469" s="2"/>
      <c r="T469" s="2"/>
      <c r="U469" s="2"/>
      <c r="V469" s="2"/>
      <c r="W469" s="2"/>
    </row>
    <row r="470" spans="2:23" ht="15.75" customHeight="1">
      <c r="B470" s="2"/>
      <c r="C470" s="2"/>
      <c r="E470" s="2"/>
      <c r="G470" s="2"/>
      <c r="I470" s="2"/>
      <c r="N470" s="2"/>
      <c r="P470" s="2"/>
      <c r="Q470" s="2"/>
      <c r="R470" s="2"/>
      <c r="S470" s="2"/>
      <c r="T470" s="2"/>
      <c r="U470" s="2"/>
      <c r="V470" s="2"/>
      <c r="W470" s="2"/>
    </row>
    <row r="471" spans="2:23" ht="15.75" customHeight="1">
      <c r="B471" s="2"/>
      <c r="C471" s="2"/>
      <c r="E471" s="2"/>
      <c r="G471" s="2"/>
      <c r="I471" s="2"/>
      <c r="N471" s="2"/>
      <c r="P471" s="2"/>
      <c r="Q471" s="2"/>
      <c r="R471" s="2"/>
      <c r="S471" s="2"/>
      <c r="T471" s="2"/>
      <c r="U471" s="2"/>
      <c r="V471" s="2"/>
      <c r="W471" s="2"/>
    </row>
    <row r="472" spans="2:23" ht="15.75" customHeight="1">
      <c r="B472" s="2"/>
      <c r="C472" s="2"/>
      <c r="E472" s="2"/>
      <c r="G472" s="2"/>
      <c r="I472" s="2"/>
      <c r="N472" s="2"/>
      <c r="P472" s="2"/>
      <c r="Q472" s="2"/>
      <c r="R472" s="2"/>
      <c r="S472" s="2"/>
      <c r="T472" s="2"/>
      <c r="U472" s="2"/>
      <c r="V472" s="2"/>
      <c r="W472" s="2"/>
    </row>
    <row r="473" spans="2:23" ht="15.75" customHeight="1">
      <c r="B473" s="2"/>
      <c r="C473" s="2"/>
      <c r="E473" s="2"/>
      <c r="G473" s="2"/>
      <c r="I473" s="2"/>
      <c r="N473" s="2"/>
      <c r="P473" s="2"/>
      <c r="Q473" s="2"/>
      <c r="R473" s="2"/>
      <c r="S473" s="2"/>
      <c r="T473" s="2"/>
      <c r="U473" s="2"/>
      <c r="V473" s="2"/>
      <c r="W473" s="2"/>
    </row>
    <row r="474" spans="2:23" ht="15.75" customHeight="1">
      <c r="B474" s="2"/>
      <c r="C474" s="2"/>
      <c r="E474" s="2"/>
      <c r="G474" s="2"/>
      <c r="I474" s="2"/>
      <c r="N474" s="2"/>
      <c r="P474" s="2"/>
      <c r="Q474" s="2"/>
      <c r="R474" s="2"/>
      <c r="S474" s="2"/>
      <c r="T474" s="2"/>
      <c r="U474" s="2"/>
      <c r="V474" s="2"/>
      <c r="W474" s="2"/>
    </row>
    <row r="475" spans="2:23" ht="15.75" customHeight="1">
      <c r="B475" s="2"/>
      <c r="C475" s="2"/>
      <c r="E475" s="2"/>
      <c r="G475" s="2"/>
      <c r="I475" s="2"/>
      <c r="N475" s="2"/>
      <c r="P475" s="2"/>
      <c r="Q475" s="2"/>
      <c r="R475" s="2"/>
      <c r="S475" s="2"/>
      <c r="T475" s="2"/>
      <c r="U475" s="2"/>
      <c r="V475" s="2"/>
      <c r="W475" s="2"/>
    </row>
    <row r="476" spans="2:23" ht="15.75" customHeight="1">
      <c r="B476" s="2"/>
      <c r="C476" s="2"/>
      <c r="E476" s="2"/>
      <c r="G476" s="2"/>
      <c r="I476" s="2"/>
      <c r="N476" s="2"/>
      <c r="P476" s="2"/>
      <c r="Q476" s="2"/>
      <c r="R476" s="2"/>
      <c r="S476" s="2"/>
      <c r="T476" s="2"/>
      <c r="U476" s="2"/>
      <c r="V476" s="2"/>
      <c r="W476" s="2"/>
    </row>
    <row r="477" spans="2:23" ht="15.75" customHeight="1">
      <c r="B477" s="2"/>
      <c r="C477" s="2"/>
      <c r="E477" s="2"/>
      <c r="G477" s="2"/>
      <c r="I477" s="2"/>
      <c r="N477" s="2"/>
      <c r="P477" s="2"/>
      <c r="Q477" s="2"/>
      <c r="R477" s="2"/>
      <c r="S477" s="2"/>
      <c r="T477" s="2"/>
      <c r="U477" s="2"/>
      <c r="V477" s="2"/>
      <c r="W477" s="2"/>
    </row>
    <row r="478" spans="2:23" ht="15.75" customHeight="1">
      <c r="B478" s="2"/>
      <c r="C478" s="2"/>
      <c r="E478" s="2"/>
      <c r="G478" s="2"/>
      <c r="I478" s="2"/>
      <c r="N478" s="2"/>
      <c r="P478" s="2"/>
      <c r="Q478" s="2"/>
      <c r="R478" s="2"/>
      <c r="S478" s="2"/>
      <c r="T478" s="2"/>
      <c r="U478" s="2"/>
      <c r="V478" s="2"/>
      <c r="W478" s="2"/>
    </row>
    <row r="479" spans="2:23" ht="15.75" customHeight="1">
      <c r="B479" s="2"/>
      <c r="C479" s="2"/>
      <c r="E479" s="2"/>
      <c r="G479" s="2"/>
      <c r="I479" s="2"/>
      <c r="N479" s="2"/>
      <c r="P479" s="2"/>
      <c r="Q479" s="2"/>
      <c r="R479" s="2"/>
      <c r="S479" s="2"/>
      <c r="T479" s="2"/>
      <c r="U479" s="2"/>
      <c r="V479" s="2"/>
      <c r="W479" s="2"/>
    </row>
    <row r="480" spans="2:23" ht="15.75" customHeight="1">
      <c r="B480" s="2"/>
      <c r="C480" s="2"/>
      <c r="E480" s="2"/>
      <c r="G480" s="2"/>
      <c r="I480" s="2"/>
      <c r="N480" s="2"/>
      <c r="P480" s="2"/>
      <c r="Q480" s="2"/>
      <c r="R480" s="2"/>
      <c r="S480" s="2"/>
      <c r="T480" s="2"/>
      <c r="U480" s="2"/>
      <c r="V480" s="2"/>
      <c r="W480" s="2"/>
    </row>
    <row r="481" spans="2:23" ht="15.75" customHeight="1">
      <c r="B481" s="2"/>
      <c r="C481" s="2"/>
      <c r="E481" s="2"/>
      <c r="G481" s="2"/>
      <c r="I481" s="2"/>
      <c r="N481" s="2"/>
      <c r="P481" s="2"/>
      <c r="Q481" s="2"/>
      <c r="R481" s="2"/>
      <c r="S481" s="2"/>
      <c r="T481" s="2"/>
      <c r="U481" s="2"/>
      <c r="V481" s="2"/>
      <c r="W481" s="2"/>
    </row>
    <row r="482" spans="2:23" ht="15.75" customHeight="1">
      <c r="B482" s="2"/>
      <c r="C482" s="2"/>
      <c r="E482" s="2"/>
      <c r="G482" s="2"/>
      <c r="I482" s="2"/>
      <c r="N482" s="2"/>
      <c r="P482" s="2"/>
      <c r="Q482" s="2"/>
      <c r="R482" s="2"/>
      <c r="S482" s="2"/>
      <c r="T482" s="2"/>
      <c r="U482" s="2"/>
      <c r="V482" s="2"/>
      <c r="W482" s="2"/>
    </row>
    <row r="483" spans="2:23" ht="15.75" customHeight="1">
      <c r="B483" s="2"/>
      <c r="C483" s="2"/>
      <c r="E483" s="2"/>
      <c r="G483" s="2"/>
      <c r="I483" s="2"/>
      <c r="N483" s="2"/>
      <c r="P483" s="2"/>
      <c r="Q483" s="2"/>
      <c r="R483" s="2"/>
      <c r="S483" s="2"/>
      <c r="T483" s="2"/>
      <c r="U483" s="2"/>
      <c r="V483" s="2"/>
      <c r="W483" s="2"/>
    </row>
    <row r="484" spans="2:23" ht="15.75" customHeight="1">
      <c r="B484" s="2"/>
      <c r="C484" s="2"/>
      <c r="E484" s="2"/>
      <c r="G484" s="2"/>
      <c r="I484" s="2"/>
      <c r="N484" s="2"/>
      <c r="P484" s="2"/>
      <c r="Q484" s="2"/>
      <c r="R484" s="2"/>
      <c r="S484" s="2"/>
      <c r="T484" s="2"/>
      <c r="U484" s="2"/>
      <c r="V484" s="2"/>
      <c r="W484" s="2"/>
    </row>
    <row r="485" spans="2:23" ht="15.75" customHeight="1">
      <c r="B485" s="2"/>
      <c r="C485" s="2"/>
      <c r="E485" s="2"/>
      <c r="G485" s="2"/>
      <c r="I485" s="2"/>
      <c r="N485" s="2"/>
      <c r="P485" s="2"/>
      <c r="Q485" s="2"/>
      <c r="R485" s="2"/>
      <c r="S485" s="2"/>
      <c r="T485" s="2"/>
      <c r="U485" s="2"/>
      <c r="V485" s="2"/>
      <c r="W485" s="2"/>
    </row>
    <row r="486" spans="2:23" ht="15.75" customHeight="1">
      <c r="B486" s="2"/>
      <c r="C486" s="2"/>
      <c r="E486" s="2"/>
      <c r="G486" s="2"/>
      <c r="I486" s="2"/>
      <c r="N486" s="2"/>
      <c r="P486" s="2"/>
      <c r="Q486" s="2"/>
      <c r="R486" s="2"/>
      <c r="S486" s="2"/>
      <c r="T486" s="2"/>
      <c r="U486" s="2"/>
      <c r="V486" s="2"/>
      <c r="W486" s="2"/>
    </row>
    <row r="487" spans="2:23" ht="15.75" customHeight="1">
      <c r="B487" s="2"/>
      <c r="C487" s="2"/>
      <c r="E487" s="2"/>
      <c r="G487" s="2"/>
      <c r="I487" s="2"/>
      <c r="N487" s="2"/>
      <c r="P487" s="2"/>
      <c r="Q487" s="2"/>
      <c r="R487" s="2"/>
      <c r="S487" s="2"/>
      <c r="T487" s="2"/>
      <c r="U487" s="2"/>
      <c r="V487" s="2"/>
      <c r="W487" s="2"/>
    </row>
    <row r="488" spans="2:23" ht="15.75" customHeight="1">
      <c r="B488" s="2"/>
      <c r="C488" s="2"/>
      <c r="E488" s="2"/>
      <c r="G488" s="2"/>
      <c r="I488" s="2"/>
      <c r="N488" s="2"/>
      <c r="P488" s="2"/>
      <c r="Q488" s="2"/>
      <c r="R488" s="2"/>
      <c r="S488" s="2"/>
      <c r="T488" s="2"/>
      <c r="U488" s="2"/>
      <c r="V488" s="2"/>
      <c r="W488" s="2"/>
    </row>
    <row r="489" spans="2:23" ht="15.75" customHeight="1">
      <c r="B489" s="2"/>
      <c r="C489" s="2"/>
      <c r="E489" s="2"/>
      <c r="G489" s="2"/>
      <c r="I489" s="2"/>
      <c r="N489" s="2"/>
      <c r="P489" s="2"/>
      <c r="Q489" s="2"/>
      <c r="R489" s="2"/>
      <c r="S489" s="2"/>
      <c r="T489" s="2"/>
      <c r="U489" s="2"/>
      <c r="V489" s="2"/>
      <c r="W489" s="2"/>
    </row>
    <row r="490" spans="2:23" ht="15.75" customHeight="1">
      <c r="B490" s="2"/>
      <c r="C490" s="2"/>
      <c r="E490" s="2"/>
      <c r="G490" s="2"/>
      <c r="I490" s="2"/>
      <c r="N490" s="2"/>
      <c r="P490" s="2"/>
      <c r="Q490" s="2"/>
      <c r="R490" s="2"/>
      <c r="S490" s="2"/>
      <c r="T490" s="2"/>
      <c r="U490" s="2"/>
      <c r="V490" s="2"/>
      <c r="W490" s="2"/>
    </row>
    <row r="491" spans="2:23" ht="15.75" customHeight="1">
      <c r="B491" s="2"/>
      <c r="C491" s="2"/>
      <c r="E491" s="2"/>
      <c r="G491" s="2"/>
      <c r="I491" s="2"/>
      <c r="N491" s="2"/>
      <c r="P491" s="2"/>
      <c r="Q491" s="2"/>
      <c r="R491" s="2"/>
      <c r="S491" s="2"/>
      <c r="T491" s="2"/>
      <c r="U491" s="2"/>
      <c r="V491" s="2"/>
      <c r="W491" s="2"/>
    </row>
    <row r="492" spans="2:23" ht="15.75" customHeight="1">
      <c r="B492" s="2"/>
      <c r="C492" s="2"/>
      <c r="E492" s="2"/>
      <c r="G492" s="2"/>
      <c r="I492" s="2"/>
      <c r="N492" s="2"/>
      <c r="P492" s="2"/>
      <c r="Q492" s="2"/>
      <c r="R492" s="2"/>
      <c r="S492" s="2"/>
      <c r="T492" s="2"/>
      <c r="U492" s="2"/>
      <c r="V492" s="2"/>
      <c r="W492" s="2"/>
    </row>
    <row r="493" spans="2:23" ht="15.75" customHeight="1">
      <c r="B493" s="2"/>
      <c r="C493" s="2"/>
      <c r="E493" s="2"/>
      <c r="G493" s="2"/>
      <c r="I493" s="2"/>
      <c r="N493" s="2"/>
      <c r="P493" s="2"/>
      <c r="Q493" s="2"/>
      <c r="R493" s="2"/>
      <c r="S493" s="2"/>
      <c r="T493" s="2"/>
      <c r="U493" s="2"/>
      <c r="V493" s="2"/>
      <c r="W493" s="2"/>
    </row>
    <row r="494" spans="2:23" ht="15.75" customHeight="1">
      <c r="B494" s="2"/>
      <c r="C494" s="2"/>
      <c r="E494" s="2"/>
      <c r="G494" s="2"/>
      <c r="I494" s="2"/>
      <c r="N494" s="2"/>
      <c r="P494" s="2"/>
      <c r="Q494" s="2"/>
      <c r="R494" s="2"/>
      <c r="S494" s="2"/>
      <c r="T494" s="2"/>
      <c r="U494" s="2"/>
      <c r="V494" s="2"/>
      <c r="W494" s="2"/>
    </row>
    <row r="495" spans="2:23" ht="15.75" customHeight="1">
      <c r="B495" s="2"/>
      <c r="C495" s="2"/>
      <c r="E495" s="2"/>
      <c r="G495" s="2"/>
      <c r="I495" s="2"/>
      <c r="N495" s="2"/>
      <c r="P495" s="2"/>
      <c r="Q495" s="2"/>
      <c r="R495" s="2"/>
      <c r="S495" s="2"/>
      <c r="T495" s="2"/>
      <c r="U495" s="2"/>
      <c r="V495" s="2"/>
      <c r="W495" s="2"/>
    </row>
    <row r="496" spans="2:23" ht="15.75" customHeight="1">
      <c r="B496" s="2"/>
      <c r="C496" s="2"/>
      <c r="E496" s="2"/>
      <c r="G496" s="2"/>
      <c r="I496" s="2"/>
      <c r="N496" s="2"/>
      <c r="P496" s="2"/>
      <c r="Q496" s="2"/>
      <c r="R496" s="2"/>
      <c r="S496" s="2"/>
      <c r="T496" s="2"/>
      <c r="U496" s="2"/>
      <c r="V496" s="2"/>
      <c r="W496" s="2"/>
    </row>
    <row r="497" spans="2:23" ht="15.75" customHeight="1">
      <c r="B497" s="2"/>
      <c r="C497" s="2"/>
      <c r="E497" s="2"/>
      <c r="G497" s="2"/>
      <c r="I497" s="2"/>
      <c r="N497" s="2"/>
      <c r="P497" s="2"/>
      <c r="Q497" s="2"/>
      <c r="R497" s="2"/>
      <c r="S497" s="2"/>
      <c r="T497" s="2"/>
      <c r="U497" s="2"/>
      <c r="V497" s="2"/>
      <c r="W497" s="2"/>
    </row>
    <row r="498" spans="2:23" ht="15.75" customHeight="1">
      <c r="B498" s="2"/>
      <c r="C498" s="2"/>
      <c r="E498" s="2"/>
      <c r="G498" s="2"/>
      <c r="I498" s="2"/>
      <c r="N498" s="2"/>
      <c r="P498" s="2"/>
      <c r="Q498" s="2"/>
      <c r="R498" s="2"/>
      <c r="S498" s="2"/>
      <c r="T498" s="2"/>
      <c r="U498" s="2"/>
      <c r="V498" s="2"/>
      <c r="W498" s="2"/>
    </row>
    <row r="499" spans="2:23" ht="15.75" customHeight="1">
      <c r="B499" s="2"/>
      <c r="C499" s="2"/>
      <c r="E499" s="2"/>
      <c r="G499" s="2"/>
      <c r="I499" s="2"/>
      <c r="N499" s="2"/>
      <c r="P499" s="2"/>
      <c r="Q499" s="2"/>
      <c r="R499" s="2"/>
      <c r="S499" s="2"/>
      <c r="T499" s="2"/>
      <c r="U499" s="2"/>
      <c r="V499" s="2"/>
      <c r="W499" s="2"/>
    </row>
    <row r="500" spans="2:23" ht="15.75" customHeight="1">
      <c r="B500" s="2"/>
      <c r="C500" s="2"/>
      <c r="E500" s="2"/>
      <c r="G500" s="2"/>
      <c r="I500" s="2"/>
      <c r="N500" s="2"/>
      <c r="P500" s="2"/>
      <c r="Q500" s="2"/>
      <c r="R500" s="2"/>
      <c r="S500" s="2"/>
      <c r="T500" s="2"/>
      <c r="U500" s="2"/>
      <c r="V500" s="2"/>
      <c r="W500" s="2"/>
    </row>
    <row r="501" spans="2:23" ht="15.75" customHeight="1">
      <c r="B501" s="2"/>
      <c r="C501" s="2"/>
      <c r="E501" s="2"/>
      <c r="G501" s="2"/>
      <c r="I501" s="2"/>
      <c r="N501" s="2"/>
      <c r="P501" s="2"/>
      <c r="Q501" s="2"/>
      <c r="R501" s="2"/>
      <c r="S501" s="2"/>
      <c r="T501" s="2"/>
      <c r="U501" s="2"/>
      <c r="V501" s="2"/>
      <c r="W501" s="2"/>
    </row>
    <row r="502" spans="2:23" ht="15.75" customHeight="1">
      <c r="B502" s="2"/>
      <c r="C502" s="2"/>
      <c r="E502" s="2"/>
      <c r="G502" s="2"/>
      <c r="I502" s="2"/>
      <c r="N502" s="2"/>
      <c r="P502" s="2"/>
      <c r="Q502" s="2"/>
      <c r="R502" s="2"/>
      <c r="S502" s="2"/>
      <c r="T502" s="2"/>
      <c r="U502" s="2"/>
      <c r="V502" s="2"/>
      <c r="W502" s="2"/>
    </row>
    <row r="503" spans="2:23" ht="15.75" customHeight="1">
      <c r="B503" s="2"/>
      <c r="C503" s="2"/>
      <c r="E503" s="2"/>
      <c r="G503" s="2"/>
      <c r="I503" s="2"/>
      <c r="N503" s="2"/>
      <c r="P503" s="2"/>
      <c r="Q503" s="2"/>
      <c r="R503" s="2"/>
      <c r="S503" s="2"/>
      <c r="T503" s="2"/>
      <c r="U503" s="2"/>
      <c r="V503" s="2"/>
      <c r="W503" s="2"/>
    </row>
    <row r="504" spans="2:23" ht="15.75" customHeight="1">
      <c r="B504" s="2"/>
      <c r="C504" s="2"/>
      <c r="E504" s="2"/>
      <c r="G504" s="2"/>
      <c r="I504" s="2"/>
      <c r="N504" s="2"/>
      <c r="P504" s="2"/>
      <c r="Q504" s="2"/>
      <c r="R504" s="2"/>
      <c r="S504" s="2"/>
      <c r="T504" s="2"/>
      <c r="U504" s="2"/>
      <c r="V504" s="2"/>
      <c r="W504" s="2"/>
    </row>
    <row r="505" spans="2:23" ht="15.75" customHeight="1">
      <c r="B505" s="2"/>
      <c r="C505" s="2"/>
      <c r="E505" s="2"/>
      <c r="G505" s="2"/>
      <c r="I505" s="2"/>
      <c r="N505" s="2"/>
      <c r="P505" s="2"/>
      <c r="Q505" s="2"/>
      <c r="R505" s="2"/>
      <c r="S505" s="2"/>
      <c r="T505" s="2"/>
      <c r="U505" s="2"/>
      <c r="V505" s="2"/>
      <c r="W505" s="2"/>
    </row>
    <row r="506" spans="2:23" ht="15.75" customHeight="1">
      <c r="B506" s="2"/>
      <c r="C506" s="2"/>
      <c r="E506" s="2"/>
      <c r="G506" s="2"/>
      <c r="I506" s="2"/>
      <c r="N506" s="2"/>
      <c r="P506" s="2"/>
      <c r="Q506" s="2"/>
      <c r="R506" s="2"/>
      <c r="S506" s="2"/>
      <c r="T506" s="2"/>
      <c r="U506" s="2"/>
      <c r="V506" s="2"/>
      <c r="W506" s="2"/>
    </row>
    <row r="507" spans="2:23" ht="15.75" customHeight="1">
      <c r="B507" s="2"/>
      <c r="C507" s="2"/>
      <c r="E507" s="2"/>
      <c r="G507" s="2"/>
      <c r="I507" s="2"/>
      <c r="N507" s="2"/>
      <c r="P507" s="2"/>
      <c r="Q507" s="2"/>
      <c r="R507" s="2"/>
      <c r="S507" s="2"/>
      <c r="T507" s="2"/>
      <c r="U507" s="2"/>
      <c r="V507" s="2"/>
      <c r="W507" s="2"/>
    </row>
    <row r="508" spans="2:23" ht="15.75" customHeight="1">
      <c r="B508" s="2"/>
      <c r="C508" s="2"/>
      <c r="E508" s="2"/>
      <c r="G508" s="2"/>
      <c r="I508" s="2"/>
      <c r="N508" s="2"/>
      <c r="P508" s="2"/>
      <c r="Q508" s="2"/>
      <c r="R508" s="2"/>
      <c r="S508" s="2"/>
      <c r="T508" s="2"/>
      <c r="U508" s="2"/>
      <c r="V508" s="2"/>
      <c r="W508" s="2"/>
    </row>
    <row r="509" spans="2:23" ht="15.75" customHeight="1">
      <c r="B509" s="2"/>
      <c r="C509" s="2"/>
      <c r="E509" s="2"/>
      <c r="G509" s="2"/>
      <c r="I509" s="2"/>
      <c r="N509" s="2"/>
      <c r="P509" s="2"/>
      <c r="Q509" s="2"/>
      <c r="R509" s="2"/>
      <c r="S509" s="2"/>
      <c r="T509" s="2"/>
      <c r="U509" s="2"/>
      <c r="V509" s="2"/>
      <c r="W509" s="2"/>
    </row>
    <row r="510" spans="2:23" ht="15.75" customHeight="1">
      <c r="B510" s="2"/>
      <c r="C510" s="2"/>
      <c r="E510" s="2"/>
      <c r="G510" s="2"/>
      <c r="I510" s="2"/>
      <c r="N510" s="2"/>
      <c r="P510" s="2"/>
      <c r="Q510" s="2"/>
      <c r="R510" s="2"/>
      <c r="S510" s="2"/>
      <c r="T510" s="2"/>
      <c r="U510" s="2"/>
      <c r="V510" s="2"/>
      <c r="W510" s="2"/>
    </row>
    <row r="511" spans="2:23" ht="15.75" customHeight="1">
      <c r="B511" s="2"/>
      <c r="C511" s="2"/>
      <c r="E511" s="2"/>
      <c r="G511" s="2"/>
      <c r="I511" s="2"/>
      <c r="N511" s="2"/>
      <c r="P511" s="2"/>
      <c r="Q511" s="2"/>
      <c r="R511" s="2"/>
      <c r="S511" s="2"/>
      <c r="T511" s="2"/>
      <c r="U511" s="2"/>
      <c r="V511" s="2"/>
      <c r="W511" s="2"/>
    </row>
    <row r="512" spans="2:23" ht="15.75" customHeight="1">
      <c r="B512" s="2"/>
      <c r="C512" s="2"/>
      <c r="E512" s="2"/>
      <c r="G512" s="2"/>
      <c r="I512" s="2"/>
      <c r="N512" s="2"/>
      <c r="P512" s="2"/>
      <c r="Q512" s="2"/>
      <c r="R512" s="2"/>
      <c r="S512" s="2"/>
      <c r="T512" s="2"/>
      <c r="U512" s="2"/>
      <c r="V512" s="2"/>
      <c r="W512" s="2"/>
    </row>
    <row r="513" spans="2:23" ht="15.75" customHeight="1">
      <c r="B513" s="2"/>
      <c r="C513" s="2"/>
      <c r="E513" s="2"/>
      <c r="G513" s="2"/>
      <c r="I513" s="2"/>
      <c r="N513" s="2"/>
      <c r="P513" s="2"/>
      <c r="Q513" s="2"/>
      <c r="R513" s="2"/>
      <c r="S513" s="2"/>
      <c r="T513" s="2"/>
      <c r="U513" s="2"/>
      <c r="V513" s="2"/>
      <c r="W513" s="2"/>
    </row>
    <row r="514" spans="2:23" ht="15.75" customHeight="1">
      <c r="B514" s="2"/>
      <c r="C514" s="2"/>
      <c r="E514" s="2"/>
      <c r="G514" s="2"/>
      <c r="I514" s="2"/>
      <c r="N514" s="2"/>
      <c r="P514" s="2"/>
      <c r="Q514" s="2"/>
      <c r="R514" s="2"/>
      <c r="S514" s="2"/>
      <c r="T514" s="2"/>
      <c r="U514" s="2"/>
      <c r="V514" s="2"/>
      <c r="W514" s="2"/>
    </row>
    <row r="515" spans="2:23" ht="15.75" customHeight="1">
      <c r="B515" s="2"/>
      <c r="C515" s="2"/>
      <c r="E515" s="2"/>
      <c r="G515" s="2"/>
      <c r="I515" s="2"/>
      <c r="N515" s="2"/>
      <c r="P515" s="2"/>
      <c r="Q515" s="2"/>
      <c r="R515" s="2"/>
      <c r="S515" s="2"/>
      <c r="T515" s="2"/>
      <c r="U515" s="2"/>
      <c r="V515" s="2"/>
      <c r="W515" s="2"/>
    </row>
    <row r="516" spans="2:23" ht="15.75" customHeight="1">
      <c r="B516" s="2"/>
      <c r="C516" s="2"/>
      <c r="E516" s="2"/>
      <c r="G516" s="2"/>
      <c r="I516" s="2"/>
      <c r="N516" s="2"/>
      <c r="P516" s="2"/>
      <c r="Q516" s="2"/>
      <c r="R516" s="2"/>
      <c r="S516" s="2"/>
      <c r="T516" s="2"/>
      <c r="U516" s="2"/>
      <c r="V516" s="2"/>
      <c r="W516" s="2"/>
    </row>
    <row r="517" spans="2:23" ht="15.75" customHeight="1">
      <c r="B517" s="2"/>
      <c r="C517" s="2"/>
      <c r="E517" s="2"/>
      <c r="G517" s="2"/>
      <c r="I517" s="2"/>
      <c r="N517" s="2"/>
      <c r="P517" s="2"/>
      <c r="Q517" s="2"/>
      <c r="R517" s="2"/>
      <c r="S517" s="2"/>
      <c r="T517" s="2"/>
      <c r="U517" s="2"/>
      <c r="V517" s="2"/>
      <c r="W517" s="2"/>
    </row>
    <row r="518" spans="2:23" ht="15.75" customHeight="1">
      <c r="B518" s="2"/>
      <c r="C518" s="2"/>
      <c r="E518" s="2"/>
      <c r="G518" s="2"/>
      <c r="I518" s="2"/>
      <c r="N518" s="2"/>
      <c r="P518" s="2"/>
      <c r="Q518" s="2"/>
      <c r="R518" s="2"/>
      <c r="S518" s="2"/>
      <c r="T518" s="2"/>
      <c r="U518" s="2"/>
      <c r="V518" s="2"/>
      <c r="W518" s="2"/>
    </row>
    <row r="519" spans="2:23" ht="15.75" customHeight="1">
      <c r="B519" s="2"/>
      <c r="C519" s="2"/>
      <c r="E519" s="2"/>
      <c r="G519" s="2"/>
      <c r="I519" s="2"/>
      <c r="N519" s="2"/>
      <c r="P519" s="2"/>
      <c r="Q519" s="2"/>
      <c r="R519" s="2"/>
      <c r="S519" s="2"/>
      <c r="T519" s="2"/>
      <c r="U519" s="2"/>
      <c r="V519" s="2"/>
      <c r="W519" s="2"/>
    </row>
    <row r="520" spans="2:23" ht="15.75" customHeight="1">
      <c r="B520" s="2"/>
      <c r="C520" s="2"/>
      <c r="E520" s="2"/>
      <c r="G520" s="2"/>
      <c r="I520" s="2"/>
      <c r="N520" s="2"/>
      <c r="P520" s="2"/>
      <c r="Q520" s="2"/>
      <c r="R520" s="2"/>
      <c r="S520" s="2"/>
      <c r="T520" s="2"/>
      <c r="U520" s="2"/>
      <c r="V520" s="2"/>
      <c r="W520" s="2"/>
    </row>
    <row r="521" spans="2:23" ht="15.75" customHeight="1">
      <c r="B521" s="2"/>
      <c r="C521" s="2"/>
      <c r="E521" s="2"/>
      <c r="G521" s="2"/>
      <c r="I521" s="2"/>
      <c r="N521" s="2"/>
      <c r="P521" s="2"/>
      <c r="Q521" s="2"/>
      <c r="R521" s="2"/>
      <c r="S521" s="2"/>
      <c r="T521" s="2"/>
      <c r="U521" s="2"/>
      <c r="V521" s="2"/>
      <c r="W521" s="2"/>
    </row>
    <row r="522" spans="2:23" ht="15.75" customHeight="1">
      <c r="B522" s="2"/>
      <c r="C522" s="2"/>
      <c r="E522" s="2"/>
      <c r="G522" s="2"/>
      <c r="I522" s="2"/>
      <c r="N522" s="2"/>
      <c r="P522" s="2"/>
      <c r="Q522" s="2"/>
      <c r="R522" s="2"/>
      <c r="S522" s="2"/>
      <c r="T522" s="2"/>
      <c r="U522" s="2"/>
      <c r="V522" s="2"/>
      <c r="W522" s="2"/>
    </row>
    <row r="523" spans="2:23" ht="15.75" customHeight="1">
      <c r="B523" s="2"/>
      <c r="C523" s="2"/>
      <c r="E523" s="2"/>
      <c r="G523" s="2"/>
      <c r="I523" s="2"/>
      <c r="N523" s="2"/>
      <c r="P523" s="2"/>
      <c r="Q523" s="2"/>
      <c r="R523" s="2"/>
      <c r="S523" s="2"/>
      <c r="T523" s="2"/>
      <c r="U523" s="2"/>
      <c r="V523" s="2"/>
      <c r="W523" s="2"/>
    </row>
    <row r="524" spans="2:23" ht="15.75" customHeight="1">
      <c r="B524" s="2"/>
      <c r="C524" s="2"/>
      <c r="E524" s="2"/>
      <c r="G524" s="2"/>
      <c r="I524" s="2"/>
      <c r="N524" s="2"/>
      <c r="P524" s="2"/>
      <c r="Q524" s="2"/>
      <c r="R524" s="2"/>
      <c r="S524" s="2"/>
      <c r="T524" s="2"/>
      <c r="U524" s="2"/>
      <c r="V524" s="2"/>
      <c r="W524" s="2"/>
    </row>
    <row r="525" spans="2:23" ht="15.75" customHeight="1">
      <c r="B525" s="2"/>
      <c r="C525" s="2"/>
      <c r="E525" s="2"/>
      <c r="G525" s="2"/>
      <c r="I525" s="2"/>
      <c r="N525" s="2"/>
      <c r="P525" s="2"/>
      <c r="Q525" s="2"/>
      <c r="R525" s="2"/>
      <c r="S525" s="2"/>
      <c r="T525" s="2"/>
      <c r="U525" s="2"/>
      <c r="V525" s="2"/>
      <c r="W525" s="2"/>
    </row>
    <row r="526" spans="2:23" ht="15.75" customHeight="1">
      <c r="B526" s="2"/>
      <c r="C526" s="2"/>
      <c r="E526" s="2"/>
      <c r="G526" s="2"/>
      <c r="I526" s="2"/>
      <c r="N526" s="2"/>
      <c r="P526" s="2"/>
      <c r="Q526" s="2"/>
      <c r="R526" s="2"/>
      <c r="S526" s="2"/>
      <c r="T526" s="2"/>
      <c r="U526" s="2"/>
      <c r="V526" s="2"/>
      <c r="W526" s="2"/>
    </row>
    <row r="527" spans="2:23" ht="15.75" customHeight="1">
      <c r="B527" s="2"/>
      <c r="C527" s="2"/>
      <c r="E527" s="2"/>
      <c r="G527" s="2"/>
      <c r="I527" s="2"/>
      <c r="N527" s="2"/>
      <c r="P527" s="2"/>
      <c r="Q527" s="2"/>
      <c r="R527" s="2"/>
      <c r="S527" s="2"/>
      <c r="T527" s="2"/>
      <c r="U527" s="2"/>
      <c r="V527" s="2"/>
      <c r="W527" s="2"/>
    </row>
    <row r="528" spans="2:23" ht="15.75" customHeight="1">
      <c r="B528" s="2"/>
      <c r="C528" s="2"/>
      <c r="E528" s="2"/>
      <c r="G528" s="2"/>
      <c r="I528" s="2"/>
      <c r="N528" s="2"/>
      <c r="P528" s="2"/>
      <c r="Q528" s="2"/>
      <c r="R528" s="2"/>
      <c r="S528" s="2"/>
      <c r="T528" s="2"/>
      <c r="U528" s="2"/>
      <c r="V528" s="2"/>
      <c r="W528" s="2"/>
    </row>
    <row r="529" spans="2:23" ht="15.75" customHeight="1">
      <c r="B529" s="2"/>
      <c r="C529" s="2"/>
      <c r="E529" s="2"/>
      <c r="G529" s="2"/>
      <c r="I529" s="2"/>
      <c r="N529" s="2"/>
      <c r="P529" s="2"/>
      <c r="Q529" s="2"/>
      <c r="R529" s="2"/>
      <c r="S529" s="2"/>
      <c r="T529" s="2"/>
      <c r="U529" s="2"/>
      <c r="V529" s="2"/>
      <c r="W529" s="2"/>
    </row>
    <row r="530" spans="2:23" ht="15.75" customHeight="1">
      <c r="B530" s="2"/>
      <c r="C530" s="2"/>
      <c r="E530" s="2"/>
      <c r="G530" s="2"/>
      <c r="I530" s="2"/>
      <c r="N530" s="2"/>
      <c r="P530" s="2"/>
      <c r="Q530" s="2"/>
      <c r="R530" s="2"/>
      <c r="S530" s="2"/>
      <c r="T530" s="2"/>
      <c r="U530" s="2"/>
      <c r="V530" s="2"/>
      <c r="W530" s="2"/>
    </row>
    <row r="531" spans="2:23" ht="15.75" customHeight="1">
      <c r="B531" s="2"/>
      <c r="C531" s="2"/>
      <c r="E531" s="2"/>
      <c r="G531" s="2"/>
      <c r="I531" s="2"/>
      <c r="N531" s="2"/>
      <c r="P531" s="2"/>
      <c r="Q531" s="2"/>
      <c r="R531" s="2"/>
      <c r="S531" s="2"/>
      <c r="T531" s="2"/>
      <c r="U531" s="2"/>
      <c r="V531" s="2"/>
      <c r="W531" s="2"/>
    </row>
    <row r="532" spans="2:23" ht="15.75" customHeight="1">
      <c r="B532" s="2"/>
      <c r="C532" s="2"/>
      <c r="E532" s="2"/>
      <c r="G532" s="2"/>
      <c r="I532" s="2"/>
      <c r="N532" s="2"/>
      <c r="P532" s="2"/>
      <c r="Q532" s="2"/>
      <c r="R532" s="2"/>
      <c r="S532" s="2"/>
      <c r="T532" s="2"/>
      <c r="U532" s="2"/>
      <c r="V532" s="2"/>
      <c r="W532" s="2"/>
    </row>
    <row r="533" spans="2:23" ht="15.75" customHeight="1">
      <c r="B533" s="2"/>
      <c r="C533" s="2"/>
      <c r="E533" s="2"/>
      <c r="G533" s="2"/>
      <c r="I533" s="2"/>
      <c r="N533" s="2"/>
      <c r="P533" s="2"/>
      <c r="Q533" s="2"/>
      <c r="R533" s="2"/>
      <c r="S533" s="2"/>
      <c r="T533" s="2"/>
      <c r="U533" s="2"/>
      <c r="V533" s="2"/>
      <c r="W533" s="2"/>
    </row>
    <row r="534" spans="2:23" ht="15.75" customHeight="1">
      <c r="B534" s="2"/>
      <c r="C534" s="2"/>
      <c r="E534" s="2"/>
      <c r="G534" s="2"/>
      <c r="I534" s="2"/>
      <c r="N534" s="2"/>
      <c r="P534" s="2"/>
      <c r="Q534" s="2"/>
      <c r="R534" s="2"/>
      <c r="S534" s="2"/>
      <c r="T534" s="2"/>
      <c r="U534" s="2"/>
      <c r="V534" s="2"/>
      <c r="W534" s="2"/>
    </row>
    <row r="535" spans="2:23" ht="15.75" customHeight="1">
      <c r="B535" s="2"/>
      <c r="C535" s="2"/>
      <c r="E535" s="2"/>
      <c r="G535" s="2"/>
      <c r="I535" s="2"/>
      <c r="N535" s="2"/>
      <c r="P535" s="2"/>
      <c r="Q535" s="2"/>
      <c r="R535" s="2"/>
      <c r="S535" s="2"/>
      <c r="T535" s="2"/>
      <c r="U535" s="2"/>
      <c r="V535" s="2"/>
      <c r="W535" s="2"/>
    </row>
    <row r="536" spans="2:23" ht="15.75" customHeight="1">
      <c r="B536" s="2"/>
      <c r="C536" s="2"/>
      <c r="E536" s="2"/>
      <c r="G536" s="2"/>
      <c r="I536" s="2"/>
      <c r="N536" s="2"/>
      <c r="P536" s="2"/>
      <c r="Q536" s="2"/>
      <c r="R536" s="2"/>
      <c r="S536" s="2"/>
      <c r="T536" s="2"/>
      <c r="U536" s="2"/>
      <c r="V536" s="2"/>
      <c r="W536" s="2"/>
    </row>
    <row r="537" spans="2:23" ht="15.75" customHeight="1">
      <c r="B537" s="2"/>
      <c r="C537" s="2"/>
      <c r="E537" s="2"/>
      <c r="G537" s="2"/>
      <c r="I537" s="2"/>
      <c r="N537" s="2"/>
      <c r="P537" s="2"/>
      <c r="Q537" s="2"/>
      <c r="R537" s="2"/>
      <c r="S537" s="2"/>
      <c r="T537" s="2"/>
      <c r="U537" s="2"/>
      <c r="V537" s="2"/>
      <c r="W537" s="2"/>
    </row>
    <row r="538" spans="2:23" ht="15.75" customHeight="1">
      <c r="B538" s="2"/>
      <c r="C538" s="2"/>
      <c r="E538" s="2"/>
      <c r="G538" s="2"/>
      <c r="I538" s="2"/>
      <c r="N538" s="2"/>
      <c r="P538" s="2"/>
      <c r="Q538" s="2"/>
      <c r="R538" s="2"/>
      <c r="S538" s="2"/>
      <c r="T538" s="2"/>
      <c r="U538" s="2"/>
      <c r="V538" s="2"/>
      <c r="W538" s="2"/>
    </row>
    <row r="539" spans="2:23" ht="15.75" customHeight="1">
      <c r="B539" s="2"/>
      <c r="C539" s="2"/>
      <c r="E539" s="2"/>
      <c r="G539" s="2"/>
      <c r="I539" s="2"/>
      <c r="N539" s="2"/>
      <c r="P539" s="2"/>
      <c r="Q539" s="2"/>
      <c r="R539" s="2"/>
      <c r="S539" s="2"/>
      <c r="T539" s="2"/>
      <c r="U539" s="2"/>
      <c r="V539" s="2"/>
      <c r="W539" s="2"/>
    </row>
    <row r="540" spans="2:23" ht="15.75" customHeight="1">
      <c r="B540" s="2"/>
      <c r="C540" s="2"/>
      <c r="E540" s="2"/>
      <c r="G540" s="2"/>
      <c r="I540" s="2"/>
      <c r="N540" s="2"/>
      <c r="P540" s="2"/>
      <c r="Q540" s="2"/>
      <c r="R540" s="2"/>
      <c r="S540" s="2"/>
      <c r="T540" s="2"/>
      <c r="U540" s="2"/>
      <c r="V540" s="2"/>
      <c r="W540" s="2"/>
    </row>
    <row r="541" spans="2:23" ht="15.75" customHeight="1">
      <c r="B541" s="2"/>
      <c r="C541" s="2"/>
      <c r="E541" s="2"/>
      <c r="G541" s="2"/>
      <c r="I541" s="2"/>
      <c r="N541" s="2"/>
      <c r="P541" s="2"/>
      <c r="Q541" s="2"/>
      <c r="R541" s="2"/>
      <c r="S541" s="2"/>
      <c r="T541" s="2"/>
      <c r="U541" s="2"/>
      <c r="V541" s="2"/>
      <c r="W541" s="2"/>
    </row>
    <row r="542" spans="2:23" ht="15.75" customHeight="1">
      <c r="B542" s="2"/>
      <c r="C542" s="2"/>
      <c r="E542" s="2"/>
      <c r="G542" s="2"/>
      <c r="I542" s="2"/>
      <c r="N542" s="2"/>
      <c r="P542" s="2"/>
      <c r="Q542" s="2"/>
      <c r="R542" s="2"/>
      <c r="S542" s="2"/>
      <c r="T542" s="2"/>
      <c r="U542" s="2"/>
      <c r="V542" s="2"/>
      <c r="W542" s="2"/>
    </row>
    <row r="543" spans="2:23" ht="15.75" customHeight="1">
      <c r="B543" s="2"/>
      <c r="C543" s="2"/>
      <c r="E543" s="2"/>
      <c r="G543" s="2"/>
      <c r="I543" s="2"/>
      <c r="N543" s="2"/>
      <c r="P543" s="2"/>
      <c r="Q543" s="2"/>
      <c r="R543" s="2"/>
      <c r="S543" s="2"/>
      <c r="T543" s="2"/>
      <c r="U543" s="2"/>
      <c r="V543" s="2"/>
      <c r="W543" s="2"/>
    </row>
    <row r="544" spans="2:23" ht="15.75" customHeight="1">
      <c r="B544" s="2"/>
      <c r="C544" s="2"/>
      <c r="E544" s="2"/>
      <c r="G544" s="2"/>
      <c r="I544" s="2"/>
      <c r="N544" s="2"/>
      <c r="P544" s="2"/>
      <c r="Q544" s="2"/>
      <c r="R544" s="2"/>
      <c r="S544" s="2"/>
      <c r="T544" s="2"/>
      <c r="U544" s="2"/>
      <c r="V544" s="2"/>
      <c r="W544" s="2"/>
    </row>
    <row r="545" spans="2:23" ht="15.75" customHeight="1">
      <c r="B545" s="2"/>
      <c r="C545" s="2"/>
      <c r="E545" s="2"/>
      <c r="G545" s="2"/>
      <c r="I545" s="2"/>
      <c r="N545" s="2"/>
      <c r="P545" s="2"/>
      <c r="Q545" s="2"/>
      <c r="R545" s="2"/>
      <c r="S545" s="2"/>
      <c r="T545" s="2"/>
      <c r="U545" s="2"/>
      <c r="V545" s="2"/>
      <c r="W545" s="2"/>
    </row>
    <row r="546" spans="2:23" ht="15.75" customHeight="1">
      <c r="B546" s="2"/>
      <c r="C546" s="2"/>
      <c r="E546" s="2"/>
      <c r="G546" s="2"/>
      <c r="I546" s="2"/>
      <c r="N546" s="2"/>
      <c r="P546" s="2"/>
      <c r="Q546" s="2"/>
      <c r="R546" s="2"/>
      <c r="S546" s="2"/>
      <c r="T546" s="2"/>
      <c r="U546" s="2"/>
      <c r="V546" s="2"/>
      <c r="W546" s="2"/>
    </row>
    <row r="547" spans="2:23" ht="15.75" customHeight="1">
      <c r="B547" s="2"/>
      <c r="C547" s="2"/>
      <c r="E547" s="2"/>
      <c r="G547" s="2"/>
      <c r="I547" s="2"/>
      <c r="N547" s="2"/>
      <c r="P547" s="2"/>
      <c r="Q547" s="2"/>
      <c r="R547" s="2"/>
      <c r="S547" s="2"/>
      <c r="T547" s="2"/>
      <c r="U547" s="2"/>
      <c r="V547" s="2"/>
      <c r="W547" s="2"/>
    </row>
    <row r="548" spans="2:23" ht="15.75" customHeight="1">
      <c r="B548" s="2"/>
      <c r="C548" s="2"/>
      <c r="E548" s="2"/>
      <c r="G548" s="2"/>
      <c r="I548" s="2"/>
      <c r="N548" s="2"/>
      <c r="P548" s="2"/>
      <c r="Q548" s="2"/>
      <c r="R548" s="2"/>
      <c r="S548" s="2"/>
      <c r="T548" s="2"/>
      <c r="U548" s="2"/>
      <c r="V548" s="2"/>
      <c r="W548" s="2"/>
    </row>
    <row r="549" spans="2:23" ht="15.75" customHeight="1">
      <c r="B549" s="2"/>
      <c r="C549" s="2"/>
      <c r="E549" s="2"/>
      <c r="G549" s="2"/>
      <c r="I549" s="2"/>
      <c r="N549" s="2"/>
      <c r="P549" s="2"/>
      <c r="Q549" s="2"/>
      <c r="R549" s="2"/>
      <c r="S549" s="2"/>
      <c r="T549" s="2"/>
      <c r="U549" s="2"/>
      <c r="V549" s="2"/>
      <c r="W549" s="2"/>
    </row>
    <row r="550" spans="2:23" ht="15.75" customHeight="1">
      <c r="B550" s="2"/>
      <c r="C550" s="2"/>
      <c r="E550" s="2"/>
      <c r="G550" s="2"/>
      <c r="I550" s="2"/>
      <c r="N550" s="2"/>
      <c r="P550" s="2"/>
      <c r="Q550" s="2"/>
      <c r="R550" s="2"/>
      <c r="S550" s="2"/>
      <c r="T550" s="2"/>
      <c r="U550" s="2"/>
      <c r="V550" s="2"/>
      <c r="W550" s="2"/>
    </row>
    <row r="551" spans="2:23" ht="15.75" customHeight="1">
      <c r="B551" s="2"/>
      <c r="C551" s="2"/>
      <c r="E551" s="2"/>
      <c r="G551" s="2"/>
      <c r="I551" s="2"/>
      <c r="N551" s="2"/>
      <c r="P551" s="2"/>
      <c r="Q551" s="2"/>
      <c r="R551" s="2"/>
      <c r="S551" s="2"/>
      <c r="T551" s="2"/>
      <c r="U551" s="2"/>
      <c r="V551" s="2"/>
      <c r="W551" s="2"/>
    </row>
    <row r="552" spans="2:23" ht="15.75" customHeight="1">
      <c r="B552" s="2"/>
      <c r="C552" s="2"/>
      <c r="E552" s="2"/>
      <c r="G552" s="2"/>
      <c r="I552" s="2"/>
      <c r="N552" s="2"/>
      <c r="P552" s="2"/>
      <c r="Q552" s="2"/>
      <c r="R552" s="2"/>
      <c r="S552" s="2"/>
      <c r="T552" s="2"/>
      <c r="U552" s="2"/>
      <c r="V552" s="2"/>
      <c r="W552" s="2"/>
    </row>
    <row r="553" spans="2:23" ht="15.75" customHeight="1">
      <c r="B553" s="2"/>
      <c r="C553" s="2"/>
      <c r="E553" s="2"/>
      <c r="G553" s="2"/>
      <c r="I553" s="2"/>
      <c r="N553" s="2"/>
      <c r="P553" s="2"/>
      <c r="Q553" s="2"/>
      <c r="R553" s="2"/>
      <c r="S553" s="2"/>
      <c r="T553" s="2"/>
      <c r="U553" s="2"/>
      <c r="V553" s="2"/>
      <c r="W553" s="2"/>
    </row>
    <row r="554" spans="2:23" ht="15.75" customHeight="1">
      <c r="B554" s="2"/>
      <c r="C554" s="2"/>
      <c r="E554" s="2"/>
      <c r="G554" s="2"/>
      <c r="I554" s="2"/>
      <c r="N554" s="2"/>
      <c r="P554" s="2"/>
      <c r="Q554" s="2"/>
      <c r="R554" s="2"/>
      <c r="S554" s="2"/>
      <c r="T554" s="2"/>
      <c r="U554" s="2"/>
      <c r="V554" s="2"/>
      <c r="W554" s="2"/>
    </row>
    <row r="555" spans="2:23" ht="15.75" customHeight="1">
      <c r="B555" s="2"/>
      <c r="C555" s="2"/>
      <c r="E555" s="2"/>
      <c r="G555" s="2"/>
      <c r="I555" s="2"/>
      <c r="N555" s="2"/>
      <c r="P555" s="2"/>
      <c r="Q555" s="2"/>
      <c r="R555" s="2"/>
      <c r="S555" s="2"/>
      <c r="T555" s="2"/>
      <c r="U555" s="2"/>
      <c r="V555" s="2"/>
      <c r="W555" s="2"/>
    </row>
    <row r="556" spans="2:23" ht="15.75" customHeight="1">
      <c r="B556" s="2"/>
      <c r="C556" s="2"/>
      <c r="E556" s="2"/>
      <c r="G556" s="2"/>
      <c r="I556" s="2"/>
      <c r="N556" s="2"/>
      <c r="P556" s="2"/>
      <c r="Q556" s="2"/>
      <c r="R556" s="2"/>
      <c r="S556" s="2"/>
      <c r="T556" s="2"/>
      <c r="U556" s="2"/>
      <c r="V556" s="2"/>
      <c r="W556" s="2"/>
    </row>
    <row r="557" spans="2:23" ht="15.75" customHeight="1">
      <c r="B557" s="2"/>
      <c r="C557" s="2"/>
      <c r="E557" s="2"/>
      <c r="G557" s="2"/>
      <c r="I557" s="2"/>
      <c r="N557" s="2"/>
      <c r="P557" s="2"/>
      <c r="Q557" s="2"/>
      <c r="R557" s="2"/>
      <c r="S557" s="2"/>
      <c r="T557" s="2"/>
      <c r="U557" s="2"/>
      <c r="V557" s="2"/>
      <c r="W557" s="2"/>
    </row>
    <row r="558" spans="2:23" ht="15.75" customHeight="1">
      <c r="B558" s="2"/>
      <c r="C558" s="2"/>
      <c r="E558" s="2"/>
      <c r="G558" s="2"/>
      <c r="I558" s="2"/>
      <c r="N558" s="2"/>
      <c r="P558" s="2"/>
      <c r="Q558" s="2"/>
      <c r="R558" s="2"/>
      <c r="S558" s="2"/>
      <c r="T558" s="2"/>
      <c r="U558" s="2"/>
      <c r="V558" s="2"/>
      <c r="W558" s="2"/>
    </row>
    <row r="559" spans="2:23" ht="15.75" customHeight="1">
      <c r="B559" s="2"/>
      <c r="C559" s="2"/>
      <c r="E559" s="2"/>
      <c r="G559" s="2"/>
      <c r="I559" s="2"/>
      <c r="N559" s="2"/>
      <c r="P559" s="2"/>
      <c r="Q559" s="2"/>
      <c r="R559" s="2"/>
      <c r="S559" s="2"/>
      <c r="T559" s="2"/>
      <c r="U559" s="2"/>
      <c r="V559" s="2"/>
      <c r="W559" s="2"/>
    </row>
    <row r="560" spans="2:23" ht="15.75" customHeight="1">
      <c r="B560" s="2"/>
      <c r="C560" s="2"/>
      <c r="E560" s="2"/>
      <c r="G560" s="2"/>
      <c r="I560" s="2"/>
      <c r="N560" s="2"/>
      <c r="P560" s="2"/>
      <c r="Q560" s="2"/>
      <c r="R560" s="2"/>
      <c r="S560" s="2"/>
      <c r="T560" s="2"/>
      <c r="U560" s="2"/>
      <c r="V560" s="2"/>
      <c r="W560" s="2"/>
    </row>
    <row r="561" spans="2:23" ht="15.75" customHeight="1">
      <c r="B561" s="2"/>
      <c r="C561" s="2"/>
      <c r="E561" s="2"/>
      <c r="G561" s="2"/>
      <c r="I561" s="2"/>
      <c r="N561" s="2"/>
      <c r="P561" s="2"/>
      <c r="Q561" s="2"/>
      <c r="R561" s="2"/>
      <c r="S561" s="2"/>
      <c r="T561" s="2"/>
      <c r="U561" s="2"/>
      <c r="V561" s="2"/>
      <c r="W561" s="2"/>
    </row>
    <row r="562" spans="2:23" ht="15.75" customHeight="1">
      <c r="B562" s="2"/>
      <c r="C562" s="2"/>
      <c r="E562" s="2"/>
      <c r="G562" s="2"/>
      <c r="I562" s="2"/>
      <c r="N562" s="2"/>
      <c r="P562" s="2"/>
      <c r="Q562" s="2"/>
      <c r="R562" s="2"/>
      <c r="S562" s="2"/>
      <c r="T562" s="2"/>
      <c r="U562" s="2"/>
      <c r="V562" s="2"/>
      <c r="W562" s="2"/>
    </row>
    <row r="563" spans="2:23" ht="15.75" customHeight="1">
      <c r="B563" s="2"/>
      <c r="C563" s="2"/>
      <c r="E563" s="2"/>
      <c r="G563" s="2"/>
      <c r="I563" s="2"/>
      <c r="N563" s="2"/>
      <c r="P563" s="2"/>
      <c r="Q563" s="2"/>
      <c r="R563" s="2"/>
      <c r="S563" s="2"/>
      <c r="T563" s="2"/>
      <c r="U563" s="2"/>
      <c r="V563" s="2"/>
      <c r="W563" s="2"/>
    </row>
    <row r="564" spans="2:23" ht="15.75" customHeight="1">
      <c r="B564" s="2"/>
      <c r="C564" s="2"/>
      <c r="E564" s="2"/>
      <c r="G564" s="2"/>
      <c r="I564" s="2"/>
      <c r="N564" s="2"/>
      <c r="P564" s="2"/>
      <c r="Q564" s="2"/>
      <c r="R564" s="2"/>
      <c r="S564" s="2"/>
      <c r="T564" s="2"/>
      <c r="U564" s="2"/>
      <c r="V564" s="2"/>
      <c r="W564" s="2"/>
    </row>
    <row r="565" spans="2:23" ht="15.75" customHeight="1">
      <c r="B565" s="2"/>
      <c r="C565" s="2"/>
      <c r="E565" s="2"/>
      <c r="G565" s="2"/>
      <c r="I565" s="2"/>
      <c r="N565" s="2"/>
      <c r="P565" s="2"/>
      <c r="Q565" s="2"/>
      <c r="R565" s="2"/>
      <c r="S565" s="2"/>
      <c r="T565" s="2"/>
      <c r="U565" s="2"/>
      <c r="V565" s="2"/>
      <c r="W565" s="2"/>
    </row>
    <row r="566" spans="2:23" ht="15.75" customHeight="1">
      <c r="B566" s="2"/>
      <c r="C566" s="2"/>
      <c r="E566" s="2"/>
      <c r="G566" s="2"/>
      <c r="I566" s="2"/>
      <c r="N566" s="2"/>
      <c r="P566" s="2"/>
      <c r="Q566" s="2"/>
      <c r="R566" s="2"/>
      <c r="S566" s="2"/>
      <c r="T566" s="2"/>
      <c r="U566" s="2"/>
      <c r="V566" s="2"/>
      <c r="W566" s="2"/>
    </row>
    <row r="567" spans="2:23" ht="15.75" customHeight="1">
      <c r="B567" s="2"/>
      <c r="C567" s="2"/>
      <c r="E567" s="2"/>
      <c r="G567" s="2"/>
      <c r="I567" s="2"/>
      <c r="N567" s="2"/>
      <c r="P567" s="2"/>
      <c r="Q567" s="2"/>
      <c r="R567" s="2"/>
      <c r="S567" s="2"/>
      <c r="T567" s="2"/>
      <c r="U567" s="2"/>
      <c r="V567" s="2"/>
      <c r="W567" s="2"/>
    </row>
    <row r="568" spans="2:23" ht="15.75" customHeight="1">
      <c r="B568" s="2"/>
      <c r="C568" s="2"/>
      <c r="E568" s="2"/>
      <c r="G568" s="2"/>
      <c r="I568" s="2"/>
      <c r="N568" s="2"/>
      <c r="P568" s="2"/>
      <c r="Q568" s="2"/>
      <c r="R568" s="2"/>
      <c r="S568" s="2"/>
      <c r="T568" s="2"/>
      <c r="U568" s="2"/>
      <c r="V568" s="2"/>
      <c r="W568" s="2"/>
    </row>
    <row r="569" spans="2:23" ht="15.75" customHeight="1">
      <c r="B569" s="2"/>
      <c r="C569" s="2"/>
      <c r="E569" s="2"/>
      <c r="G569" s="2"/>
      <c r="I569" s="2"/>
      <c r="N569" s="2"/>
      <c r="P569" s="2"/>
      <c r="Q569" s="2"/>
      <c r="R569" s="2"/>
      <c r="S569" s="2"/>
      <c r="T569" s="2"/>
      <c r="U569" s="2"/>
      <c r="V569" s="2"/>
      <c r="W569" s="2"/>
    </row>
    <row r="570" spans="2:23" ht="15.75" customHeight="1">
      <c r="B570" s="2"/>
      <c r="C570" s="2"/>
      <c r="E570" s="2"/>
      <c r="G570" s="2"/>
      <c r="I570" s="2"/>
      <c r="N570" s="2"/>
      <c r="P570" s="2"/>
      <c r="Q570" s="2"/>
      <c r="R570" s="2"/>
      <c r="S570" s="2"/>
      <c r="T570" s="2"/>
      <c r="U570" s="2"/>
      <c r="V570" s="2"/>
      <c r="W570" s="2"/>
    </row>
    <row r="571" spans="2:23" ht="15.75" customHeight="1">
      <c r="B571" s="2"/>
      <c r="C571" s="2"/>
      <c r="E571" s="2"/>
      <c r="G571" s="2"/>
      <c r="I571" s="2"/>
      <c r="N571" s="2"/>
      <c r="P571" s="2"/>
      <c r="Q571" s="2"/>
      <c r="R571" s="2"/>
      <c r="S571" s="2"/>
      <c r="T571" s="2"/>
      <c r="U571" s="2"/>
      <c r="V571" s="2"/>
      <c r="W571" s="2"/>
    </row>
    <row r="572" spans="2:23" ht="15.75" customHeight="1">
      <c r="B572" s="2"/>
      <c r="C572" s="2"/>
      <c r="E572" s="2"/>
      <c r="G572" s="2"/>
      <c r="I572" s="2"/>
      <c r="N572" s="2"/>
      <c r="P572" s="2"/>
      <c r="Q572" s="2"/>
      <c r="R572" s="2"/>
      <c r="S572" s="2"/>
      <c r="T572" s="2"/>
      <c r="U572" s="2"/>
      <c r="V572" s="2"/>
      <c r="W572" s="2"/>
    </row>
    <row r="573" spans="2:23" ht="15.75" customHeight="1">
      <c r="B573" s="2"/>
      <c r="C573" s="2"/>
      <c r="E573" s="2"/>
      <c r="G573" s="2"/>
      <c r="I573" s="2"/>
      <c r="N573" s="2"/>
      <c r="P573" s="2"/>
      <c r="Q573" s="2"/>
      <c r="R573" s="2"/>
      <c r="S573" s="2"/>
      <c r="T573" s="2"/>
      <c r="U573" s="2"/>
      <c r="V573" s="2"/>
      <c r="W573" s="2"/>
    </row>
    <row r="574" spans="2:23" ht="15.75" customHeight="1">
      <c r="B574" s="2"/>
      <c r="C574" s="2"/>
      <c r="E574" s="2"/>
      <c r="G574" s="2"/>
      <c r="I574" s="2"/>
      <c r="N574" s="2"/>
      <c r="P574" s="2"/>
      <c r="Q574" s="2"/>
      <c r="R574" s="2"/>
      <c r="S574" s="2"/>
      <c r="T574" s="2"/>
      <c r="U574" s="2"/>
      <c r="V574" s="2"/>
      <c r="W574" s="2"/>
    </row>
    <row r="575" spans="2:23" ht="15.75" customHeight="1">
      <c r="B575" s="2"/>
      <c r="C575" s="2"/>
      <c r="E575" s="2"/>
      <c r="G575" s="2"/>
      <c r="I575" s="2"/>
      <c r="N575" s="2"/>
      <c r="P575" s="2"/>
      <c r="Q575" s="2"/>
      <c r="R575" s="2"/>
      <c r="S575" s="2"/>
      <c r="T575" s="2"/>
      <c r="U575" s="2"/>
      <c r="V575" s="2"/>
      <c r="W575" s="2"/>
    </row>
    <row r="576" spans="2:23" ht="15.75" customHeight="1">
      <c r="B576" s="2"/>
      <c r="C576" s="2"/>
      <c r="E576" s="2"/>
      <c r="G576" s="2"/>
      <c r="I576" s="2"/>
      <c r="N576" s="2"/>
      <c r="P576" s="2"/>
      <c r="Q576" s="2"/>
      <c r="R576" s="2"/>
      <c r="S576" s="2"/>
      <c r="T576" s="2"/>
      <c r="U576" s="2"/>
      <c r="V576" s="2"/>
      <c r="W576" s="2"/>
    </row>
    <row r="577" spans="2:23" ht="15.75" customHeight="1">
      <c r="B577" s="2"/>
      <c r="C577" s="2"/>
      <c r="E577" s="2"/>
      <c r="G577" s="2"/>
      <c r="I577" s="2"/>
      <c r="N577" s="2"/>
      <c r="P577" s="2"/>
      <c r="Q577" s="2"/>
      <c r="R577" s="2"/>
      <c r="S577" s="2"/>
      <c r="T577" s="2"/>
      <c r="U577" s="2"/>
      <c r="V577" s="2"/>
      <c r="W577" s="2"/>
    </row>
    <row r="578" spans="2:23" ht="15.75" customHeight="1">
      <c r="B578" s="2"/>
      <c r="C578" s="2"/>
      <c r="E578" s="2"/>
      <c r="G578" s="2"/>
      <c r="I578" s="2"/>
      <c r="N578" s="2"/>
      <c r="P578" s="2"/>
      <c r="Q578" s="2"/>
      <c r="R578" s="2"/>
      <c r="S578" s="2"/>
      <c r="T578" s="2"/>
      <c r="U578" s="2"/>
      <c r="V578" s="2"/>
      <c r="W578" s="2"/>
    </row>
    <row r="579" spans="2:23" ht="15.75" customHeight="1">
      <c r="B579" s="2"/>
      <c r="C579" s="2"/>
      <c r="E579" s="2"/>
      <c r="G579" s="2"/>
      <c r="I579" s="2"/>
      <c r="N579" s="2"/>
      <c r="P579" s="2"/>
      <c r="Q579" s="2"/>
      <c r="R579" s="2"/>
      <c r="S579" s="2"/>
      <c r="T579" s="2"/>
      <c r="U579" s="2"/>
      <c r="V579" s="2"/>
      <c r="W579" s="2"/>
    </row>
    <row r="580" spans="2:23" ht="15.75" customHeight="1">
      <c r="B580" s="2"/>
      <c r="C580" s="2"/>
      <c r="E580" s="2"/>
      <c r="G580" s="2"/>
      <c r="I580" s="2"/>
      <c r="N580" s="2"/>
      <c r="P580" s="2"/>
      <c r="Q580" s="2"/>
      <c r="R580" s="2"/>
      <c r="S580" s="2"/>
      <c r="T580" s="2"/>
      <c r="U580" s="2"/>
      <c r="V580" s="2"/>
      <c r="W580" s="2"/>
    </row>
    <row r="581" spans="2:23" ht="15.75" customHeight="1">
      <c r="B581" s="2"/>
      <c r="C581" s="2"/>
      <c r="E581" s="2"/>
      <c r="G581" s="2"/>
      <c r="I581" s="2"/>
      <c r="N581" s="2"/>
      <c r="P581" s="2"/>
      <c r="Q581" s="2"/>
      <c r="R581" s="2"/>
      <c r="S581" s="2"/>
      <c r="T581" s="2"/>
      <c r="U581" s="2"/>
      <c r="V581" s="2"/>
      <c r="W581" s="2"/>
    </row>
    <row r="582" spans="2:23" ht="15.75" customHeight="1">
      <c r="B582" s="2"/>
      <c r="C582" s="2"/>
      <c r="E582" s="2"/>
      <c r="G582" s="2"/>
      <c r="I582" s="2"/>
      <c r="N582" s="2"/>
      <c r="P582" s="2"/>
      <c r="Q582" s="2"/>
      <c r="R582" s="2"/>
      <c r="S582" s="2"/>
      <c r="T582" s="2"/>
      <c r="U582" s="2"/>
      <c r="V582" s="2"/>
      <c r="W582" s="2"/>
    </row>
    <row r="583" spans="2:23" ht="15.75" customHeight="1">
      <c r="B583" s="2"/>
      <c r="C583" s="2"/>
      <c r="E583" s="2"/>
      <c r="G583" s="2"/>
      <c r="I583" s="2"/>
      <c r="N583" s="2"/>
      <c r="P583" s="2"/>
      <c r="Q583" s="2"/>
      <c r="R583" s="2"/>
      <c r="S583" s="2"/>
      <c r="T583" s="2"/>
      <c r="U583" s="2"/>
      <c r="V583" s="2"/>
      <c r="W583" s="2"/>
    </row>
    <row r="584" spans="2:23" ht="15.75" customHeight="1">
      <c r="B584" s="2"/>
      <c r="C584" s="2"/>
      <c r="E584" s="2"/>
      <c r="G584" s="2"/>
      <c r="I584" s="2"/>
      <c r="N584" s="2"/>
      <c r="P584" s="2"/>
      <c r="Q584" s="2"/>
      <c r="R584" s="2"/>
      <c r="S584" s="2"/>
      <c r="T584" s="2"/>
      <c r="U584" s="2"/>
      <c r="V584" s="2"/>
      <c r="W584" s="2"/>
    </row>
    <row r="585" spans="2:23" ht="15.75" customHeight="1">
      <c r="B585" s="2"/>
      <c r="C585" s="2"/>
      <c r="E585" s="2"/>
      <c r="G585" s="2"/>
      <c r="I585" s="2"/>
      <c r="N585" s="2"/>
      <c r="P585" s="2"/>
      <c r="Q585" s="2"/>
      <c r="R585" s="2"/>
      <c r="S585" s="2"/>
      <c r="T585" s="2"/>
      <c r="U585" s="2"/>
      <c r="V585" s="2"/>
      <c r="W585" s="2"/>
    </row>
    <row r="586" spans="2:23" ht="15.75" customHeight="1">
      <c r="B586" s="2"/>
      <c r="C586" s="2"/>
      <c r="E586" s="2"/>
      <c r="G586" s="2"/>
      <c r="I586" s="2"/>
      <c r="N586" s="2"/>
      <c r="P586" s="2"/>
      <c r="Q586" s="2"/>
      <c r="R586" s="2"/>
      <c r="S586" s="2"/>
      <c r="T586" s="2"/>
      <c r="U586" s="2"/>
      <c r="V586" s="2"/>
      <c r="W586" s="2"/>
    </row>
    <row r="587" spans="2:23" ht="15.75" customHeight="1">
      <c r="B587" s="2"/>
      <c r="C587" s="2"/>
      <c r="E587" s="2"/>
      <c r="G587" s="2"/>
      <c r="I587" s="2"/>
      <c r="N587" s="2"/>
      <c r="P587" s="2"/>
      <c r="Q587" s="2"/>
      <c r="R587" s="2"/>
      <c r="S587" s="2"/>
      <c r="T587" s="2"/>
      <c r="U587" s="2"/>
      <c r="V587" s="2"/>
      <c r="W587" s="2"/>
    </row>
    <row r="588" spans="2:23" ht="15.75" customHeight="1">
      <c r="B588" s="2"/>
      <c r="C588" s="2"/>
      <c r="E588" s="2"/>
      <c r="G588" s="2"/>
      <c r="I588" s="2"/>
      <c r="N588" s="2"/>
      <c r="P588" s="2"/>
      <c r="Q588" s="2"/>
      <c r="R588" s="2"/>
      <c r="S588" s="2"/>
      <c r="T588" s="2"/>
      <c r="U588" s="2"/>
      <c r="V588" s="2"/>
      <c r="W588" s="2"/>
    </row>
    <row r="589" spans="2:23" ht="15.75" customHeight="1">
      <c r="B589" s="2"/>
      <c r="C589" s="2"/>
      <c r="E589" s="2"/>
      <c r="G589" s="2"/>
      <c r="I589" s="2"/>
      <c r="N589" s="2"/>
      <c r="P589" s="2"/>
      <c r="Q589" s="2"/>
      <c r="R589" s="2"/>
      <c r="S589" s="2"/>
      <c r="T589" s="2"/>
      <c r="U589" s="2"/>
      <c r="V589" s="2"/>
      <c r="W589" s="2"/>
    </row>
    <row r="590" spans="2:23" ht="15.75" customHeight="1">
      <c r="B590" s="2"/>
      <c r="C590" s="2"/>
      <c r="E590" s="2"/>
      <c r="G590" s="2"/>
      <c r="I590" s="2"/>
      <c r="N590" s="2"/>
      <c r="P590" s="2"/>
      <c r="Q590" s="2"/>
      <c r="R590" s="2"/>
      <c r="S590" s="2"/>
      <c r="T590" s="2"/>
      <c r="U590" s="2"/>
      <c r="V590" s="2"/>
      <c r="W590" s="2"/>
    </row>
    <row r="591" spans="2:23" ht="15.75" customHeight="1">
      <c r="B591" s="2"/>
      <c r="C591" s="2"/>
      <c r="E591" s="2"/>
      <c r="G591" s="2"/>
      <c r="I591" s="2"/>
      <c r="N591" s="2"/>
      <c r="P591" s="2"/>
      <c r="Q591" s="2"/>
      <c r="R591" s="2"/>
      <c r="S591" s="2"/>
      <c r="T591" s="2"/>
      <c r="U591" s="2"/>
      <c r="V591" s="2"/>
      <c r="W591" s="2"/>
    </row>
    <row r="592" spans="2:23" ht="15.75" customHeight="1">
      <c r="B592" s="2"/>
      <c r="C592" s="2"/>
      <c r="E592" s="2"/>
      <c r="G592" s="2"/>
      <c r="I592" s="2"/>
      <c r="N592" s="2"/>
      <c r="P592" s="2"/>
      <c r="Q592" s="2"/>
      <c r="R592" s="2"/>
      <c r="S592" s="2"/>
      <c r="T592" s="2"/>
      <c r="U592" s="2"/>
      <c r="V592" s="2"/>
      <c r="W592" s="2"/>
    </row>
    <row r="593" spans="2:23" ht="15.75" customHeight="1">
      <c r="B593" s="2"/>
      <c r="C593" s="2"/>
      <c r="E593" s="2"/>
      <c r="G593" s="2"/>
      <c r="I593" s="2"/>
      <c r="N593" s="2"/>
      <c r="P593" s="2"/>
      <c r="Q593" s="2"/>
      <c r="R593" s="2"/>
      <c r="S593" s="2"/>
      <c r="T593" s="2"/>
      <c r="U593" s="2"/>
      <c r="V593" s="2"/>
      <c r="W593" s="2"/>
    </row>
    <row r="594" spans="2:23" ht="15.75" customHeight="1">
      <c r="B594" s="2"/>
      <c r="C594" s="2"/>
      <c r="E594" s="2"/>
      <c r="G594" s="2"/>
      <c r="I594" s="2"/>
      <c r="N594" s="2"/>
      <c r="P594" s="2"/>
      <c r="Q594" s="2"/>
      <c r="R594" s="2"/>
      <c r="S594" s="2"/>
      <c r="T594" s="2"/>
      <c r="U594" s="2"/>
      <c r="V594" s="2"/>
      <c r="W594" s="2"/>
    </row>
    <row r="595" spans="2:23" ht="15.75" customHeight="1">
      <c r="B595" s="2"/>
      <c r="C595" s="2"/>
      <c r="E595" s="2"/>
      <c r="G595" s="2"/>
      <c r="I595" s="2"/>
      <c r="N595" s="2"/>
      <c r="P595" s="2"/>
      <c r="Q595" s="2"/>
      <c r="R595" s="2"/>
      <c r="S595" s="2"/>
      <c r="T595" s="2"/>
      <c r="U595" s="2"/>
      <c r="V595" s="2"/>
      <c r="W595" s="2"/>
    </row>
    <row r="596" spans="2:23" ht="15.75" customHeight="1">
      <c r="B596" s="2"/>
      <c r="C596" s="2"/>
      <c r="E596" s="2"/>
      <c r="G596" s="2"/>
      <c r="I596" s="2"/>
      <c r="N596" s="2"/>
      <c r="P596" s="2"/>
      <c r="Q596" s="2"/>
      <c r="R596" s="2"/>
      <c r="S596" s="2"/>
      <c r="T596" s="2"/>
      <c r="U596" s="2"/>
      <c r="V596" s="2"/>
      <c r="W596" s="2"/>
    </row>
    <row r="597" spans="2:23" ht="15.75" customHeight="1">
      <c r="B597" s="2"/>
      <c r="C597" s="2"/>
      <c r="E597" s="2"/>
      <c r="G597" s="2"/>
      <c r="I597" s="2"/>
      <c r="N597" s="2"/>
      <c r="P597" s="2"/>
      <c r="Q597" s="2"/>
      <c r="R597" s="2"/>
      <c r="S597" s="2"/>
      <c r="T597" s="2"/>
      <c r="U597" s="2"/>
      <c r="V597" s="2"/>
      <c r="W597" s="2"/>
    </row>
    <row r="598" spans="2:23" ht="15.75" customHeight="1">
      <c r="B598" s="2"/>
      <c r="C598" s="2"/>
      <c r="E598" s="2"/>
      <c r="G598" s="2"/>
      <c r="I598" s="2"/>
      <c r="N598" s="2"/>
      <c r="P598" s="2"/>
      <c r="Q598" s="2"/>
      <c r="R598" s="2"/>
      <c r="S598" s="2"/>
      <c r="T598" s="2"/>
      <c r="U598" s="2"/>
      <c r="V598" s="2"/>
      <c r="W598" s="2"/>
    </row>
    <row r="599" spans="2:23" ht="15.75" customHeight="1">
      <c r="B599" s="2"/>
      <c r="C599" s="2"/>
      <c r="E599" s="2"/>
      <c r="G599" s="2"/>
      <c r="I599" s="2"/>
      <c r="N599" s="2"/>
      <c r="P599" s="2"/>
      <c r="Q599" s="2"/>
      <c r="R599" s="2"/>
      <c r="S599" s="2"/>
      <c r="T599" s="2"/>
      <c r="U599" s="2"/>
      <c r="V599" s="2"/>
      <c r="W599" s="2"/>
    </row>
    <row r="600" spans="2:23" ht="15.75" customHeight="1">
      <c r="B600" s="2"/>
      <c r="C600" s="2"/>
      <c r="E600" s="2"/>
      <c r="G600" s="2"/>
      <c r="I600" s="2"/>
      <c r="N600" s="2"/>
      <c r="P600" s="2"/>
      <c r="Q600" s="2"/>
      <c r="R600" s="2"/>
      <c r="S600" s="2"/>
      <c r="T600" s="2"/>
      <c r="U600" s="2"/>
      <c r="V600" s="2"/>
      <c r="W600" s="2"/>
    </row>
    <row r="601" spans="2:23" ht="15.75" customHeight="1">
      <c r="B601" s="2"/>
      <c r="C601" s="2"/>
      <c r="E601" s="2"/>
      <c r="G601" s="2"/>
      <c r="I601" s="2"/>
      <c r="N601" s="2"/>
      <c r="P601" s="2"/>
      <c r="Q601" s="2"/>
      <c r="R601" s="2"/>
      <c r="S601" s="2"/>
      <c r="T601" s="2"/>
      <c r="U601" s="2"/>
      <c r="V601" s="2"/>
      <c r="W601" s="2"/>
    </row>
    <row r="602" spans="2:23" ht="15.75" customHeight="1">
      <c r="B602" s="2"/>
      <c r="C602" s="2"/>
      <c r="E602" s="2"/>
      <c r="G602" s="2"/>
      <c r="I602" s="2"/>
      <c r="N602" s="2"/>
      <c r="P602" s="2"/>
      <c r="Q602" s="2"/>
      <c r="R602" s="2"/>
      <c r="S602" s="2"/>
      <c r="T602" s="2"/>
      <c r="U602" s="2"/>
      <c r="V602" s="2"/>
      <c r="W602" s="2"/>
    </row>
    <row r="603" spans="2:23" ht="15.75" customHeight="1">
      <c r="B603" s="2"/>
      <c r="C603" s="2"/>
      <c r="E603" s="2"/>
      <c r="G603" s="2"/>
      <c r="I603" s="2"/>
      <c r="N603" s="2"/>
      <c r="P603" s="2"/>
      <c r="Q603" s="2"/>
      <c r="R603" s="2"/>
      <c r="S603" s="2"/>
      <c r="T603" s="2"/>
      <c r="U603" s="2"/>
      <c r="V603" s="2"/>
      <c r="W603" s="2"/>
    </row>
    <row r="604" spans="2:23" ht="15.75" customHeight="1">
      <c r="B604" s="2"/>
      <c r="C604" s="2"/>
      <c r="E604" s="2"/>
      <c r="G604" s="2"/>
      <c r="I604" s="2"/>
      <c r="N604" s="2"/>
      <c r="P604" s="2"/>
      <c r="Q604" s="2"/>
      <c r="R604" s="2"/>
      <c r="S604" s="2"/>
      <c r="T604" s="2"/>
      <c r="U604" s="2"/>
      <c r="V604" s="2"/>
      <c r="W604" s="2"/>
    </row>
    <row r="605" spans="2:23" ht="15.75" customHeight="1">
      <c r="B605" s="2"/>
      <c r="C605" s="2"/>
      <c r="E605" s="2"/>
      <c r="G605" s="2"/>
      <c r="I605" s="2"/>
      <c r="N605" s="2"/>
      <c r="P605" s="2"/>
      <c r="Q605" s="2"/>
      <c r="R605" s="2"/>
      <c r="S605" s="2"/>
      <c r="T605" s="2"/>
      <c r="U605" s="2"/>
      <c r="V605" s="2"/>
      <c r="W605" s="2"/>
    </row>
    <row r="606" spans="2:23" ht="15.75" customHeight="1">
      <c r="B606" s="2"/>
      <c r="C606" s="2"/>
      <c r="E606" s="2"/>
      <c r="G606" s="2"/>
      <c r="I606" s="2"/>
      <c r="N606" s="2"/>
      <c r="P606" s="2"/>
      <c r="Q606" s="2"/>
      <c r="R606" s="2"/>
      <c r="S606" s="2"/>
      <c r="T606" s="2"/>
      <c r="U606" s="2"/>
      <c r="V606" s="2"/>
      <c r="W606" s="2"/>
    </row>
    <row r="607" spans="2:23" ht="15.75" customHeight="1">
      <c r="B607" s="2"/>
      <c r="C607" s="2"/>
      <c r="E607" s="2"/>
      <c r="G607" s="2"/>
      <c r="I607" s="2"/>
      <c r="N607" s="2"/>
      <c r="P607" s="2"/>
      <c r="Q607" s="2"/>
      <c r="R607" s="2"/>
      <c r="S607" s="2"/>
      <c r="T607" s="2"/>
      <c r="U607" s="2"/>
      <c r="V607" s="2"/>
      <c r="W607" s="2"/>
    </row>
    <row r="608" spans="2:23" ht="15.75" customHeight="1">
      <c r="B608" s="2"/>
      <c r="C608" s="2"/>
      <c r="E608" s="2"/>
      <c r="G608" s="2"/>
      <c r="I608" s="2"/>
      <c r="N608" s="2"/>
      <c r="P608" s="2"/>
      <c r="Q608" s="2"/>
      <c r="R608" s="2"/>
      <c r="S608" s="2"/>
      <c r="T608" s="2"/>
      <c r="U608" s="2"/>
      <c r="V608" s="2"/>
      <c r="W608" s="2"/>
    </row>
    <row r="609" spans="2:23" ht="15.75" customHeight="1">
      <c r="B609" s="2"/>
      <c r="C609" s="2"/>
      <c r="E609" s="2"/>
      <c r="G609" s="2"/>
      <c r="I609" s="2"/>
      <c r="N609" s="2"/>
      <c r="P609" s="2"/>
      <c r="Q609" s="2"/>
      <c r="R609" s="2"/>
      <c r="S609" s="2"/>
      <c r="T609" s="2"/>
      <c r="U609" s="2"/>
      <c r="V609" s="2"/>
      <c r="W609" s="2"/>
    </row>
    <row r="610" spans="2:23" ht="15.75" customHeight="1">
      <c r="B610" s="2"/>
      <c r="C610" s="2"/>
      <c r="E610" s="2"/>
      <c r="G610" s="2"/>
      <c r="I610" s="2"/>
      <c r="N610" s="2"/>
      <c r="P610" s="2"/>
      <c r="Q610" s="2"/>
      <c r="R610" s="2"/>
      <c r="S610" s="2"/>
      <c r="T610" s="2"/>
      <c r="U610" s="2"/>
      <c r="V610" s="2"/>
      <c r="W610" s="2"/>
    </row>
    <row r="611" spans="2:23" ht="15.75" customHeight="1">
      <c r="B611" s="2"/>
      <c r="C611" s="2"/>
      <c r="E611" s="2"/>
      <c r="G611" s="2"/>
      <c r="I611" s="2"/>
      <c r="N611" s="2"/>
      <c r="P611" s="2"/>
      <c r="Q611" s="2"/>
      <c r="R611" s="2"/>
      <c r="S611" s="2"/>
      <c r="T611" s="2"/>
      <c r="U611" s="2"/>
      <c r="V611" s="2"/>
      <c r="W611" s="2"/>
    </row>
    <row r="612" spans="2:23" ht="15.75" customHeight="1">
      <c r="B612" s="2"/>
      <c r="C612" s="2"/>
      <c r="E612" s="2"/>
      <c r="G612" s="2"/>
      <c r="I612" s="2"/>
      <c r="N612" s="2"/>
      <c r="P612" s="2"/>
      <c r="Q612" s="2"/>
      <c r="R612" s="2"/>
      <c r="S612" s="2"/>
      <c r="T612" s="2"/>
      <c r="U612" s="2"/>
      <c r="V612" s="2"/>
      <c r="W612" s="2"/>
    </row>
    <row r="613" spans="2:23" ht="15.75" customHeight="1">
      <c r="B613" s="2"/>
      <c r="C613" s="2"/>
      <c r="E613" s="2"/>
      <c r="G613" s="2"/>
      <c r="I613" s="2"/>
      <c r="N613" s="2"/>
      <c r="P613" s="2"/>
      <c r="Q613" s="2"/>
      <c r="R613" s="2"/>
      <c r="S613" s="2"/>
      <c r="T613" s="2"/>
      <c r="U613" s="2"/>
      <c r="V613" s="2"/>
      <c r="W613" s="2"/>
    </row>
    <row r="614" spans="2:23" ht="15.75" customHeight="1">
      <c r="B614" s="2"/>
      <c r="C614" s="2"/>
      <c r="E614" s="2"/>
      <c r="G614" s="2"/>
      <c r="I614" s="2"/>
      <c r="N614" s="2"/>
      <c r="P614" s="2"/>
      <c r="Q614" s="2"/>
      <c r="R614" s="2"/>
      <c r="S614" s="2"/>
      <c r="T614" s="2"/>
      <c r="U614" s="2"/>
      <c r="V614" s="2"/>
      <c r="W614" s="2"/>
    </row>
    <row r="615" spans="2:23" ht="15.75" customHeight="1">
      <c r="B615" s="2"/>
      <c r="C615" s="2"/>
      <c r="E615" s="2"/>
      <c r="G615" s="2"/>
      <c r="I615" s="2"/>
      <c r="N615" s="2"/>
      <c r="P615" s="2"/>
      <c r="Q615" s="2"/>
      <c r="R615" s="2"/>
      <c r="S615" s="2"/>
      <c r="T615" s="2"/>
      <c r="U615" s="2"/>
      <c r="V615" s="2"/>
      <c r="W615" s="2"/>
    </row>
    <row r="616" spans="2:23" ht="15.75" customHeight="1">
      <c r="B616" s="2"/>
      <c r="C616" s="2"/>
      <c r="E616" s="2"/>
      <c r="G616" s="2"/>
      <c r="I616" s="2"/>
      <c r="N616" s="2"/>
      <c r="P616" s="2"/>
      <c r="Q616" s="2"/>
      <c r="R616" s="2"/>
      <c r="S616" s="2"/>
      <c r="T616" s="2"/>
      <c r="U616" s="2"/>
      <c r="V616" s="2"/>
      <c r="W616" s="2"/>
    </row>
    <row r="617" spans="2:23" ht="15.75" customHeight="1">
      <c r="B617" s="2"/>
      <c r="C617" s="2"/>
      <c r="E617" s="2"/>
      <c r="G617" s="2"/>
      <c r="I617" s="2"/>
      <c r="N617" s="2"/>
      <c r="P617" s="2"/>
      <c r="Q617" s="2"/>
      <c r="R617" s="2"/>
      <c r="S617" s="2"/>
      <c r="T617" s="2"/>
      <c r="U617" s="2"/>
      <c r="V617" s="2"/>
      <c r="W617" s="2"/>
    </row>
    <row r="618" spans="2:23" ht="15.75" customHeight="1">
      <c r="B618" s="2"/>
      <c r="C618" s="2"/>
      <c r="E618" s="2"/>
      <c r="G618" s="2"/>
      <c r="I618" s="2"/>
      <c r="N618" s="2"/>
      <c r="P618" s="2"/>
      <c r="Q618" s="2"/>
      <c r="R618" s="2"/>
      <c r="S618" s="2"/>
      <c r="T618" s="2"/>
      <c r="U618" s="2"/>
      <c r="V618" s="2"/>
      <c r="W618" s="2"/>
    </row>
    <row r="619" spans="2:23" ht="15.75" customHeight="1">
      <c r="B619" s="2"/>
      <c r="C619" s="2"/>
      <c r="E619" s="2"/>
      <c r="G619" s="2"/>
      <c r="I619" s="2"/>
      <c r="N619" s="2"/>
      <c r="P619" s="2"/>
      <c r="Q619" s="2"/>
      <c r="R619" s="2"/>
      <c r="S619" s="2"/>
      <c r="T619" s="2"/>
      <c r="U619" s="2"/>
      <c r="V619" s="2"/>
      <c r="W619" s="2"/>
    </row>
    <row r="620" spans="2:23" ht="15.75" customHeight="1">
      <c r="B620" s="2"/>
      <c r="C620" s="2"/>
      <c r="E620" s="2"/>
      <c r="G620" s="2"/>
      <c r="I620" s="2"/>
      <c r="N620" s="2"/>
      <c r="P620" s="2"/>
      <c r="Q620" s="2"/>
      <c r="R620" s="2"/>
      <c r="S620" s="2"/>
      <c r="T620" s="2"/>
      <c r="U620" s="2"/>
      <c r="V620" s="2"/>
      <c r="W620" s="2"/>
    </row>
    <row r="621" spans="2:23" ht="15.75" customHeight="1">
      <c r="B621" s="2"/>
      <c r="C621" s="2"/>
      <c r="E621" s="2"/>
      <c r="G621" s="2"/>
      <c r="I621" s="2"/>
      <c r="N621" s="2"/>
      <c r="P621" s="2"/>
      <c r="Q621" s="2"/>
      <c r="R621" s="2"/>
      <c r="S621" s="2"/>
      <c r="T621" s="2"/>
      <c r="U621" s="2"/>
      <c r="V621" s="2"/>
      <c r="W621" s="2"/>
    </row>
    <row r="622" spans="2:23" ht="15.75" customHeight="1">
      <c r="B622" s="2"/>
      <c r="C622" s="2"/>
      <c r="E622" s="2"/>
      <c r="G622" s="2"/>
      <c r="I622" s="2"/>
      <c r="N622" s="2"/>
      <c r="P622" s="2"/>
      <c r="Q622" s="2"/>
      <c r="R622" s="2"/>
      <c r="S622" s="2"/>
      <c r="T622" s="2"/>
      <c r="U622" s="2"/>
      <c r="V622" s="2"/>
      <c r="W622" s="2"/>
    </row>
    <row r="623" spans="2:23" ht="15.75" customHeight="1">
      <c r="B623" s="2"/>
      <c r="C623" s="2"/>
      <c r="E623" s="2"/>
      <c r="G623" s="2"/>
      <c r="I623" s="2"/>
      <c r="N623" s="2"/>
      <c r="P623" s="2"/>
      <c r="Q623" s="2"/>
      <c r="R623" s="2"/>
      <c r="S623" s="2"/>
      <c r="T623" s="2"/>
      <c r="U623" s="2"/>
      <c r="V623" s="2"/>
      <c r="W623" s="2"/>
    </row>
    <row r="624" spans="2:23" ht="15.75" customHeight="1">
      <c r="B624" s="2"/>
      <c r="C624" s="2"/>
      <c r="E624" s="2"/>
      <c r="G624" s="2"/>
      <c r="I624" s="2"/>
      <c r="N624" s="2"/>
      <c r="P624" s="2"/>
      <c r="Q624" s="2"/>
      <c r="R624" s="2"/>
      <c r="S624" s="2"/>
      <c r="T624" s="2"/>
      <c r="U624" s="2"/>
      <c r="V624" s="2"/>
      <c r="W624" s="2"/>
    </row>
    <row r="625" spans="2:23" ht="15.75" customHeight="1">
      <c r="B625" s="2"/>
      <c r="C625" s="2"/>
      <c r="E625" s="2"/>
      <c r="G625" s="2"/>
      <c r="I625" s="2"/>
      <c r="N625" s="2"/>
      <c r="P625" s="2"/>
      <c r="Q625" s="2"/>
      <c r="R625" s="2"/>
      <c r="S625" s="2"/>
      <c r="T625" s="2"/>
      <c r="U625" s="2"/>
      <c r="V625" s="2"/>
      <c r="W625" s="2"/>
    </row>
    <row r="626" spans="2:23" ht="15.75" customHeight="1">
      <c r="B626" s="2"/>
      <c r="C626" s="2"/>
      <c r="E626" s="2"/>
      <c r="G626" s="2"/>
      <c r="I626" s="2"/>
      <c r="N626" s="2"/>
      <c r="P626" s="2"/>
      <c r="Q626" s="2"/>
      <c r="R626" s="2"/>
      <c r="S626" s="2"/>
      <c r="T626" s="2"/>
      <c r="U626" s="2"/>
      <c r="V626" s="2"/>
      <c r="W626" s="2"/>
    </row>
    <row r="627" spans="2:23" ht="15.75" customHeight="1">
      <c r="B627" s="2"/>
      <c r="C627" s="2"/>
      <c r="E627" s="2"/>
      <c r="G627" s="2"/>
      <c r="I627" s="2"/>
      <c r="N627" s="2"/>
      <c r="P627" s="2"/>
      <c r="Q627" s="2"/>
      <c r="R627" s="2"/>
      <c r="S627" s="2"/>
      <c r="T627" s="2"/>
      <c r="U627" s="2"/>
      <c r="V627" s="2"/>
      <c r="W627" s="2"/>
    </row>
    <row r="628" spans="2:23" ht="15.75" customHeight="1">
      <c r="B628" s="2"/>
      <c r="C628" s="2"/>
      <c r="E628" s="2"/>
      <c r="G628" s="2"/>
      <c r="I628" s="2"/>
      <c r="N628" s="2"/>
      <c r="P628" s="2"/>
      <c r="Q628" s="2"/>
      <c r="R628" s="2"/>
      <c r="S628" s="2"/>
      <c r="T628" s="2"/>
      <c r="U628" s="2"/>
      <c r="V628" s="2"/>
      <c r="W628" s="2"/>
    </row>
    <row r="629" spans="2:23" ht="15.75" customHeight="1">
      <c r="B629" s="2"/>
      <c r="C629" s="2"/>
      <c r="E629" s="2"/>
      <c r="G629" s="2"/>
      <c r="I629" s="2"/>
      <c r="N629" s="2"/>
      <c r="P629" s="2"/>
      <c r="Q629" s="2"/>
      <c r="R629" s="2"/>
      <c r="S629" s="2"/>
      <c r="T629" s="2"/>
      <c r="U629" s="2"/>
      <c r="V629" s="2"/>
      <c r="W629" s="2"/>
    </row>
    <row r="630" spans="2:23" ht="15.75" customHeight="1">
      <c r="B630" s="2"/>
      <c r="C630" s="2"/>
      <c r="E630" s="2"/>
      <c r="G630" s="2"/>
      <c r="I630" s="2"/>
      <c r="N630" s="2"/>
      <c r="P630" s="2"/>
      <c r="Q630" s="2"/>
      <c r="R630" s="2"/>
      <c r="S630" s="2"/>
      <c r="T630" s="2"/>
      <c r="U630" s="2"/>
      <c r="V630" s="2"/>
      <c r="W630" s="2"/>
    </row>
    <row r="631" spans="2:23" ht="15.75" customHeight="1">
      <c r="B631" s="2"/>
      <c r="C631" s="2"/>
      <c r="E631" s="2"/>
      <c r="G631" s="2"/>
      <c r="I631" s="2"/>
      <c r="N631" s="2"/>
      <c r="P631" s="2"/>
      <c r="Q631" s="2"/>
      <c r="R631" s="2"/>
      <c r="S631" s="2"/>
      <c r="T631" s="2"/>
      <c r="U631" s="2"/>
      <c r="V631" s="2"/>
      <c r="W631" s="2"/>
    </row>
    <row r="632" spans="2:23" ht="15.75" customHeight="1">
      <c r="B632" s="2"/>
      <c r="C632" s="2"/>
      <c r="E632" s="2"/>
      <c r="G632" s="2"/>
      <c r="I632" s="2"/>
      <c r="N632" s="2"/>
      <c r="P632" s="2"/>
      <c r="Q632" s="2"/>
      <c r="R632" s="2"/>
      <c r="S632" s="2"/>
      <c r="T632" s="2"/>
      <c r="U632" s="2"/>
      <c r="V632" s="2"/>
      <c r="W632" s="2"/>
    </row>
    <row r="633" spans="2:23" ht="15.75" customHeight="1">
      <c r="B633" s="2"/>
      <c r="C633" s="2"/>
      <c r="E633" s="2"/>
      <c r="G633" s="2"/>
      <c r="I633" s="2"/>
      <c r="N633" s="2"/>
      <c r="P633" s="2"/>
      <c r="Q633" s="2"/>
      <c r="R633" s="2"/>
      <c r="S633" s="2"/>
      <c r="T633" s="2"/>
      <c r="U633" s="2"/>
      <c r="V633" s="2"/>
      <c r="W633" s="2"/>
    </row>
    <row r="634" spans="2:23" ht="15.75" customHeight="1">
      <c r="B634" s="2"/>
      <c r="C634" s="2"/>
      <c r="E634" s="2"/>
      <c r="G634" s="2"/>
      <c r="I634" s="2"/>
      <c r="N634" s="2"/>
      <c r="P634" s="2"/>
      <c r="Q634" s="2"/>
      <c r="R634" s="2"/>
      <c r="S634" s="2"/>
      <c r="T634" s="2"/>
      <c r="U634" s="2"/>
      <c r="V634" s="2"/>
      <c r="W634" s="2"/>
    </row>
    <row r="635" spans="2:23" ht="15.75" customHeight="1">
      <c r="B635" s="2"/>
      <c r="C635" s="2"/>
      <c r="E635" s="2"/>
      <c r="G635" s="2"/>
      <c r="I635" s="2"/>
      <c r="N635" s="2"/>
      <c r="P635" s="2"/>
      <c r="Q635" s="2"/>
      <c r="R635" s="2"/>
      <c r="S635" s="2"/>
      <c r="T635" s="2"/>
      <c r="U635" s="2"/>
      <c r="V635" s="2"/>
      <c r="W635" s="2"/>
    </row>
    <row r="636" spans="2:23" ht="15.75" customHeight="1">
      <c r="B636" s="2"/>
      <c r="C636" s="2"/>
      <c r="E636" s="2"/>
      <c r="G636" s="2"/>
      <c r="I636" s="2"/>
      <c r="N636" s="2"/>
      <c r="P636" s="2"/>
      <c r="Q636" s="2"/>
      <c r="R636" s="2"/>
      <c r="S636" s="2"/>
      <c r="T636" s="2"/>
      <c r="U636" s="2"/>
      <c r="V636" s="2"/>
      <c r="W636" s="2"/>
    </row>
    <row r="637" spans="2:23" ht="15.75" customHeight="1">
      <c r="B637" s="2"/>
      <c r="C637" s="2"/>
      <c r="E637" s="2"/>
      <c r="G637" s="2"/>
      <c r="I637" s="2"/>
      <c r="N637" s="2"/>
      <c r="P637" s="2"/>
      <c r="Q637" s="2"/>
      <c r="R637" s="2"/>
      <c r="S637" s="2"/>
      <c r="T637" s="2"/>
      <c r="U637" s="2"/>
      <c r="V637" s="2"/>
      <c r="W637" s="2"/>
    </row>
    <row r="638" spans="2:23" ht="15.75" customHeight="1">
      <c r="B638" s="2"/>
      <c r="C638" s="2"/>
      <c r="E638" s="2"/>
      <c r="G638" s="2"/>
      <c r="I638" s="2"/>
      <c r="N638" s="2"/>
      <c r="P638" s="2"/>
      <c r="Q638" s="2"/>
      <c r="R638" s="2"/>
      <c r="S638" s="2"/>
      <c r="T638" s="2"/>
      <c r="U638" s="2"/>
      <c r="V638" s="2"/>
      <c r="W638" s="2"/>
    </row>
    <row r="639" spans="2:23" ht="15.75" customHeight="1">
      <c r="B639" s="2"/>
      <c r="C639" s="2"/>
      <c r="E639" s="2"/>
      <c r="G639" s="2"/>
      <c r="I639" s="2"/>
      <c r="N639" s="2"/>
      <c r="P639" s="2"/>
      <c r="Q639" s="2"/>
      <c r="R639" s="2"/>
      <c r="S639" s="2"/>
      <c r="T639" s="2"/>
      <c r="U639" s="2"/>
      <c r="V639" s="2"/>
      <c r="W639" s="2"/>
    </row>
    <row r="640" spans="2:23" ht="15.75" customHeight="1">
      <c r="B640" s="2"/>
      <c r="C640" s="2"/>
      <c r="E640" s="2"/>
      <c r="G640" s="2"/>
      <c r="I640" s="2"/>
      <c r="N640" s="2"/>
      <c r="P640" s="2"/>
      <c r="Q640" s="2"/>
      <c r="R640" s="2"/>
      <c r="S640" s="2"/>
      <c r="T640" s="2"/>
      <c r="U640" s="2"/>
      <c r="V640" s="2"/>
      <c r="W640" s="2"/>
    </row>
    <row r="641" spans="2:23" ht="15.75" customHeight="1">
      <c r="B641" s="2"/>
      <c r="C641" s="2"/>
      <c r="E641" s="2"/>
      <c r="G641" s="2"/>
      <c r="I641" s="2"/>
      <c r="N641" s="2"/>
      <c r="P641" s="2"/>
      <c r="Q641" s="2"/>
      <c r="R641" s="2"/>
      <c r="S641" s="2"/>
      <c r="T641" s="2"/>
      <c r="U641" s="2"/>
      <c r="V641" s="2"/>
      <c r="W641" s="2"/>
    </row>
    <row r="642" spans="2:23" ht="15.75" customHeight="1">
      <c r="B642" s="2"/>
      <c r="C642" s="2"/>
      <c r="E642" s="2"/>
      <c r="G642" s="2"/>
      <c r="I642" s="2"/>
      <c r="N642" s="2"/>
      <c r="P642" s="2"/>
      <c r="Q642" s="2"/>
      <c r="R642" s="2"/>
      <c r="S642" s="2"/>
      <c r="T642" s="2"/>
      <c r="U642" s="2"/>
      <c r="V642" s="2"/>
      <c r="W642" s="2"/>
    </row>
    <row r="643" spans="2:23" ht="15.75" customHeight="1">
      <c r="B643" s="2"/>
      <c r="C643" s="2"/>
      <c r="E643" s="2"/>
      <c r="G643" s="2"/>
      <c r="I643" s="2"/>
      <c r="N643" s="2"/>
      <c r="P643" s="2"/>
      <c r="Q643" s="2"/>
      <c r="R643" s="2"/>
      <c r="S643" s="2"/>
      <c r="T643" s="2"/>
      <c r="U643" s="2"/>
      <c r="V643" s="2"/>
      <c r="W643" s="2"/>
    </row>
    <row r="644" spans="2:23" ht="15.75" customHeight="1">
      <c r="B644" s="2"/>
      <c r="C644" s="2"/>
      <c r="E644" s="2"/>
      <c r="G644" s="2"/>
      <c r="I644" s="2"/>
      <c r="N644" s="2"/>
      <c r="P644" s="2"/>
      <c r="Q644" s="2"/>
      <c r="R644" s="2"/>
      <c r="S644" s="2"/>
      <c r="T644" s="2"/>
      <c r="U644" s="2"/>
      <c r="V644" s="2"/>
      <c r="W644" s="2"/>
    </row>
    <row r="645" spans="2:23" ht="15.75" customHeight="1">
      <c r="B645" s="2"/>
      <c r="C645" s="2"/>
      <c r="E645" s="2"/>
      <c r="G645" s="2"/>
      <c r="I645" s="2"/>
      <c r="N645" s="2"/>
      <c r="P645" s="2"/>
      <c r="Q645" s="2"/>
      <c r="R645" s="2"/>
      <c r="S645" s="2"/>
      <c r="T645" s="2"/>
      <c r="U645" s="2"/>
      <c r="V645" s="2"/>
      <c r="W645" s="2"/>
    </row>
    <row r="646" spans="2:23" ht="15.75" customHeight="1">
      <c r="B646" s="2"/>
      <c r="C646" s="2"/>
      <c r="E646" s="2"/>
      <c r="G646" s="2"/>
      <c r="I646" s="2"/>
      <c r="N646" s="2"/>
      <c r="P646" s="2"/>
      <c r="Q646" s="2"/>
      <c r="R646" s="2"/>
      <c r="S646" s="2"/>
      <c r="T646" s="2"/>
      <c r="U646" s="2"/>
      <c r="V646" s="2"/>
      <c r="W646" s="2"/>
    </row>
    <row r="647" spans="2:23" ht="15.75" customHeight="1">
      <c r="B647" s="2"/>
      <c r="C647" s="2"/>
      <c r="E647" s="2"/>
      <c r="G647" s="2"/>
      <c r="I647" s="2"/>
      <c r="N647" s="2"/>
      <c r="P647" s="2"/>
      <c r="Q647" s="2"/>
      <c r="R647" s="2"/>
      <c r="S647" s="2"/>
      <c r="T647" s="2"/>
      <c r="U647" s="2"/>
      <c r="V647" s="2"/>
      <c r="W647" s="2"/>
    </row>
    <row r="648" spans="2:23" ht="15.75" customHeight="1">
      <c r="B648" s="2"/>
      <c r="C648" s="2"/>
      <c r="E648" s="2"/>
      <c r="G648" s="2"/>
      <c r="I648" s="2"/>
      <c r="N648" s="2"/>
      <c r="P648" s="2"/>
      <c r="Q648" s="2"/>
      <c r="R648" s="2"/>
      <c r="S648" s="2"/>
      <c r="T648" s="2"/>
      <c r="U648" s="2"/>
      <c r="V648" s="2"/>
      <c r="W648" s="2"/>
    </row>
    <row r="649" spans="2:23" ht="15.75" customHeight="1">
      <c r="B649" s="2"/>
      <c r="C649" s="2"/>
      <c r="E649" s="2"/>
      <c r="G649" s="2"/>
      <c r="I649" s="2"/>
      <c r="N649" s="2"/>
      <c r="P649" s="2"/>
      <c r="Q649" s="2"/>
      <c r="R649" s="2"/>
      <c r="S649" s="2"/>
      <c r="T649" s="2"/>
      <c r="U649" s="2"/>
      <c r="V649" s="2"/>
      <c r="W649" s="2"/>
    </row>
    <row r="650" spans="2:23" ht="15.75" customHeight="1">
      <c r="B650" s="2"/>
      <c r="C650" s="2"/>
      <c r="E650" s="2"/>
      <c r="G650" s="2"/>
      <c r="I650" s="2"/>
      <c r="N650" s="2"/>
      <c r="P650" s="2"/>
      <c r="Q650" s="2"/>
      <c r="R650" s="2"/>
      <c r="S650" s="2"/>
      <c r="T650" s="2"/>
      <c r="U650" s="2"/>
      <c r="V650" s="2"/>
      <c r="W650" s="2"/>
    </row>
    <row r="651" spans="2:23" ht="15.75" customHeight="1">
      <c r="B651" s="2"/>
      <c r="C651" s="2"/>
      <c r="E651" s="2"/>
      <c r="G651" s="2"/>
      <c r="I651" s="2"/>
      <c r="N651" s="2"/>
      <c r="P651" s="2"/>
      <c r="Q651" s="2"/>
      <c r="R651" s="2"/>
      <c r="S651" s="2"/>
      <c r="T651" s="2"/>
      <c r="U651" s="2"/>
      <c r="V651" s="2"/>
      <c r="W651" s="2"/>
    </row>
    <row r="652" spans="2:23" ht="15.75" customHeight="1">
      <c r="B652" s="2"/>
      <c r="C652" s="2"/>
      <c r="E652" s="2"/>
      <c r="G652" s="2"/>
      <c r="I652" s="2"/>
      <c r="N652" s="2"/>
      <c r="P652" s="2"/>
      <c r="Q652" s="2"/>
      <c r="R652" s="2"/>
      <c r="S652" s="2"/>
      <c r="T652" s="2"/>
      <c r="U652" s="2"/>
      <c r="V652" s="2"/>
      <c r="W652" s="2"/>
    </row>
    <row r="653" spans="2:23" ht="15.75" customHeight="1">
      <c r="B653" s="2"/>
      <c r="C653" s="2"/>
      <c r="E653" s="2"/>
      <c r="G653" s="2"/>
      <c r="I653" s="2"/>
      <c r="N653" s="2"/>
      <c r="P653" s="2"/>
      <c r="Q653" s="2"/>
      <c r="R653" s="2"/>
      <c r="S653" s="2"/>
      <c r="T653" s="2"/>
      <c r="U653" s="2"/>
      <c r="V653" s="2"/>
      <c r="W653" s="2"/>
    </row>
    <row r="654" spans="2:23" ht="15.75" customHeight="1">
      <c r="B654" s="2"/>
      <c r="C654" s="2"/>
      <c r="E654" s="2"/>
      <c r="G654" s="2"/>
      <c r="I654" s="2"/>
      <c r="N654" s="2"/>
      <c r="P654" s="2"/>
      <c r="Q654" s="2"/>
      <c r="R654" s="2"/>
      <c r="S654" s="2"/>
      <c r="T654" s="2"/>
      <c r="U654" s="2"/>
      <c r="V654" s="2"/>
      <c r="W654" s="2"/>
    </row>
    <row r="655" spans="2:23" ht="15.75" customHeight="1">
      <c r="B655" s="2"/>
      <c r="C655" s="2"/>
      <c r="E655" s="2"/>
      <c r="G655" s="2"/>
      <c r="I655" s="2"/>
      <c r="N655" s="2"/>
      <c r="P655" s="2"/>
      <c r="Q655" s="2"/>
      <c r="R655" s="2"/>
      <c r="S655" s="2"/>
      <c r="T655" s="2"/>
      <c r="U655" s="2"/>
      <c r="V655" s="2"/>
      <c r="W655" s="2"/>
    </row>
    <row r="656" spans="2:23" ht="15.75" customHeight="1">
      <c r="B656" s="2"/>
      <c r="C656" s="2"/>
      <c r="E656" s="2"/>
      <c r="G656" s="2"/>
      <c r="I656" s="2"/>
      <c r="N656" s="2"/>
      <c r="P656" s="2"/>
      <c r="Q656" s="2"/>
      <c r="R656" s="2"/>
      <c r="S656" s="2"/>
      <c r="T656" s="2"/>
      <c r="U656" s="2"/>
      <c r="V656" s="2"/>
      <c r="W656" s="2"/>
    </row>
    <row r="657" spans="2:23" ht="15.75" customHeight="1">
      <c r="B657" s="2"/>
      <c r="C657" s="2"/>
      <c r="E657" s="2"/>
      <c r="G657" s="2"/>
      <c r="I657" s="2"/>
      <c r="N657" s="2"/>
      <c r="P657" s="2"/>
      <c r="Q657" s="2"/>
      <c r="R657" s="2"/>
      <c r="S657" s="2"/>
      <c r="T657" s="2"/>
      <c r="U657" s="2"/>
      <c r="V657" s="2"/>
      <c r="W657" s="2"/>
    </row>
    <row r="658" spans="2:23" ht="15.75" customHeight="1">
      <c r="B658" s="2"/>
      <c r="C658" s="2"/>
      <c r="E658" s="2"/>
      <c r="G658" s="2"/>
      <c r="I658" s="2"/>
      <c r="N658" s="2"/>
      <c r="P658" s="2"/>
      <c r="Q658" s="2"/>
      <c r="R658" s="2"/>
      <c r="S658" s="2"/>
      <c r="T658" s="2"/>
      <c r="U658" s="2"/>
      <c r="V658" s="2"/>
      <c r="W658" s="2"/>
    </row>
    <row r="659" spans="2:23" ht="15.75" customHeight="1">
      <c r="B659" s="2"/>
      <c r="C659" s="2"/>
      <c r="E659" s="2"/>
      <c r="G659" s="2"/>
      <c r="I659" s="2"/>
      <c r="N659" s="2"/>
      <c r="P659" s="2"/>
      <c r="Q659" s="2"/>
      <c r="R659" s="2"/>
      <c r="S659" s="2"/>
      <c r="T659" s="2"/>
      <c r="U659" s="2"/>
      <c r="V659" s="2"/>
      <c r="W659" s="2"/>
    </row>
    <row r="660" spans="2:23" ht="15.75" customHeight="1">
      <c r="B660" s="2"/>
      <c r="C660" s="2"/>
      <c r="E660" s="2"/>
      <c r="G660" s="2"/>
      <c r="I660" s="2"/>
      <c r="N660" s="2"/>
      <c r="P660" s="2"/>
      <c r="Q660" s="2"/>
      <c r="R660" s="2"/>
      <c r="S660" s="2"/>
      <c r="T660" s="2"/>
      <c r="U660" s="2"/>
      <c r="V660" s="2"/>
      <c r="W660" s="2"/>
    </row>
    <row r="661" spans="2:23" ht="15.75" customHeight="1">
      <c r="B661" s="2"/>
      <c r="C661" s="2"/>
      <c r="E661" s="2"/>
      <c r="G661" s="2"/>
      <c r="I661" s="2"/>
      <c r="N661" s="2"/>
      <c r="P661" s="2"/>
      <c r="Q661" s="2"/>
      <c r="R661" s="2"/>
      <c r="S661" s="2"/>
      <c r="T661" s="2"/>
      <c r="U661" s="2"/>
      <c r="V661" s="2"/>
      <c r="W661" s="2"/>
    </row>
    <row r="662" spans="2:23" ht="15.75" customHeight="1">
      <c r="B662" s="2"/>
      <c r="C662" s="2"/>
      <c r="E662" s="2"/>
      <c r="G662" s="2"/>
      <c r="I662" s="2"/>
      <c r="N662" s="2"/>
      <c r="P662" s="2"/>
      <c r="Q662" s="2"/>
      <c r="R662" s="2"/>
      <c r="S662" s="2"/>
      <c r="T662" s="2"/>
      <c r="U662" s="2"/>
      <c r="V662" s="2"/>
      <c r="W662" s="2"/>
    </row>
    <row r="663" spans="2:23" ht="15.75" customHeight="1">
      <c r="B663" s="2"/>
      <c r="C663" s="2"/>
      <c r="E663" s="2"/>
      <c r="G663" s="2"/>
      <c r="I663" s="2"/>
      <c r="N663" s="2"/>
      <c r="P663" s="2"/>
      <c r="Q663" s="2"/>
      <c r="R663" s="2"/>
      <c r="S663" s="2"/>
      <c r="T663" s="2"/>
      <c r="U663" s="2"/>
      <c r="V663" s="2"/>
      <c r="W663" s="2"/>
    </row>
    <row r="664" spans="2:23" ht="15.75" customHeight="1">
      <c r="B664" s="2"/>
      <c r="C664" s="2"/>
      <c r="E664" s="2"/>
      <c r="G664" s="2"/>
      <c r="I664" s="2"/>
      <c r="N664" s="2"/>
      <c r="P664" s="2"/>
      <c r="Q664" s="2"/>
      <c r="R664" s="2"/>
      <c r="S664" s="2"/>
      <c r="T664" s="2"/>
      <c r="U664" s="2"/>
      <c r="V664" s="2"/>
      <c r="W664" s="2"/>
    </row>
    <row r="665" spans="2:23" ht="15.75" customHeight="1">
      <c r="B665" s="2"/>
      <c r="C665" s="2"/>
      <c r="E665" s="2"/>
      <c r="G665" s="2"/>
      <c r="I665" s="2"/>
      <c r="N665" s="2"/>
      <c r="P665" s="2"/>
      <c r="Q665" s="2"/>
      <c r="R665" s="2"/>
      <c r="S665" s="2"/>
      <c r="T665" s="2"/>
      <c r="U665" s="2"/>
      <c r="V665" s="2"/>
      <c r="W665" s="2"/>
    </row>
    <row r="666" spans="2:23" ht="15.75" customHeight="1">
      <c r="B666" s="2"/>
      <c r="C666" s="2"/>
      <c r="E666" s="2"/>
      <c r="G666" s="2"/>
      <c r="I666" s="2"/>
      <c r="N666" s="2"/>
      <c r="P666" s="2"/>
      <c r="Q666" s="2"/>
      <c r="R666" s="2"/>
      <c r="S666" s="2"/>
      <c r="T666" s="2"/>
      <c r="U666" s="2"/>
      <c r="V666" s="2"/>
      <c r="W666" s="2"/>
    </row>
    <row r="667" spans="2:23" ht="15.75" customHeight="1">
      <c r="B667" s="2"/>
      <c r="C667" s="2"/>
      <c r="E667" s="2"/>
      <c r="G667" s="2"/>
      <c r="I667" s="2"/>
      <c r="N667" s="2"/>
      <c r="P667" s="2"/>
      <c r="Q667" s="2"/>
      <c r="R667" s="2"/>
      <c r="S667" s="2"/>
      <c r="T667" s="2"/>
      <c r="U667" s="2"/>
      <c r="V667" s="2"/>
      <c r="W667" s="2"/>
    </row>
    <row r="668" spans="2:23" ht="15.75" customHeight="1">
      <c r="B668" s="2"/>
      <c r="C668" s="2"/>
      <c r="E668" s="2"/>
      <c r="G668" s="2"/>
      <c r="I668" s="2"/>
      <c r="N668" s="2"/>
      <c r="P668" s="2"/>
      <c r="Q668" s="2"/>
      <c r="R668" s="2"/>
      <c r="S668" s="2"/>
      <c r="T668" s="2"/>
      <c r="U668" s="2"/>
      <c r="V668" s="2"/>
      <c r="W668" s="2"/>
    </row>
    <row r="669" spans="2:23" ht="15.75" customHeight="1">
      <c r="B669" s="2"/>
      <c r="C669" s="2"/>
      <c r="E669" s="2"/>
      <c r="G669" s="2"/>
      <c r="I669" s="2"/>
      <c r="N669" s="2"/>
      <c r="P669" s="2"/>
      <c r="Q669" s="2"/>
      <c r="R669" s="2"/>
      <c r="S669" s="2"/>
      <c r="T669" s="2"/>
      <c r="U669" s="2"/>
      <c r="V669" s="2"/>
      <c r="W669" s="2"/>
    </row>
    <row r="670" spans="2:23" ht="15.75" customHeight="1">
      <c r="B670" s="2"/>
      <c r="C670" s="2"/>
      <c r="E670" s="2"/>
      <c r="G670" s="2"/>
      <c r="I670" s="2"/>
      <c r="N670" s="2"/>
      <c r="P670" s="2"/>
      <c r="Q670" s="2"/>
      <c r="R670" s="2"/>
      <c r="S670" s="2"/>
      <c r="T670" s="2"/>
      <c r="U670" s="2"/>
      <c r="V670" s="2"/>
      <c r="W670" s="2"/>
    </row>
    <row r="671" spans="2:23" ht="15.75" customHeight="1">
      <c r="B671" s="2"/>
      <c r="C671" s="2"/>
      <c r="E671" s="2"/>
      <c r="G671" s="2"/>
      <c r="I671" s="2"/>
      <c r="N671" s="2"/>
      <c r="P671" s="2"/>
      <c r="Q671" s="2"/>
      <c r="R671" s="2"/>
      <c r="S671" s="2"/>
      <c r="T671" s="2"/>
      <c r="U671" s="2"/>
      <c r="V671" s="2"/>
      <c r="W671" s="2"/>
    </row>
    <row r="672" spans="2:23" ht="15.75" customHeight="1">
      <c r="B672" s="2"/>
      <c r="C672" s="2"/>
      <c r="E672" s="2"/>
      <c r="G672" s="2"/>
      <c r="I672" s="2"/>
      <c r="N672" s="2"/>
      <c r="P672" s="2"/>
      <c r="Q672" s="2"/>
      <c r="R672" s="2"/>
      <c r="S672" s="2"/>
      <c r="T672" s="2"/>
      <c r="U672" s="2"/>
      <c r="V672" s="2"/>
      <c r="W672" s="2"/>
    </row>
    <row r="673" spans="2:23" ht="15.75" customHeight="1">
      <c r="B673" s="2"/>
      <c r="C673" s="2"/>
      <c r="E673" s="2"/>
      <c r="G673" s="2"/>
      <c r="I673" s="2"/>
      <c r="N673" s="2"/>
      <c r="P673" s="2"/>
      <c r="Q673" s="2"/>
      <c r="R673" s="2"/>
      <c r="S673" s="2"/>
      <c r="T673" s="2"/>
      <c r="U673" s="2"/>
      <c r="V673" s="2"/>
      <c r="W673" s="2"/>
    </row>
    <row r="674" spans="2:23" ht="15.75" customHeight="1">
      <c r="B674" s="2"/>
      <c r="C674" s="2"/>
      <c r="E674" s="2"/>
      <c r="G674" s="2"/>
      <c r="I674" s="2"/>
      <c r="N674" s="2"/>
      <c r="P674" s="2"/>
      <c r="Q674" s="2"/>
      <c r="R674" s="2"/>
      <c r="S674" s="2"/>
      <c r="T674" s="2"/>
      <c r="U674" s="2"/>
      <c r="V674" s="2"/>
      <c r="W674" s="2"/>
    </row>
    <row r="675" spans="2:23" ht="15.75" customHeight="1">
      <c r="B675" s="2"/>
      <c r="C675" s="2"/>
      <c r="E675" s="2"/>
      <c r="G675" s="2"/>
      <c r="I675" s="2"/>
      <c r="N675" s="2"/>
      <c r="P675" s="2"/>
      <c r="Q675" s="2"/>
      <c r="R675" s="2"/>
      <c r="S675" s="2"/>
      <c r="T675" s="2"/>
      <c r="U675" s="2"/>
      <c r="V675" s="2"/>
      <c r="W675" s="2"/>
    </row>
    <row r="676" spans="2:23" ht="15.75" customHeight="1">
      <c r="B676" s="2"/>
      <c r="C676" s="2"/>
      <c r="E676" s="2"/>
      <c r="G676" s="2"/>
      <c r="I676" s="2"/>
      <c r="N676" s="2"/>
      <c r="P676" s="2"/>
      <c r="Q676" s="2"/>
      <c r="R676" s="2"/>
      <c r="S676" s="2"/>
      <c r="T676" s="2"/>
      <c r="U676" s="2"/>
      <c r="V676" s="2"/>
      <c r="W676" s="2"/>
    </row>
    <row r="677" spans="2:23" ht="15.75" customHeight="1">
      <c r="B677" s="2"/>
      <c r="C677" s="2"/>
      <c r="E677" s="2"/>
      <c r="G677" s="2"/>
      <c r="I677" s="2"/>
      <c r="N677" s="2"/>
      <c r="P677" s="2"/>
      <c r="Q677" s="2"/>
      <c r="R677" s="2"/>
      <c r="S677" s="2"/>
      <c r="T677" s="2"/>
      <c r="U677" s="2"/>
      <c r="V677" s="2"/>
      <c r="W677" s="2"/>
    </row>
    <row r="678" spans="2:23" ht="15.75" customHeight="1">
      <c r="B678" s="2"/>
      <c r="C678" s="2"/>
      <c r="E678" s="2"/>
      <c r="G678" s="2"/>
      <c r="I678" s="2"/>
      <c r="N678" s="2"/>
      <c r="P678" s="2"/>
      <c r="Q678" s="2"/>
      <c r="R678" s="2"/>
      <c r="S678" s="2"/>
      <c r="T678" s="2"/>
      <c r="U678" s="2"/>
      <c r="V678" s="2"/>
      <c r="W678" s="2"/>
    </row>
    <row r="679" spans="2:23" ht="15.75" customHeight="1">
      <c r="B679" s="2"/>
      <c r="C679" s="2"/>
      <c r="E679" s="2"/>
      <c r="G679" s="2"/>
      <c r="I679" s="2"/>
      <c r="N679" s="2"/>
      <c r="P679" s="2"/>
      <c r="Q679" s="2"/>
      <c r="R679" s="2"/>
      <c r="S679" s="2"/>
      <c r="T679" s="2"/>
      <c r="U679" s="2"/>
      <c r="V679" s="2"/>
      <c r="W679" s="2"/>
    </row>
    <row r="680" spans="2:23" ht="15.75" customHeight="1">
      <c r="B680" s="2"/>
      <c r="C680" s="2"/>
      <c r="E680" s="2"/>
      <c r="G680" s="2"/>
      <c r="I680" s="2"/>
      <c r="N680" s="2"/>
      <c r="P680" s="2"/>
      <c r="Q680" s="2"/>
      <c r="R680" s="2"/>
      <c r="S680" s="2"/>
      <c r="T680" s="2"/>
      <c r="U680" s="2"/>
      <c r="V680" s="2"/>
      <c r="W680" s="2"/>
    </row>
    <row r="681" spans="2:23" ht="15.75" customHeight="1">
      <c r="B681" s="2"/>
      <c r="C681" s="2"/>
      <c r="E681" s="2"/>
      <c r="G681" s="2"/>
      <c r="I681" s="2"/>
      <c r="N681" s="2"/>
      <c r="P681" s="2"/>
      <c r="Q681" s="2"/>
      <c r="R681" s="2"/>
      <c r="S681" s="2"/>
      <c r="T681" s="2"/>
      <c r="U681" s="2"/>
      <c r="V681" s="2"/>
      <c r="W681" s="2"/>
    </row>
    <row r="682" spans="2:23" ht="15.75" customHeight="1">
      <c r="B682" s="2"/>
      <c r="C682" s="2"/>
      <c r="E682" s="2"/>
      <c r="G682" s="2"/>
      <c r="I682" s="2"/>
      <c r="N682" s="2"/>
      <c r="P682" s="2"/>
      <c r="Q682" s="2"/>
      <c r="R682" s="2"/>
      <c r="S682" s="2"/>
      <c r="T682" s="2"/>
      <c r="U682" s="2"/>
      <c r="V682" s="2"/>
      <c r="W682" s="2"/>
    </row>
    <row r="683" spans="2:23" ht="15.75" customHeight="1">
      <c r="B683" s="2"/>
      <c r="C683" s="2"/>
      <c r="E683" s="2"/>
      <c r="G683" s="2"/>
      <c r="I683" s="2"/>
      <c r="N683" s="2"/>
      <c r="P683" s="2"/>
      <c r="Q683" s="2"/>
      <c r="R683" s="2"/>
      <c r="S683" s="2"/>
      <c r="T683" s="2"/>
      <c r="U683" s="2"/>
      <c r="V683" s="2"/>
      <c r="W683" s="2"/>
    </row>
    <row r="684" spans="2:23" ht="15.75" customHeight="1">
      <c r="B684" s="2"/>
      <c r="C684" s="2"/>
      <c r="E684" s="2"/>
      <c r="G684" s="2"/>
      <c r="I684" s="2"/>
      <c r="N684" s="2"/>
      <c r="P684" s="2"/>
      <c r="Q684" s="2"/>
      <c r="R684" s="2"/>
      <c r="S684" s="2"/>
      <c r="T684" s="2"/>
      <c r="U684" s="2"/>
      <c r="V684" s="2"/>
      <c r="W684" s="2"/>
    </row>
    <row r="685" spans="2:23" ht="15.75" customHeight="1">
      <c r="B685" s="2"/>
      <c r="C685" s="2"/>
      <c r="E685" s="2"/>
      <c r="G685" s="2"/>
      <c r="I685" s="2"/>
      <c r="N685" s="2"/>
      <c r="P685" s="2"/>
      <c r="Q685" s="2"/>
      <c r="R685" s="2"/>
      <c r="S685" s="2"/>
      <c r="T685" s="2"/>
      <c r="U685" s="2"/>
      <c r="V685" s="2"/>
      <c r="W685" s="2"/>
    </row>
    <row r="686" spans="2:23" ht="15.75" customHeight="1">
      <c r="B686" s="2"/>
      <c r="C686" s="2"/>
      <c r="E686" s="2"/>
      <c r="G686" s="2"/>
      <c r="I686" s="2"/>
      <c r="N686" s="2"/>
      <c r="P686" s="2"/>
      <c r="Q686" s="2"/>
      <c r="R686" s="2"/>
      <c r="S686" s="2"/>
      <c r="T686" s="2"/>
      <c r="U686" s="2"/>
      <c r="V686" s="2"/>
      <c r="W686" s="2"/>
    </row>
    <row r="687" spans="2:23" ht="15.75" customHeight="1">
      <c r="B687" s="2"/>
      <c r="C687" s="2"/>
      <c r="E687" s="2"/>
      <c r="G687" s="2"/>
      <c r="I687" s="2"/>
      <c r="N687" s="2"/>
      <c r="P687" s="2"/>
      <c r="Q687" s="2"/>
      <c r="R687" s="2"/>
      <c r="S687" s="2"/>
      <c r="T687" s="2"/>
      <c r="U687" s="2"/>
      <c r="V687" s="2"/>
      <c r="W687" s="2"/>
    </row>
    <row r="688" spans="2:23" ht="15.75" customHeight="1">
      <c r="B688" s="2"/>
      <c r="C688" s="2"/>
      <c r="E688" s="2"/>
      <c r="G688" s="2"/>
      <c r="I688" s="2"/>
      <c r="N688" s="2"/>
      <c r="P688" s="2"/>
      <c r="Q688" s="2"/>
      <c r="R688" s="2"/>
      <c r="S688" s="2"/>
      <c r="T688" s="2"/>
      <c r="U688" s="2"/>
      <c r="V688" s="2"/>
      <c r="W688" s="2"/>
    </row>
    <row r="689" spans="2:23" ht="15.75" customHeight="1">
      <c r="B689" s="2"/>
      <c r="C689" s="2"/>
      <c r="E689" s="2"/>
      <c r="G689" s="2"/>
      <c r="I689" s="2"/>
      <c r="N689" s="2"/>
      <c r="P689" s="2"/>
      <c r="Q689" s="2"/>
      <c r="R689" s="2"/>
      <c r="S689" s="2"/>
      <c r="T689" s="2"/>
      <c r="U689" s="2"/>
      <c r="V689" s="2"/>
      <c r="W689" s="2"/>
    </row>
    <row r="690" spans="2:23" ht="15.75" customHeight="1">
      <c r="B690" s="2"/>
      <c r="C690" s="2"/>
      <c r="E690" s="2"/>
      <c r="G690" s="2"/>
      <c r="I690" s="2"/>
      <c r="N690" s="2"/>
      <c r="P690" s="2"/>
      <c r="Q690" s="2"/>
      <c r="R690" s="2"/>
      <c r="S690" s="2"/>
      <c r="T690" s="2"/>
      <c r="U690" s="2"/>
      <c r="V690" s="2"/>
      <c r="W690" s="2"/>
    </row>
    <row r="691" spans="2:23" ht="15.75" customHeight="1">
      <c r="B691" s="2"/>
      <c r="C691" s="2"/>
      <c r="E691" s="2"/>
      <c r="G691" s="2"/>
      <c r="I691" s="2"/>
      <c r="N691" s="2"/>
      <c r="P691" s="2"/>
      <c r="Q691" s="2"/>
      <c r="R691" s="2"/>
      <c r="S691" s="2"/>
      <c r="T691" s="2"/>
      <c r="U691" s="2"/>
      <c r="V691" s="2"/>
      <c r="W691" s="2"/>
    </row>
    <row r="692" spans="2:23" ht="15.75" customHeight="1">
      <c r="B692" s="2"/>
      <c r="C692" s="2"/>
      <c r="E692" s="2"/>
      <c r="G692" s="2"/>
      <c r="I692" s="2"/>
      <c r="N692" s="2"/>
      <c r="P692" s="2"/>
      <c r="Q692" s="2"/>
      <c r="R692" s="2"/>
      <c r="S692" s="2"/>
      <c r="T692" s="2"/>
      <c r="U692" s="2"/>
      <c r="V692" s="2"/>
      <c r="W692" s="2"/>
    </row>
    <row r="693" spans="2:23" ht="15.75" customHeight="1">
      <c r="B693" s="2"/>
      <c r="C693" s="2"/>
      <c r="E693" s="2"/>
      <c r="G693" s="2"/>
      <c r="I693" s="2"/>
      <c r="N693" s="2"/>
      <c r="P693" s="2"/>
      <c r="Q693" s="2"/>
      <c r="R693" s="2"/>
      <c r="S693" s="2"/>
      <c r="T693" s="2"/>
      <c r="U693" s="2"/>
      <c r="V693" s="2"/>
      <c r="W693" s="2"/>
    </row>
    <row r="694" spans="2:23" ht="15.75" customHeight="1">
      <c r="B694" s="2"/>
      <c r="C694" s="2"/>
      <c r="E694" s="2"/>
      <c r="G694" s="2"/>
      <c r="I694" s="2"/>
      <c r="N694" s="2"/>
      <c r="P694" s="2"/>
      <c r="Q694" s="2"/>
      <c r="R694" s="2"/>
      <c r="S694" s="2"/>
      <c r="T694" s="2"/>
      <c r="U694" s="2"/>
      <c r="V694" s="2"/>
      <c r="W694" s="2"/>
    </row>
    <row r="695" spans="2:23" ht="15.75" customHeight="1">
      <c r="B695" s="2"/>
      <c r="C695" s="2"/>
      <c r="E695" s="2"/>
      <c r="G695" s="2"/>
      <c r="I695" s="2"/>
      <c r="N695" s="2"/>
      <c r="P695" s="2"/>
      <c r="Q695" s="2"/>
      <c r="R695" s="2"/>
      <c r="S695" s="2"/>
      <c r="T695" s="2"/>
      <c r="U695" s="2"/>
      <c r="V695" s="2"/>
      <c r="W695" s="2"/>
    </row>
    <row r="696" spans="2:23" ht="15.75" customHeight="1">
      <c r="B696" s="2"/>
      <c r="C696" s="2"/>
      <c r="E696" s="2"/>
      <c r="G696" s="2"/>
      <c r="I696" s="2"/>
      <c r="N696" s="2"/>
      <c r="P696" s="2"/>
      <c r="Q696" s="2"/>
      <c r="R696" s="2"/>
      <c r="S696" s="2"/>
      <c r="T696" s="2"/>
      <c r="U696" s="2"/>
      <c r="V696" s="2"/>
      <c r="W696" s="2"/>
    </row>
    <row r="697" spans="2:23" ht="15.75" customHeight="1">
      <c r="B697" s="2"/>
      <c r="C697" s="2"/>
      <c r="E697" s="2"/>
      <c r="G697" s="2"/>
      <c r="I697" s="2"/>
      <c r="N697" s="2"/>
      <c r="P697" s="2"/>
      <c r="Q697" s="2"/>
      <c r="R697" s="2"/>
      <c r="S697" s="2"/>
      <c r="T697" s="2"/>
      <c r="U697" s="2"/>
      <c r="V697" s="2"/>
      <c r="W697" s="2"/>
    </row>
    <row r="698" spans="2:23" ht="15.75" customHeight="1">
      <c r="B698" s="2"/>
      <c r="C698" s="2"/>
      <c r="E698" s="2"/>
      <c r="G698" s="2"/>
      <c r="I698" s="2"/>
      <c r="N698" s="2"/>
      <c r="P698" s="2"/>
      <c r="Q698" s="2"/>
      <c r="R698" s="2"/>
      <c r="S698" s="2"/>
      <c r="T698" s="2"/>
      <c r="U698" s="2"/>
      <c r="V698" s="2"/>
      <c r="W698" s="2"/>
    </row>
    <row r="699" spans="2:23" ht="15.75" customHeight="1">
      <c r="B699" s="2"/>
      <c r="C699" s="2"/>
      <c r="E699" s="2"/>
      <c r="G699" s="2"/>
      <c r="I699" s="2"/>
      <c r="N699" s="2"/>
      <c r="P699" s="2"/>
      <c r="Q699" s="2"/>
      <c r="R699" s="2"/>
      <c r="S699" s="2"/>
      <c r="T699" s="2"/>
      <c r="U699" s="2"/>
      <c r="V699" s="2"/>
      <c r="W699" s="2"/>
    </row>
    <row r="700" spans="2:23" ht="15.75" customHeight="1">
      <c r="B700" s="2"/>
      <c r="C700" s="2"/>
      <c r="E700" s="2"/>
      <c r="G700" s="2"/>
      <c r="I700" s="2"/>
      <c r="N700" s="2"/>
      <c r="P700" s="2"/>
      <c r="Q700" s="2"/>
      <c r="R700" s="2"/>
      <c r="S700" s="2"/>
      <c r="T700" s="2"/>
      <c r="U700" s="2"/>
      <c r="V700" s="2"/>
      <c r="W700" s="2"/>
    </row>
    <row r="701" spans="2:23" ht="15.75" customHeight="1">
      <c r="B701" s="2"/>
      <c r="C701" s="2"/>
      <c r="E701" s="2"/>
      <c r="G701" s="2"/>
      <c r="I701" s="2"/>
      <c r="N701" s="2"/>
      <c r="P701" s="2"/>
      <c r="Q701" s="2"/>
      <c r="R701" s="2"/>
      <c r="S701" s="2"/>
      <c r="T701" s="2"/>
      <c r="U701" s="2"/>
      <c r="V701" s="2"/>
      <c r="W701" s="2"/>
    </row>
    <row r="702" spans="2:23" ht="15.75" customHeight="1">
      <c r="B702" s="2"/>
      <c r="C702" s="2"/>
      <c r="E702" s="2"/>
      <c r="G702" s="2"/>
      <c r="I702" s="2"/>
      <c r="N702" s="2"/>
      <c r="P702" s="2"/>
      <c r="Q702" s="2"/>
      <c r="R702" s="2"/>
      <c r="S702" s="2"/>
      <c r="T702" s="2"/>
      <c r="U702" s="2"/>
      <c r="V702" s="2"/>
      <c r="W702" s="2"/>
    </row>
    <row r="703" spans="2:23" ht="15.75" customHeight="1">
      <c r="B703" s="2"/>
      <c r="C703" s="2"/>
      <c r="E703" s="2"/>
      <c r="G703" s="2"/>
      <c r="I703" s="2"/>
      <c r="N703" s="2"/>
      <c r="P703" s="2"/>
      <c r="Q703" s="2"/>
      <c r="R703" s="2"/>
      <c r="S703" s="2"/>
      <c r="T703" s="2"/>
      <c r="U703" s="2"/>
      <c r="V703" s="2"/>
      <c r="W703" s="2"/>
    </row>
    <row r="704" spans="2:23" ht="15.75" customHeight="1">
      <c r="B704" s="2"/>
      <c r="C704" s="2"/>
      <c r="E704" s="2"/>
      <c r="G704" s="2"/>
      <c r="I704" s="2"/>
      <c r="N704" s="2"/>
      <c r="P704" s="2"/>
      <c r="Q704" s="2"/>
      <c r="R704" s="2"/>
      <c r="S704" s="2"/>
      <c r="T704" s="2"/>
      <c r="U704" s="2"/>
      <c r="V704" s="2"/>
      <c r="W704" s="2"/>
    </row>
    <row r="705" spans="2:23" ht="15.75" customHeight="1">
      <c r="B705" s="2"/>
      <c r="C705" s="2"/>
      <c r="E705" s="2"/>
      <c r="G705" s="2"/>
      <c r="I705" s="2"/>
      <c r="N705" s="2"/>
      <c r="P705" s="2"/>
      <c r="Q705" s="2"/>
      <c r="R705" s="2"/>
      <c r="S705" s="2"/>
      <c r="T705" s="2"/>
      <c r="U705" s="2"/>
      <c r="V705" s="2"/>
      <c r="W705" s="2"/>
    </row>
    <row r="706" spans="2:23" ht="15.75" customHeight="1">
      <c r="B706" s="2"/>
      <c r="C706" s="2"/>
      <c r="E706" s="2"/>
      <c r="G706" s="2"/>
      <c r="I706" s="2"/>
      <c r="N706" s="2"/>
      <c r="P706" s="2"/>
      <c r="Q706" s="2"/>
      <c r="R706" s="2"/>
      <c r="S706" s="2"/>
      <c r="T706" s="2"/>
      <c r="U706" s="2"/>
      <c r="V706" s="2"/>
      <c r="W706" s="2"/>
    </row>
    <row r="707" spans="2:23" ht="15.75" customHeight="1">
      <c r="B707" s="2"/>
      <c r="C707" s="2"/>
      <c r="E707" s="2"/>
      <c r="G707" s="2"/>
      <c r="I707" s="2"/>
      <c r="N707" s="2"/>
      <c r="P707" s="2"/>
      <c r="Q707" s="2"/>
      <c r="R707" s="2"/>
      <c r="S707" s="2"/>
      <c r="T707" s="2"/>
      <c r="U707" s="2"/>
      <c r="V707" s="2"/>
      <c r="W707" s="2"/>
    </row>
    <row r="708" spans="2:23" ht="15.75" customHeight="1">
      <c r="B708" s="2"/>
      <c r="C708" s="2"/>
      <c r="E708" s="2"/>
      <c r="G708" s="2"/>
      <c r="I708" s="2"/>
      <c r="N708" s="2"/>
      <c r="P708" s="2"/>
      <c r="Q708" s="2"/>
      <c r="R708" s="2"/>
      <c r="S708" s="2"/>
      <c r="T708" s="2"/>
      <c r="U708" s="2"/>
      <c r="V708" s="2"/>
      <c r="W708" s="2"/>
    </row>
    <row r="709" spans="2:23" ht="15.75" customHeight="1">
      <c r="B709" s="2"/>
      <c r="C709" s="2"/>
      <c r="E709" s="2"/>
      <c r="G709" s="2"/>
      <c r="I709" s="2"/>
      <c r="N709" s="2"/>
      <c r="P709" s="2"/>
      <c r="Q709" s="2"/>
      <c r="R709" s="2"/>
      <c r="S709" s="2"/>
      <c r="T709" s="2"/>
      <c r="U709" s="2"/>
      <c r="V709" s="2"/>
      <c r="W709" s="2"/>
    </row>
    <row r="710" spans="2:23" ht="15.75" customHeight="1">
      <c r="B710" s="2"/>
      <c r="C710" s="2"/>
      <c r="E710" s="2"/>
      <c r="G710" s="2"/>
      <c r="I710" s="2"/>
      <c r="N710" s="2"/>
      <c r="P710" s="2"/>
      <c r="Q710" s="2"/>
      <c r="R710" s="2"/>
      <c r="S710" s="2"/>
      <c r="T710" s="2"/>
      <c r="U710" s="2"/>
      <c r="V710" s="2"/>
      <c r="W710" s="2"/>
    </row>
    <row r="711" spans="2:23" ht="15.75" customHeight="1">
      <c r="B711" s="2"/>
      <c r="C711" s="2"/>
      <c r="E711" s="2"/>
      <c r="G711" s="2"/>
      <c r="I711" s="2"/>
      <c r="N711" s="2"/>
      <c r="P711" s="2"/>
      <c r="Q711" s="2"/>
      <c r="R711" s="2"/>
      <c r="S711" s="2"/>
      <c r="T711" s="2"/>
      <c r="U711" s="2"/>
      <c r="V711" s="2"/>
      <c r="W711" s="2"/>
    </row>
    <row r="712" spans="2:23" ht="15.75" customHeight="1">
      <c r="B712" s="2"/>
      <c r="C712" s="2"/>
      <c r="E712" s="2"/>
      <c r="G712" s="2"/>
      <c r="I712" s="2"/>
      <c r="N712" s="2"/>
      <c r="P712" s="2"/>
      <c r="Q712" s="2"/>
      <c r="R712" s="2"/>
      <c r="S712" s="2"/>
      <c r="T712" s="2"/>
      <c r="U712" s="2"/>
      <c r="V712" s="2"/>
      <c r="W712" s="2"/>
    </row>
    <row r="713" spans="2:23" ht="15.75" customHeight="1">
      <c r="B713" s="2"/>
      <c r="C713" s="2"/>
      <c r="E713" s="2"/>
      <c r="G713" s="2"/>
      <c r="I713" s="2"/>
      <c r="N713" s="2"/>
      <c r="P713" s="2"/>
      <c r="Q713" s="2"/>
      <c r="R713" s="2"/>
      <c r="S713" s="2"/>
      <c r="T713" s="2"/>
      <c r="U713" s="2"/>
      <c r="V713" s="2"/>
      <c r="W713" s="2"/>
    </row>
    <row r="714" spans="2:23" ht="15.75" customHeight="1">
      <c r="B714" s="2"/>
      <c r="C714" s="2"/>
      <c r="E714" s="2"/>
      <c r="G714" s="2"/>
      <c r="I714" s="2"/>
      <c r="N714" s="2"/>
      <c r="P714" s="2"/>
      <c r="Q714" s="2"/>
      <c r="R714" s="2"/>
      <c r="S714" s="2"/>
      <c r="T714" s="2"/>
      <c r="U714" s="2"/>
      <c r="V714" s="2"/>
      <c r="W714" s="2"/>
    </row>
    <row r="715" spans="2:23" ht="15.75" customHeight="1">
      <c r="B715" s="2"/>
      <c r="C715" s="2"/>
      <c r="E715" s="2"/>
      <c r="G715" s="2"/>
      <c r="I715" s="2"/>
      <c r="N715" s="2"/>
      <c r="P715" s="2"/>
      <c r="Q715" s="2"/>
      <c r="R715" s="2"/>
      <c r="S715" s="2"/>
      <c r="T715" s="2"/>
      <c r="U715" s="2"/>
      <c r="V715" s="2"/>
      <c r="W715" s="2"/>
    </row>
    <row r="716" spans="2:23" ht="15.75" customHeight="1">
      <c r="B716" s="2"/>
      <c r="C716" s="2"/>
      <c r="E716" s="2"/>
      <c r="G716" s="2"/>
      <c r="I716" s="2"/>
      <c r="N716" s="2"/>
      <c r="P716" s="2"/>
      <c r="Q716" s="2"/>
      <c r="R716" s="2"/>
      <c r="S716" s="2"/>
      <c r="T716" s="2"/>
      <c r="U716" s="2"/>
      <c r="V716" s="2"/>
      <c r="W716" s="2"/>
    </row>
    <row r="717" spans="2:23" ht="15.75" customHeight="1">
      <c r="B717" s="2"/>
      <c r="C717" s="2"/>
      <c r="E717" s="2"/>
      <c r="G717" s="2"/>
      <c r="I717" s="2"/>
      <c r="N717" s="2"/>
      <c r="P717" s="2"/>
      <c r="Q717" s="2"/>
      <c r="R717" s="2"/>
      <c r="S717" s="2"/>
      <c r="T717" s="2"/>
      <c r="U717" s="2"/>
      <c r="V717" s="2"/>
      <c r="W717" s="2"/>
    </row>
    <row r="718" spans="2:23" ht="15.75" customHeight="1">
      <c r="B718" s="2"/>
      <c r="C718" s="2"/>
      <c r="E718" s="2"/>
      <c r="G718" s="2"/>
      <c r="I718" s="2"/>
      <c r="N718" s="2"/>
      <c r="P718" s="2"/>
      <c r="Q718" s="2"/>
      <c r="R718" s="2"/>
      <c r="S718" s="2"/>
      <c r="T718" s="2"/>
      <c r="U718" s="2"/>
      <c r="V718" s="2"/>
      <c r="W718" s="2"/>
    </row>
    <row r="719" spans="2:23" ht="15.75" customHeight="1">
      <c r="B719" s="2"/>
      <c r="C719" s="2"/>
      <c r="E719" s="2"/>
      <c r="G719" s="2"/>
      <c r="I719" s="2"/>
      <c r="N719" s="2"/>
      <c r="P719" s="2"/>
      <c r="Q719" s="2"/>
      <c r="R719" s="2"/>
      <c r="S719" s="2"/>
      <c r="T719" s="2"/>
      <c r="U719" s="2"/>
      <c r="V719" s="2"/>
      <c r="W719" s="2"/>
    </row>
    <row r="720" spans="2:23" ht="15.75" customHeight="1">
      <c r="B720" s="2"/>
      <c r="C720" s="2"/>
      <c r="E720" s="2"/>
      <c r="G720" s="2"/>
      <c r="I720" s="2"/>
      <c r="N720" s="2"/>
      <c r="P720" s="2"/>
      <c r="Q720" s="2"/>
      <c r="R720" s="2"/>
      <c r="S720" s="2"/>
      <c r="T720" s="2"/>
      <c r="U720" s="2"/>
      <c r="V720" s="2"/>
      <c r="W720" s="2"/>
    </row>
    <row r="721" spans="2:23" ht="15.75" customHeight="1">
      <c r="B721" s="2"/>
      <c r="C721" s="2"/>
      <c r="E721" s="2"/>
      <c r="G721" s="2"/>
      <c r="I721" s="2"/>
      <c r="N721" s="2"/>
      <c r="P721" s="2"/>
      <c r="Q721" s="2"/>
      <c r="R721" s="2"/>
      <c r="S721" s="2"/>
      <c r="T721" s="2"/>
      <c r="U721" s="2"/>
      <c r="V721" s="2"/>
      <c r="W721" s="2"/>
    </row>
    <row r="722" spans="2:23" ht="15.75" customHeight="1">
      <c r="B722" s="2"/>
      <c r="C722" s="2"/>
      <c r="E722" s="2"/>
      <c r="G722" s="2"/>
      <c r="I722" s="2"/>
      <c r="N722" s="2"/>
      <c r="P722" s="2"/>
      <c r="Q722" s="2"/>
      <c r="R722" s="2"/>
      <c r="S722" s="2"/>
      <c r="T722" s="2"/>
      <c r="U722" s="2"/>
      <c r="V722" s="2"/>
      <c r="W722" s="2"/>
    </row>
    <row r="723" spans="2:23" ht="15.75" customHeight="1">
      <c r="B723" s="2"/>
      <c r="C723" s="2"/>
      <c r="E723" s="2"/>
      <c r="G723" s="2"/>
      <c r="I723" s="2"/>
      <c r="N723" s="2"/>
      <c r="P723" s="2"/>
      <c r="Q723" s="2"/>
      <c r="R723" s="2"/>
      <c r="S723" s="2"/>
      <c r="T723" s="2"/>
      <c r="U723" s="2"/>
      <c r="V723" s="2"/>
      <c r="W723" s="2"/>
    </row>
    <row r="724" spans="2:23" ht="15.75" customHeight="1">
      <c r="B724" s="2"/>
      <c r="C724" s="2"/>
      <c r="E724" s="2"/>
      <c r="G724" s="2"/>
      <c r="I724" s="2"/>
      <c r="N724" s="2"/>
      <c r="P724" s="2"/>
      <c r="Q724" s="2"/>
      <c r="R724" s="2"/>
      <c r="S724" s="2"/>
      <c r="T724" s="2"/>
      <c r="U724" s="2"/>
      <c r="V724" s="2"/>
      <c r="W724" s="2"/>
    </row>
    <row r="725" spans="2:23" ht="15.75" customHeight="1">
      <c r="B725" s="2"/>
      <c r="C725" s="2"/>
      <c r="E725" s="2"/>
      <c r="G725" s="2"/>
      <c r="I725" s="2"/>
      <c r="N725" s="2"/>
      <c r="P725" s="2"/>
      <c r="Q725" s="2"/>
      <c r="R725" s="2"/>
      <c r="S725" s="2"/>
      <c r="T725" s="2"/>
      <c r="U725" s="2"/>
      <c r="V725" s="2"/>
      <c r="W725" s="2"/>
    </row>
    <row r="726" spans="2:23" ht="15.75" customHeight="1">
      <c r="B726" s="2"/>
      <c r="C726" s="2"/>
      <c r="E726" s="2"/>
      <c r="G726" s="2"/>
      <c r="I726" s="2"/>
      <c r="N726" s="2"/>
      <c r="P726" s="2"/>
      <c r="Q726" s="2"/>
      <c r="R726" s="2"/>
      <c r="S726" s="2"/>
      <c r="T726" s="2"/>
      <c r="U726" s="2"/>
      <c r="V726" s="2"/>
      <c r="W726" s="2"/>
    </row>
    <row r="727" spans="2:23" ht="15.75" customHeight="1">
      <c r="B727" s="2"/>
      <c r="C727" s="2"/>
      <c r="E727" s="2"/>
      <c r="G727" s="2"/>
      <c r="I727" s="2"/>
      <c r="N727" s="2"/>
      <c r="P727" s="2"/>
      <c r="Q727" s="2"/>
      <c r="R727" s="2"/>
      <c r="S727" s="2"/>
      <c r="T727" s="2"/>
      <c r="U727" s="2"/>
      <c r="V727" s="2"/>
      <c r="W727" s="2"/>
    </row>
    <row r="728" spans="2:23" ht="15.75" customHeight="1">
      <c r="B728" s="2"/>
      <c r="C728" s="2"/>
      <c r="E728" s="2"/>
      <c r="G728" s="2"/>
      <c r="I728" s="2"/>
      <c r="N728" s="2"/>
      <c r="P728" s="2"/>
      <c r="Q728" s="2"/>
      <c r="R728" s="2"/>
      <c r="S728" s="2"/>
      <c r="T728" s="2"/>
      <c r="U728" s="2"/>
      <c r="V728" s="2"/>
      <c r="W728" s="2"/>
    </row>
    <row r="729" spans="2:23" ht="15.75" customHeight="1">
      <c r="B729" s="2"/>
      <c r="C729" s="2"/>
      <c r="E729" s="2"/>
      <c r="G729" s="2"/>
      <c r="I729" s="2"/>
      <c r="N729" s="2"/>
      <c r="P729" s="2"/>
      <c r="Q729" s="2"/>
      <c r="R729" s="2"/>
      <c r="S729" s="2"/>
      <c r="T729" s="2"/>
      <c r="U729" s="2"/>
      <c r="V729" s="2"/>
      <c r="W729" s="2"/>
    </row>
    <row r="730" spans="2:23" ht="15.75" customHeight="1">
      <c r="B730" s="2"/>
      <c r="C730" s="2"/>
      <c r="E730" s="2"/>
      <c r="G730" s="2"/>
      <c r="I730" s="2"/>
      <c r="N730" s="2"/>
      <c r="P730" s="2"/>
      <c r="Q730" s="2"/>
      <c r="R730" s="2"/>
      <c r="S730" s="2"/>
      <c r="T730" s="2"/>
      <c r="U730" s="2"/>
      <c r="V730" s="2"/>
      <c r="W730" s="2"/>
    </row>
    <row r="731" spans="2:23" ht="15.75" customHeight="1">
      <c r="B731" s="2"/>
      <c r="C731" s="2"/>
      <c r="E731" s="2"/>
      <c r="G731" s="2"/>
      <c r="I731" s="2"/>
      <c r="N731" s="2"/>
      <c r="P731" s="2"/>
      <c r="Q731" s="2"/>
      <c r="R731" s="2"/>
      <c r="S731" s="2"/>
      <c r="T731" s="2"/>
      <c r="U731" s="2"/>
      <c r="V731" s="2"/>
      <c r="W731" s="2"/>
    </row>
    <row r="732" spans="2:23" ht="15.75" customHeight="1">
      <c r="B732" s="2"/>
      <c r="C732" s="2"/>
      <c r="E732" s="2"/>
      <c r="G732" s="2"/>
      <c r="I732" s="2"/>
      <c r="N732" s="2"/>
      <c r="P732" s="2"/>
      <c r="Q732" s="2"/>
      <c r="R732" s="2"/>
      <c r="S732" s="2"/>
      <c r="T732" s="2"/>
      <c r="U732" s="2"/>
      <c r="V732" s="2"/>
      <c r="W732" s="2"/>
    </row>
    <row r="733" spans="2:23" ht="15.75" customHeight="1">
      <c r="B733" s="2"/>
      <c r="C733" s="2"/>
      <c r="E733" s="2"/>
      <c r="G733" s="2"/>
      <c r="I733" s="2"/>
      <c r="N733" s="2"/>
      <c r="P733" s="2"/>
      <c r="Q733" s="2"/>
      <c r="R733" s="2"/>
      <c r="S733" s="2"/>
      <c r="T733" s="2"/>
      <c r="U733" s="2"/>
      <c r="V733" s="2"/>
      <c r="W733" s="2"/>
    </row>
    <row r="734" spans="2:23" ht="15.75" customHeight="1">
      <c r="B734" s="2"/>
      <c r="C734" s="2"/>
      <c r="E734" s="2"/>
      <c r="G734" s="2"/>
      <c r="I734" s="2"/>
      <c r="N734" s="2"/>
      <c r="P734" s="2"/>
      <c r="Q734" s="2"/>
      <c r="R734" s="2"/>
      <c r="S734" s="2"/>
      <c r="T734" s="2"/>
      <c r="U734" s="2"/>
      <c r="V734" s="2"/>
      <c r="W734" s="2"/>
    </row>
    <row r="735" spans="2:23" ht="15.75" customHeight="1">
      <c r="B735" s="2"/>
      <c r="C735" s="2"/>
      <c r="E735" s="2"/>
      <c r="G735" s="2"/>
      <c r="I735" s="2"/>
      <c r="N735" s="2"/>
      <c r="P735" s="2"/>
      <c r="Q735" s="2"/>
      <c r="R735" s="2"/>
      <c r="S735" s="2"/>
      <c r="T735" s="2"/>
      <c r="U735" s="2"/>
      <c r="V735" s="2"/>
      <c r="W735" s="2"/>
    </row>
    <row r="736" spans="2:23" ht="15.75" customHeight="1">
      <c r="B736" s="2"/>
      <c r="C736" s="2"/>
      <c r="E736" s="2"/>
      <c r="G736" s="2"/>
      <c r="I736" s="2"/>
      <c r="N736" s="2"/>
      <c r="P736" s="2"/>
      <c r="Q736" s="2"/>
      <c r="R736" s="2"/>
      <c r="S736" s="2"/>
      <c r="T736" s="2"/>
      <c r="U736" s="2"/>
      <c r="V736" s="2"/>
      <c r="W736" s="2"/>
    </row>
    <row r="737" spans="2:23" ht="15.75" customHeight="1">
      <c r="B737" s="2"/>
      <c r="C737" s="2"/>
      <c r="E737" s="2"/>
      <c r="G737" s="2"/>
      <c r="I737" s="2"/>
      <c r="N737" s="2"/>
      <c r="P737" s="2"/>
      <c r="Q737" s="2"/>
      <c r="R737" s="2"/>
      <c r="S737" s="2"/>
      <c r="T737" s="2"/>
      <c r="U737" s="2"/>
      <c r="V737" s="2"/>
      <c r="W737" s="2"/>
    </row>
    <row r="738" spans="2:23" ht="15.75" customHeight="1">
      <c r="B738" s="2"/>
      <c r="C738" s="2"/>
      <c r="E738" s="2"/>
      <c r="G738" s="2"/>
      <c r="I738" s="2"/>
      <c r="N738" s="2"/>
      <c r="P738" s="2"/>
      <c r="Q738" s="2"/>
      <c r="R738" s="2"/>
      <c r="S738" s="2"/>
      <c r="T738" s="2"/>
      <c r="U738" s="2"/>
      <c r="V738" s="2"/>
      <c r="W738" s="2"/>
    </row>
    <row r="739" spans="2:23" ht="15.75" customHeight="1">
      <c r="B739" s="2"/>
      <c r="C739" s="2"/>
      <c r="E739" s="2"/>
      <c r="G739" s="2"/>
      <c r="I739" s="2"/>
      <c r="N739" s="2"/>
      <c r="P739" s="2"/>
      <c r="Q739" s="2"/>
      <c r="R739" s="2"/>
      <c r="S739" s="2"/>
      <c r="T739" s="2"/>
      <c r="U739" s="2"/>
      <c r="V739" s="2"/>
      <c r="W739" s="2"/>
    </row>
    <row r="740" spans="2:23" ht="15.75" customHeight="1">
      <c r="B740" s="2"/>
      <c r="C740" s="2"/>
      <c r="E740" s="2"/>
      <c r="G740" s="2"/>
      <c r="I740" s="2"/>
      <c r="N740" s="2"/>
      <c r="P740" s="2"/>
      <c r="Q740" s="2"/>
      <c r="R740" s="2"/>
      <c r="S740" s="2"/>
      <c r="T740" s="2"/>
      <c r="U740" s="2"/>
      <c r="V740" s="2"/>
      <c r="W740" s="2"/>
    </row>
    <row r="741" spans="2:23" ht="15.75" customHeight="1">
      <c r="B741" s="2"/>
      <c r="C741" s="2"/>
      <c r="E741" s="2"/>
      <c r="G741" s="2"/>
      <c r="I741" s="2"/>
      <c r="N741" s="2"/>
      <c r="P741" s="2"/>
      <c r="Q741" s="2"/>
      <c r="R741" s="2"/>
      <c r="S741" s="2"/>
      <c r="T741" s="2"/>
      <c r="U741" s="2"/>
      <c r="V741" s="2"/>
      <c r="W741" s="2"/>
    </row>
    <row r="742" spans="2:23" ht="15.75" customHeight="1">
      <c r="B742" s="2"/>
      <c r="C742" s="2"/>
      <c r="E742" s="2"/>
      <c r="G742" s="2"/>
      <c r="I742" s="2"/>
      <c r="N742" s="2"/>
      <c r="P742" s="2"/>
      <c r="Q742" s="2"/>
      <c r="R742" s="2"/>
      <c r="S742" s="2"/>
      <c r="T742" s="2"/>
      <c r="U742" s="2"/>
      <c r="V742" s="2"/>
      <c r="W742" s="2"/>
    </row>
    <row r="743" spans="2:23" ht="15.75" customHeight="1">
      <c r="B743" s="2"/>
      <c r="C743" s="2"/>
      <c r="E743" s="2"/>
      <c r="G743" s="2"/>
      <c r="I743" s="2"/>
      <c r="N743" s="2"/>
      <c r="P743" s="2"/>
      <c r="Q743" s="2"/>
      <c r="R743" s="2"/>
      <c r="S743" s="2"/>
      <c r="T743" s="2"/>
      <c r="U743" s="2"/>
      <c r="V743" s="2"/>
      <c r="W743" s="2"/>
    </row>
    <row r="744" spans="2:23" ht="15.75" customHeight="1">
      <c r="B744" s="2"/>
      <c r="C744" s="2"/>
      <c r="E744" s="2"/>
      <c r="G744" s="2"/>
      <c r="I744" s="2"/>
      <c r="N744" s="2"/>
      <c r="P744" s="2"/>
      <c r="Q744" s="2"/>
      <c r="R744" s="2"/>
      <c r="S744" s="2"/>
      <c r="T744" s="2"/>
      <c r="U744" s="2"/>
      <c r="V744" s="2"/>
      <c r="W744" s="2"/>
    </row>
    <row r="745" spans="2:23" ht="15.75" customHeight="1">
      <c r="B745" s="2"/>
      <c r="C745" s="2"/>
      <c r="E745" s="2"/>
      <c r="G745" s="2"/>
      <c r="I745" s="2"/>
      <c r="N745" s="2"/>
      <c r="P745" s="2"/>
      <c r="Q745" s="2"/>
      <c r="R745" s="2"/>
      <c r="S745" s="2"/>
      <c r="T745" s="2"/>
      <c r="U745" s="2"/>
      <c r="V745" s="2"/>
      <c r="W745" s="2"/>
    </row>
    <row r="746" spans="2:23" ht="15.75" customHeight="1">
      <c r="B746" s="2"/>
      <c r="C746" s="2"/>
      <c r="E746" s="2"/>
      <c r="G746" s="2"/>
      <c r="I746" s="2"/>
      <c r="N746" s="2"/>
      <c r="P746" s="2"/>
      <c r="Q746" s="2"/>
      <c r="R746" s="2"/>
      <c r="S746" s="2"/>
      <c r="T746" s="2"/>
      <c r="U746" s="2"/>
      <c r="V746" s="2"/>
      <c r="W746" s="2"/>
    </row>
    <row r="747" spans="2:23" ht="15.75" customHeight="1">
      <c r="B747" s="2"/>
      <c r="C747" s="2"/>
      <c r="E747" s="2"/>
      <c r="G747" s="2"/>
      <c r="I747" s="2"/>
      <c r="N747" s="2"/>
      <c r="P747" s="2"/>
      <c r="Q747" s="2"/>
      <c r="R747" s="2"/>
      <c r="S747" s="2"/>
      <c r="T747" s="2"/>
      <c r="U747" s="2"/>
      <c r="V747" s="2"/>
      <c r="W747" s="2"/>
    </row>
    <row r="748" spans="2:23" ht="15.75" customHeight="1">
      <c r="B748" s="2"/>
      <c r="C748" s="2"/>
      <c r="E748" s="2"/>
      <c r="G748" s="2"/>
      <c r="I748" s="2"/>
      <c r="N748" s="2"/>
      <c r="P748" s="2"/>
      <c r="Q748" s="2"/>
      <c r="R748" s="2"/>
      <c r="S748" s="2"/>
      <c r="T748" s="2"/>
      <c r="U748" s="2"/>
      <c r="V748" s="2"/>
      <c r="W748" s="2"/>
    </row>
    <row r="749" spans="2:23" ht="15.75" customHeight="1">
      <c r="B749" s="2"/>
      <c r="C749" s="2"/>
      <c r="E749" s="2"/>
      <c r="G749" s="2"/>
      <c r="I749" s="2"/>
      <c r="N749" s="2"/>
      <c r="P749" s="2"/>
      <c r="Q749" s="2"/>
      <c r="R749" s="2"/>
      <c r="S749" s="2"/>
      <c r="T749" s="2"/>
      <c r="U749" s="2"/>
      <c r="V749" s="2"/>
      <c r="W749" s="2"/>
    </row>
    <row r="750" spans="2:23" ht="15.75" customHeight="1">
      <c r="B750" s="2"/>
      <c r="C750" s="2"/>
      <c r="E750" s="2"/>
      <c r="G750" s="2"/>
      <c r="I750" s="2"/>
      <c r="N750" s="2"/>
      <c r="P750" s="2"/>
      <c r="Q750" s="2"/>
      <c r="R750" s="2"/>
      <c r="S750" s="2"/>
      <c r="T750" s="2"/>
      <c r="U750" s="2"/>
      <c r="V750" s="2"/>
      <c r="W750" s="2"/>
    </row>
    <row r="751" spans="2:23" ht="15.75" customHeight="1">
      <c r="B751" s="2"/>
      <c r="C751" s="2"/>
      <c r="E751" s="2"/>
      <c r="G751" s="2"/>
      <c r="I751" s="2"/>
      <c r="N751" s="2"/>
      <c r="P751" s="2"/>
      <c r="Q751" s="2"/>
      <c r="R751" s="2"/>
      <c r="S751" s="2"/>
      <c r="T751" s="2"/>
      <c r="U751" s="2"/>
      <c r="V751" s="2"/>
      <c r="W751" s="2"/>
    </row>
    <row r="752" spans="2:23" ht="15.75" customHeight="1">
      <c r="B752" s="2"/>
      <c r="C752" s="2"/>
      <c r="E752" s="2"/>
      <c r="G752" s="2"/>
      <c r="I752" s="2"/>
      <c r="N752" s="2"/>
      <c r="P752" s="2"/>
      <c r="Q752" s="2"/>
      <c r="R752" s="2"/>
      <c r="S752" s="2"/>
      <c r="T752" s="2"/>
      <c r="U752" s="2"/>
      <c r="V752" s="2"/>
      <c r="W752" s="2"/>
    </row>
    <row r="753" spans="2:23" ht="15.75" customHeight="1">
      <c r="B753" s="2"/>
      <c r="C753" s="2"/>
      <c r="E753" s="2"/>
      <c r="G753" s="2"/>
      <c r="I753" s="2"/>
      <c r="N753" s="2"/>
      <c r="P753" s="2"/>
      <c r="Q753" s="2"/>
      <c r="R753" s="2"/>
      <c r="S753" s="2"/>
      <c r="T753" s="2"/>
      <c r="U753" s="2"/>
      <c r="V753" s="2"/>
      <c r="W753" s="2"/>
    </row>
    <row r="754" spans="2:23" ht="15.75" customHeight="1">
      <c r="B754" s="2"/>
      <c r="C754" s="2"/>
      <c r="E754" s="2"/>
      <c r="G754" s="2"/>
      <c r="I754" s="2"/>
      <c r="N754" s="2"/>
      <c r="P754" s="2"/>
      <c r="Q754" s="2"/>
      <c r="R754" s="2"/>
      <c r="S754" s="2"/>
      <c r="T754" s="2"/>
      <c r="U754" s="2"/>
      <c r="V754" s="2"/>
      <c r="W754" s="2"/>
    </row>
    <row r="755" spans="2:23" ht="15.75" customHeight="1">
      <c r="B755" s="2"/>
      <c r="C755" s="2"/>
      <c r="E755" s="2"/>
      <c r="G755" s="2"/>
      <c r="I755" s="2"/>
      <c r="N755" s="2"/>
      <c r="P755" s="2"/>
      <c r="Q755" s="2"/>
      <c r="R755" s="2"/>
      <c r="S755" s="2"/>
      <c r="T755" s="2"/>
      <c r="U755" s="2"/>
      <c r="V755" s="2"/>
      <c r="W755" s="2"/>
    </row>
    <row r="756" spans="2:23" ht="15.75" customHeight="1">
      <c r="B756" s="2"/>
      <c r="C756" s="2"/>
      <c r="E756" s="2"/>
      <c r="G756" s="2"/>
      <c r="I756" s="2"/>
      <c r="N756" s="2"/>
      <c r="P756" s="2"/>
      <c r="Q756" s="2"/>
      <c r="R756" s="2"/>
      <c r="S756" s="2"/>
      <c r="T756" s="2"/>
      <c r="U756" s="2"/>
      <c r="V756" s="2"/>
      <c r="W756" s="2"/>
    </row>
    <row r="757" spans="2:23" ht="15.75" customHeight="1">
      <c r="B757" s="2"/>
      <c r="C757" s="2"/>
      <c r="E757" s="2"/>
      <c r="G757" s="2"/>
      <c r="I757" s="2"/>
      <c r="N757" s="2"/>
      <c r="P757" s="2"/>
      <c r="Q757" s="2"/>
      <c r="R757" s="2"/>
      <c r="S757" s="2"/>
      <c r="T757" s="2"/>
      <c r="U757" s="2"/>
      <c r="V757" s="2"/>
      <c r="W757" s="2"/>
    </row>
    <row r="758" spans="2:23" ht="15.75" customHeight="1">
      <c r="B758" s="2"/>
      <c r="C758" s="2"/>
      <c r="E758" s="2"/>
      <c r="G758" s="2"/>
      <c r="I758" s="2"/>
      <c r="N758" s="2"/>
      <c r="P758" s="2"/>
      <c r="Q758" s="2"/>
      <c r="R758" s="2"/>
      <c r="S758" s="2"/>
      <c r="T758" s="2"/>
      <c r="U758" s="2"/>
      <c r="V758" s="2"/>
      <c r="W758" s="2"/>
    </row>
    <row r="759" spans="2:23" ht="15.75" customHeight="1">
      <c r="B759" s="2"/>
      <c r="C759" s="2"/>
      <c r="E759" s="2"/>
      <c r="G759" s="2"/>
      <c r="I759" s="2"/>
      <c r="N759" s="2"/>
      <c r="P759" s="2"/>
      <c r="Q759" s="2"/>
      <c r="R759" s="2"/>
      <c r="S759" s="2"/>
      <c r="T759" s="2"/>
      <c r="U759" s="2"/>
      <c r="V759" s="2"/>
      <c r="W759" s="2"/>
    </row>
    <row r="760" spans="2:23" ht="15.75" customHeight="1">
      <c r="B760" s="2"/>
      <c r="C760" s="2"/>
      <c r="E760" s="2"/>
      <c r="G760" s="2"/>
      <c r="I760" s="2"/>
      <c r="N760" s="2"/>
      <c r="P760" s="2"/>
      <c r="Q760" s="2"/>
      <c r="R760" s="2"/>
      <c r="S760" s="2"/>
      <c r="T760" s="2"/>
      <c r="U760" s="2"/>
      <c r="V760" s="2"/>
      <c r="W760" s="2"/>
    </row>
    <row r="761" spans="2:23" ht="15.75" customHeight="1">
      <c r="B761" s="2"/>
      <c r="C761" s="2"/>
      <c r="E761" s="2"/>
      <c r="G761" s="2"/>
      <c r="I761" s="2"/>
      <c r="N761" s="2"/>
      <c r="P761" s="2"/>
      <c r="Q761" s="2"/>
      <c r="R761" s="2"/>
      <c r="S761" s="2"/>
      <c r="T761" s="2"/>
      <c r="U761" s="2"/>
      <c r="V761" s="2"/>
      <c r="W761" s="2"/>
    </row>
    <row r="762" spans="2:23" ht="15.75" customHeight="1">
      <c r="B762" s="2"/>
      <c r="C762" s="2"/>
      <c r="E762" s="2"/>
      <c r="G762" s="2"/>
      <c r="I762" s="2"/>
      <c r="N762" s="2"/>
      <c r="P762" s="2"/>
      <c r="Q762" s="2"/>
      <c r="R762" s="2"/>
      <c r="S762" s="2"/>
      <c r="T762" s="2"/>
      <c r="U762" s="2"/>
      <c r="V762" s="2"/>
      <c r="W762" s="2"/>
    </row>
    <row r="763" spans="2:23" ht="15.75" customHeight="1">
      <c r="B763" s="2"/>
      <c r="C763" s="2"/>
      <c r="E763" s="2"/>
      <c r="G763" s="2"/>
      <c r="I763" s="2"/>
      <c r="N763" s="2"/>
      <c r="P763" s="2"/>
      <c r="Q763" s="2"/>
      <c r="R763" s="2"/>
      <c r="S763" s="2"/>
      <c r="T763" s="2"/>
      <c r="U763" s="2"/>
      <c r="V763" s="2"/>
      <c r="W763" s="2"/>
    </row>
    <row r="764" spans="2:23" ht="15.75" customHeight="1">
      <c r="B764" s="2"/>
      <c r="C764" s="2"/>
      <c r="E764" s="2"/>
      <c r="G764" s="2"/>
      <c r="I764" s="2"/>
      <c r="N764" s="2"/>
      <c r="P764" s="2"/>
      <c r="Q764" s="2"/>
      <c r="R764" s="2"/>
      <c r="S764" s="2"/>
      <c r="T764" s="2"/>
      <c r="U764" s="2"/>
      <c r="V764" s="2"/>
      <c r="W764" s="2"/>
    </row>
    <row r="765" spans="2:23" ht="15.75" customHeight="1">
      <c r="B765" s="2"/>
      <c r="C765" s="2"/>
      <c r="E765" s="2"/>
      <c r="G765" s="2"/>
      <c r="I765" s="2"/>
      <c r="N765" s="2"/>
      <c r="P765" s="2"/>
      <c r="Q765" s="2"/>
      <c r="R765" s="2"/>
      <c r="S765" s="2"/>
      <c r="T765" s="2"/>
      <c r="U765" s="2"/>
      <c r="V765" s="2"/>
      <c r="W765" s="2"/>
    </row>
    <row r="766" spans="2:23" ht="15.75" customHeight="1">
      <c r="B766" s="2"/>
      <c r="C766" s="2"/>
      <c r="E766" s="2"/>
      <c r="G766" s="2"/>
      <c r="I766" s="2"/>
      <c r="N766" s="2"/>
      <c r="P766" s="2"/>
      <c r="Q766" s="2"/>
      <c r="R766" s="2"/>
      <c r="S766" s="2"/>
      <c r="T766" s="2"/>
      <c r="U766" s="2"/>
      <c r="V766" s="2"/>
      <c r="W766" s="2"/>
    </row>
    <row r="767" spans="2:23" ht="15.75" customHeight="1">
      <c r="B767" s="2"/>
      <c r="C767" s="2"/>
      <c r="E767" s="2"/>
      <c r="G767" s="2"/>
      <c r="I767" s="2"/>
      <c r="N767" s="2"/>
      <c r="P767" s="2"/>
      <c r="Q767" s="2"/>
      <c r="R767" s="2"/>
      <c r="S767" s="2"/>
      <c r="T767" s="2"/>
      <c r="U767" s="2"/>
      <c r="V767" s="2"/>
      <c r="W767" s="2"/>
    </row>
    <row r="768" spans="2:23" ht="15.75" customHeight="1">
      <c r="B768" s="2"/>
      <c r="C768" s="2"/>
      <c r="E768" s="2"/>
      <c r="G768" s="2"/>
      <c r="I768" s="2"/>
      <c r="N768" s="2"/>
      <c r="P768" s="2"/>
      <c r="Q768" s="2"/>
      <c r="R768" s="2"/>
      <c r="S768" s="2"/>
      <c r="T768" s="2"/>
      <c r="U768" s="2"/>
      <c r="V768" s="2"/>
      <c r="W768" s="2"/>
    </row>
    <row r="769" spans="2:23" ht="15.75" customHeight="1">
      <c r="B769" s="2"/>
      <c r="C769" s="2"/>
      <c r="E769" s="2"/>
      <c r="G769" s="2"/>
      <c r="I769" s="2"/>
      <c r="N769" s="2"/>
      <c r="P769" s="2"/>
      <c r="Q769" s="2"/>
      <c r="R769" s="2"/>
      <c r="S769" s="2"/>
      <c r="T769" s="2"/>
      <c r="U769" s="2"/>
      <c r="V769" s="2"/>
      <c r="W769" s="2"/>
    </row>
    <row r="770" spans="2:23" ht="15.75" customHeight="1">
      <c r="B770" s="2"/>
      <c r="C770" s="2"/>
      <c r="E770" s="2"/>
      <c r="G770" s="2"/>
      <c r="I770" s="2"/>
      <c r="N770" s="2"/>
      <c r="P770" s="2"/>
      <c r="Q770" s="2"/>
      <c r="R770" s="2"/>
      <c r="S770" s="2"/>
      <c r="T770" s="2"/>
      <c r="U770" s="2"/>
      <c r="V770" s="2"/>
      <c r="W770" s="2"/>
    </row>
    <row r="771" spans="2:23" ht="15.75" customHeight="1">
      <c r="B771" s="2"/>
      <c r="C771" s="2"/>
      <c r="E771" s="2"/>
      <c r="G771" s="2"/>
      <c r="I771" s="2"/>
      <c r="N771" s="2"/>
      <c r="P771" s="2"/>
      <c r="Q771" s="2"/>
      <c r="R771" s="2"/>
      <c r="S771" s="2"/>
      <c r="T771" s="2"/>
      <c r="U771" s="2"/>
      <c r="V771" s="2"/>
      <c r="W771" s="2"/>
    </row>
    <row r="772" spans="2:23" ht="15.75" customHeight="1">
      <c r="B772" s="2"/>
      <c r="C772" s="2"/>
      <c r="E772" s="2"/>
      <c r="G772" s="2"/>
      <c r="I772" s="2"/>
      <c r="N772" s="2"/>
      <c r="P772" s="2"/>
      <c r="Q772" s="2"/>
      <c r="R772" s="2"/>
      <c r="S772" s="2"/>
      <c r="T772" s="2"/>
      <c r="U772" s="2"/>
      <c r="V772" s="2"/>
      <c r="W772" s="2"/>
    </row>
    <row r="773" spans="2:23" ht="15.75" customHeight="1">
      <c r="B773" s="2"/>
      <c r="C773" s="2"/>
      <c r="E773" s="2"/>
      <c r="G773" s="2"/>
      <c r="I773" s="2"/>
      <c r="N773" s="2"/>
      <c r="P773" s="2"/>
      <c r="Q773" s="2"/>
      <c r="R773" s="2"/>
      <c r="S773" s="2"/>
      <c r="T773" s="2"/>
      <c r="U773" s="2"/>
      <c r="V773" s="2"/>
      <c r="W773" s="2"/>
    </row>
    <row r="774" spans="2:23" ht="15.75" customHeight="1">
      <c r="B774" s="2"/>
      <c r="C774" s="2"/>
      <c r="E774" s="2"/>
      <c r="G774" s="2"/>
      <c r="I774" s="2"/>
      <c r="N774" s="2"/>
      <c r="P774" s="2"/>
      <c r="Q774" s="2"/>
      <c r="R774" s="2"/>
      <c r="S774" s="2"/>
      <c r="T774" s="2"/>
      <c r="U774" s="2"/>
      <c r="V774" s="2"/>
      <c r="W774" s="2"/>
    </row>
    <row r="775" spans="2:23" ht="15.75" customHeight="1">
      <c r="B775" s="2"/>
      <c r="C775" s="2"/>
      <c r="E775" s="2"/>
      <c r="G775" s="2"/>
      <c r="I775" s="2"/>
      <c r="N775" s="2"/>
      <c r="P775" s="2"/>
      <c r="Q775" s="2"/>
      <c r="R775" s="2"/>
      <c r="S775" s="2"/>
      <c r="T775" s="2"/>
      <c r="U775" s="2"/>
      <c r="V775" s="2"/>
      <c r="W775" s="2"/>
    </row>
    <row r="776" spans="2:23" ht="15.75" customHeight="1">
      <c r="B776" s="2"/>
      <c r="C776" s="2"/>
      <c r="E776" s="2"/>
      <c r="G776" s="2"/>
      <c r="I776" s="2"/>
      <c r="N776" s="2"/>
      <c r="P776" s="2"/>
      <c r="Q776" s="2"/>
      <c r="R776" s="2"/>
      <c r="S776" s="2"/>
      <c r="T776" s="2"/>
      <c r="U776" s="2"/>
      <c r="V776" s="2"/>
      <c r="W776" s="2"/>
    </row>
    <row r="777" spans="2:23" ht="15.75" customHeight="1">
      <c r="B777" s="2"/>
      <c r="C777" s="2"/>
      <c r="E777" s="2"/>
      <c r="G777" s="2"/>
      <c r="I777" s="2"/>
      <c r="N777" s="2"/>
      <c r="P777" s="2"/>
      <c r="Q777" s="2"/>
      <c r="R777" s="2"/>
      <c r="S777" s="2"/>
      <c r="T777" s="2"/>
      <c r="U777" s="2"/>
      <c r="V777" s="2"/>
      <c r="W777" s="2"/>
    </row>
    <row r="778" spans="2:23" ht="15.75" customHeight="1">
      <c r="B778" s="2"/>
      <c r="C778" s="2"/>
      <c r="E778" s="2"/>
      <c r="G778" s="2"/>
      <c r="I778" s="2"/>
      <c r="N778" s="2"/>
      <c r="P778" s="2"/>
      <c r="Q778" s="2"/>
      <c r="R778" s="2"/>
      <c r="S778" s="2"/>
      <c r="T778" s="2"/>
      <c r="U778" s="2"/>
      <c r="V778" s="2"/>
      <c r="W778" s="2"/>
    </row>
    <row r="779" spans="2:23" ht="15.75" customHeight="1">
      <c r="B779" s="2"/>
      <c r="C779" s="2"/>
      <c r="E779" s="2"/>
      <c r="G779" s="2"/>
      <c r="I779" s="2"/>
      <c r="N779" s="2"/>
      <c r="P779" s="2"/>
      <c r="Q779" s="2"/>
      <c r="R779" s="2"/>
      <c r="S779" s="2"/>
      <c r="T779" s="2"/>
      <c r="U779" s="2"/>
      <c r="V779" s="2"/>
      <c r="W779" s="2"/>
    </row>
    <row r="780" spans="2:23" ht="15.75" customHeight="1">
      <c r="B780" s="2"/>
      <c r="C780" s="2"/>
      <c r="E780" s="2"/>
      <c r="G780" s="2"/>
      <c r="I780" s="2"/>
      <c r="N780" s="2"/>
      <c r="P780" s="2"/>
      <c r="Q780" s="2"/>
      <c r="R780" s="2"/>
      <c r="S780" s="2"/>
      <c r="T780" s="2"/>
      <c r="U780" s="2"/>
      <c r="V780" s="2"/>
      <c r="W780" s="2"/>
    </row>
    <row r="781" spans="2:23" ht="15.75" customHeight="1">
      <c r="B781" s="2"/>
      <c r="C781" s="2"/>
      <c r="E781" s="2"/>
      <c r="G781" s="2"/>
      <c r="I781" s="2"/>
      <c r="N781" s="2"/>
      <c r="P781" s="2"/>
      <c r="Q781" s="2"/>
      <c r="R781" s="2"/>
      <c r="S781" s="2"/>
      <c r="T781" s="2"/>
      <c r="U781" s="2"/>
      <c r="V781" s="2"/>
      <c r="W781" s="2"/>
    </row>
    <row r="782" spans="2:23" ht="15.75" customHeight="1">
      <c r="B782" s="2"/>
      <c r="C782" s="2"/>
      <c r="E782" s="2"/>
      <c r="G782" s="2"/>
      <c r="I782" s="2"/>
      <c r="N782" s="2"/>
      <c r="P782" s="2"/>
      <c r="Q782" s="2"/>
      <c r="R782" s="2"/>
      <c r="S782" s="2"/>
      <c r="T782" s="2"/>
      <c r="U782" s="2"/>
      <c r="V782" s="2"/>
      <c r="W782" s="2"/>
    </row>
    <row r="783" spans="2:23" ht="15.75" customHeight="1">
      <c r="B783" s="2"/>
      <c r="C783" s="2"/>
      <c r="E783" s="2"/>
      <c r="G783" s="2"/>
      <c r="I783" s="2"/>
      <c r="N783" s="2"/>
      <c r="P783" s="2"/>
      <c r="Q783" s="2"/>
      <c r="R783" s="2"/>
      <c r="S783" s="2"/>
      <c r="T783" s="2"/>
      <c r="U783" s="2"/>
      <c r="V783" s="2"/>
      <c r="W783" s="2"/>
    </row>
    <row r="784" spans="2:23" ht="15.75" customHeight="1">
      <c r="B784" s="2"/>
      <c r="C784" s="2"/>
      <c r="E784" s="2"/>
      <c r="G784" s="2"/>
      <c r="I784" s="2"/>
      <c r="N784" s="2"/>
      <c r="P784" s="2"/>
      <c r="Q784" s="2"/>
      <c r="R784" s="2"/>
      <c r="S784" s="2"/>
      <c r="T784" s="2"/>
      <c r="U784" s="2"/>
      <c r="V784" s="2"/>
      <c r="W784" s="2"/>
    </row>
    <row r="785" spans="2:23" ht="15.75" customHeight="1">
      <c r="B785" s="2"/>
      <c r="C785" s="2"/>
      <c r="E785" s="2"/>
      <c r="G785" s="2"/>
      <c r="I785" s="2"/>
      <c r="N785" s="2"/>
      <c r="P785" s="2"/>
      <c r="Q785" s="2"/>
      <c r="R785" s="2"/>
      <c r="S785" s="2"/>
      <c r="T785" s="2"/>
      <c r="U785" s="2"/>
      <c r="V785" s="2"/>
      <c r="W785" s="2"/>
    </row>
    <row r="786" spans="2:23" ht="15.75" customHeight="1">
      <c r="B786" s="2"/>
      <c r="C786" s="2"/>
      <c r="E786" s="2"/>
      <c r="G786" s="2"/>
      <c r="I786" s="2"/>
      <c r="N786" s="2"/>
      <c r="P786" s="2"/>
      <c r="Q786" s="2"/>
      <c r="R786" s="2"/>
      <c r="S786" s="2"/>
      <c r="T786" s="2"/>
      <c r="U786" s="2"/>
      <c r="V786" s="2"/>
      <c r="W786" s="2"/>
    </row>
    <row r="787" spans="2:23" ht="15.75" customHeight="1">
      <c r="B787" s="2"/>
      <c r="C787" s="2"/>
      <c r="E787" s="2"/>
      <c r="G787" s="2"/>
      <c r="I787" s="2"/>
      <c r="N787" s="2"/>
      <c r="P787" s="2"/>
      <c r="Q787" s="2"/>
      <c r="R787" s="2"/>
      <c r="S787" s="2"/>
      <c r="T787" s="2"/>
      <c r="U787" s="2"/>
      <c r="V787" s="2"/>
      <c r="W787" s="2"/>
    </row>
    <row r="788" spans="2:23" ht="15.75" customHeight="1">
      <c r="B788" s="2"/>
      <c r="C788" s="2"/>
      <c r="E788" s="2"/>
      <c r="G788" s="2"/>
      <c r="I788" s="2"/>
      <c r="N788" s="2"/>
      <c r="P788" s="2"/>
      <c r="Q788" s="2"/>
      <c r="R788" s="2"/>
      <c r="S788" s="2"/>
      <c r="T788" s="2"/>
      <c r="U788" s="2"/>
      <c r="V788" s="2"/>
      <c r="W788" s="2"/>
    </row>
    <row r="789" spans="2:23" ht="15.75" customHeight="1">
      <c r="B789" s="2"/>
      <c r="C789" s="2"/>
      <c r="E789" s="2"/>
      <c r="G789" s="2"/>
      <c r="I789" s="2"/>
      <c r="N789" s="2"/>
      <c r="P789" s="2"/>
      <c r="Q789" s="2"/>
      <c r="R789" s="2"/>
      <c r="S789" s="2"/>
      <c r="T789" s="2"/>
      <c r="U789" s="2"/>
      <c r="V789" s="2"/>
      <c r="W789" s="2"/>
    </row>
    <row r="790" spans="2:23" ht="15.75" customHeight="1">
      <c r="B790" s="2"/>
      <c r="C790" s="2"/>
      <c r="E790" s="2"/>
      <c r="G790" s="2"/>
      <c r="I790" s="2"/>
      <c r="N790" s="2"/>
      <c r="P790" s="2"/>
      <c r="Q790" s="2"/>
      <c r="R790" s="2"/>
      <c r="S790" s="2"/>
      <c r="T790" s="2"/>
      <c r="U790" s="2"/>
      <c r="V790" s="2"/>
      <c r="W790" s="2"/>
    </row>
    <row r="791" spans="2:23" ht="15.75" customHeight="1">
      <c r="B791" s="2"/>
      <c r="C791" s="2"/>
      <c r="E791" s="2"/>
      <c r="G791" s="2"/>
      <c r="I791" s="2"/>
      <c r="N791" s="2"/>
      <c r="P791" s="2"/>
      <c r="Q791" s="2"/>
      <c r="R791" s="2"/>
      <c r="S791" s="2"/>
      <c r="T791" s="2"/>
      <c r="U791" s="2"/>
      <c r="V791" s="2"/>
      <c r="W791" s="2"/>
    </row>
    <row r="792" spans="2:23" ht="15.75" customHeight="1">
      <c r="B792" s="2"/>
      <c r="C792" s="2"/>
      <c r="E792" s="2"/>
      <c r="G792" s="2"/>
      <c r="I792" s="2"/>
      <c r="N792" s="2"/>
      <c r="P792" s="2"/>
      <c r="Q792" s="2"/>
      <c r="R792" s="2"/>
      <c r="S792" s="2"/>
      <c r="T792" s="2"/>
      <c r="U792" s="2"/>
      <c r="V792" s="2"/>
      <c r="W792" s="2"/>
    </row>
    <row r="793" spans="2:23" ht="15.75" customHeight="1">
      <c r="B793" s="2"/>
      <c r="C793" s="2"/>
      <c r="E793" s="2"/>
      <c r="G793" s="2"/>
      <c r="I793" s="2"/>
      <c r="N793" s="2"/>
      <c r="P793" s="2"/>
      <c r="Q793" s="2"/>
      <c r="R793" s="2"/>
      <c r="S793" s="2"/>
      <c r="T793" s="2"/>
      <c r="U793" s="2"/>
      <c r="V793" s="2"/>
      <c r="W793" s="2"/>
    </row>
    <row r="794" spans="2:23" ht="15.75" customHeight="1">
      <c r="B794" s="2"/>
      <c r="C794" s="2"/>
      <c r="E794" s="2"/>
      <c r="G794" s="2"/>
      <c r="I794" s="2"/>
      <c r="N794" s="2"/>
      <c r="P794" s="2"/>
      <c r="Q794" s="2"/>
      <c r="R794" s="2"/>
      <c r="S794" s="2"/>
      <c r="T794" s="2"/>
      <c r="U794" s="2"/>
      <c r="V794" s="2"/>
      <c r="W794" s="2"/>
    </row>
    <row r="795" spans="2:23" ht="15.75" customHeight="1">
      <c r="B795" s="2"/>
      <c r="C795" s="2"/>
      <c r="E795" s="2"/>
      <c r="G795" s="2"/>
      <c r="I795" s="2"/>
      <c r="N795" s="2"/>
      <c r="P795" s="2"/>
      <c r="Q795" s="2"/>
      <c r="R795" s="2"/>
      <c r="S795" s="2"/>
      <c r="T795" s="2"/>
      <c r="U795" s="2"/>
      <c r="V795" s="2"/>
      <c r="W795" s="2"/>
    </row>
    <row r="796" spans="2:23" ht="15.75" customHeight="1">
      <c r="B796" s="2"/>
      <c r="C796" s="2"/>
      <c r="E796" s="2"/>
      <c r="G796" s="2"/>
      <c r="I796" s="2"/>
      <c r="N796" s="2"/>
      <c r="P796" s="2"/>
      <c r="Q796" s="2"/>
      <c r="R796" s="2"/>
      <c r="S796" s="2"/>
      <c r="T796" s="2"/>
      <c r="U796" s="2"/>
      <c r="V796" s="2"/>
      <c r="W796" s="2"/>
    </row>
    <row r="797" spans="2:23" ht="15.75" customHeight="1">
      <c r="B797" s="2"/>
      <c r="C797" s="2"/>
      <c r="E797" s="2"/>
      <c r="G797" s="2"/>
      <c r="I797" s="2"/>
      <c r="N797" s="2"/>
      <c r="P797" s="2"/>
      <c r="Q797" s="2"/>
      <c r="R797" s="2"/>
      <c r="S797" s="2"/>
      <c r="T797" s="2"/>
      <c r="U797" s="2"/>
      <c r="V797" s="2"/>
      <c r="W797" s="2"/>
    </row>
    <row r="798" spans="2:23" ht="15.75" customHeight="1">
      <c r="B798" s="2"/>
      <c r="C798" s="2"/>
      <c r="E798" s="2"/>
      <c r="G798" s="2"/>
      <c r="I798" s="2"/>
      <c r="N798" s="2"/>
      <c r="P798" s="2"/>
      <c r="Q798" s="2"/>
      <c r="R798" s="2"/>
      <c r="S798" s="2"/>
      <c r="T798" s="2"/>
      <c r="U798" s="2"/>
      <c r="V798" s="2"/>
      <c r="W798" s="2"/>
    </row>
    <row r="799" spans="2:23" ht="15.75" customHeight="1">
      <c r="B799" s="2"/>
      <c r="C799" s="2"/>
      <c r="E799" s="2"/>
      <c r="G799" s="2"/>
      <c r="I799" s="2"/>
      <c r="N799" s="2"/>
      <c r="P799" s="2"/>
      <c r="Q799" s="2"/>
      <c r="R799" s="2"/>
      <c r="S799" s="2"/>
      <c r="T799" s="2"/>
      <c r="U799" s="2"/>
      <c r="V799" s="2"/>
      <c r="W799" s="2"/>
    </row>
    <row r="800" spans="2:23" ht="15.75" customHeight="1">
      <c r="B800" s="2"/>
      <c r="C800" s="2"/>
      <c r="E800" s="2"/>
      <c r="G800" s="2"/>
      <c r="I800" s="2"/>
      <c r="N800" s="2"/>
      <c r="P800" s="2"/>
      <c r="Q800" s="2"/>
      <c r="R800" s="2"/>
      <c r="S800" s="2"/>
      <c r="T800" s="2"/>
      <c r="U800" s="2"/>
      <c r="V800" s="2"/>
      <c r="W800" s="2"/>
    </row>
    <row r="801" spans="2:23" ht="15.75" customHeight="1">
      <c r="B801" s="2"/>
      <c r="C801" s="2"/>
      <c r="E801" s="2"/>
      <c r="G801" s="2"/>
      <c r="I801" s="2"/>
      <c r="N801" s="2"/>
      <c r="P801" s="2"/>
      <c r="Q801" s="2"/>
      <c r="R801" s="2"/>
      <c r="S801" s="2"/>
      <c r="T801" s="2"/>
      <c r="U801" s="2"/>
      <c r="V801" s="2"/>
      <c r="W801" s="2"/>
    </row>
    <row r="802" spans="2:23" ht="15.75" customHeight="1">
      <c r="B802" s="2"/>
      <c r="C802" s="2"/>
      <c r="E802" s="2"/>
      <c r="G802" s="2"/>
      <c r="I802" s="2"/>
      <c r="N802" s="2"/>
      <c r="P802" s="2"/>
      <c r="Q802" s="2"/>
      <c r="R802" s="2"/>
      <c r="S802" s="2"/>
      <c r="T802" s="2"/>
      <c r="U802" s="2"/>
      <c r="V802" s="2"/>
      <c r="W802" s="2"/>
    </row>
    <row r="803" spans="2:23" ht="15.75" customHeight="1">
      <c r="B803" s="2"/>
      <c r="C803" s="2"/>
      <c r="E803" s="2"/>
      <c r="G803" s="2"/>
      <c r="I803" s="2"/>
      <c r="N803" s="2"/>
      <c r="P803" s="2"/>
      <c r="Q803" s="2"/>
      <c r="R803" s="2"/>
      <c r="S803" s="2"/>
      <c r="T803" s="2"/>
      <c r="U803" s="2"/>
      <c r="V803" s="2"/>
      <c r="W803" s="2"/>
    </row>
    <row r="804" spans="2:23" ht="15.75" customHeight="1">
      <c r="B804" s="2"/>
      <c r="C804" s="2"/>
      <c r="E804" s="2"/>
      <c r="G804" s="2"/>
      <c r="I804" s="2"/>
      <c r="N804" s="2"/>
      <c r="P804" s="2"/>
      <c r="Q804" s="2"/>
      <c r="R804" s="2"/>
      <c r="S804" s="2"/>
      <c r="T804" s="2"/>
      <c r="U804" s="2"/>
      <c r="V804" s="2"/>
      <c r="W804" s="2"/>
    </row>
    <row r="805" spans="2:23" ht="15.75" customHeight="1">
      <c r="B805" s="2"/>
      <c r="C805" s="2"/>
      <c r="E805" s="2"/>
      <c r="G805" s="2"/>
      <c r="I805" s="2"/>
      <c r="N805" s="2"/>
      <c r="P805" s="2"/>
      <c r="Q805" s="2"/>
      <c r="R805" s="2"/>
      <c r="S805" s="2"/>
      <c r="T805" s="2"/>
      <c r="U805" s="2"/>
      <c r="V805" s="2"/>
      <c r="W805" s="2"/>
    </row>
    <row r="806" spans="2:23" ht="15.75" customHeight="1">
      <c r="B806" s="2"/>
      <c r="C806" s="2"/>
      <c r="E806" s="2"/>
      <c r="G806" s="2"/>
      <c r="I806" s="2"/>
      <c r="N806" s="2"/>
      <c r="P806" s="2"/>
      <c r="Q806" s="2"/>
      <c r="R806" s="2"/>
      <c r="S806" s="2"/>
      <c r="T806" s="2"/>
      <c r="U806" s="2"/>
      <c r="V806" s="2"/>
      <c r="W806" s="2"/>
    </row>
    <row r="807" spans="2:23" ht="15.75" customHeight="1">
      <c r="B807" s="2"/>
      <c r="C807" s="2"/>
      <c r="E807" s="2"/>
      <c r="G807" s="2"/>
      <c r="I807" s="2"/>
      <c r="N807" s="2"/>
      <c r="P807" s="2"/>
      <c r="Q807" s="2"/>
      <c r="R807" s="2"/>
      <c r="S807" s="2"/>
      <c r="T807" s="2"/>
      <c r="U807" s="2"/>
      <c r="V807" s="2"/>
      <c r="W807" s="2"/>
    </row>
    <row r="808" spans="2:23" ht="15.75" customHeight="1">
      <c r="B808" s="2"/>
      <c r="C808" s="2"/>
      <c r="E808" s="2"/>
      <c r="G808" s="2"/>
      <c r="I808" s="2"/>
      <c r="N808" s="2"/>
      <c r="P808" s="2"/>
      <c r="Q808" s="2"/>
      <c r="R808" s="2"/>
      <c r="S808" s="2"/>
      <c r="T808" s="2"/>
      <c r="U808" s="2"/>
      <c r="V808" s="2"/>
      <c r="W808" s="2"/>
    </row>
    <row r="809" spans="2:23" ht="15.75" customHeight="1">
      <c r="B809" s="2"/>
      <c r="C809" s="2"/>
      <c r="E809" s="2"/>
      <c r="G809" s="2"/>
      <c r="I809" s="2"/>
      <c r="N809" s="2"/>
      <c r="P809" s="2"/>
      <c r="Q809" s="2"/>
      <c r="R809" s="2"/>
      <c r="S809" s="2"/>
      <c r="T809" s="2"/>
      <c r="U809" s="2"/>
      <c r="V809" s="2"/>
      <c r="W809" s="2"/>
    </row>
    <row r="810" spans="2:23" ht="15.75" customHeight="1">
      <c r="B810" s="2"/>
      <c r="C810" s="2"/>
      <c r="E810" s="2"/>
      <c r="G810" s="2"/>
      <c r="I810" s="2"/>
      <c r="N810" s="2"/>
      <c r="P810" s="2"/>
      <c r="Q810" s="2"/>
      <c r="R810" s="2"/>
      <c r="S810" s="2"/>
      <c r="T810" s="2"/>
      <c r="U810" s="2"/>
      <c r="V810" s="2"/>
      <c r="W810" s="2"/>
    </row>
    <row r="811" spans="2:23" ht="15.75" customHeight="1">
      <c r="B811" s="2"/>
      <c r="C811" s="2"/>
      <c r="E811" s="2"/>
      <c r="G811" s="2"/>
      <c r="I811" s="2"/>
      <c r="N811" s="2"/>
      <c r="P811" s="2"/>
      <c r="Q811" s="2"/>
      <c r="R811" s="2"/>
      <c r="S811" s="2"/>
      <c r="T811" s="2"/>
      <c r="U811" s="2"/>
      <c r="V811" s="2"/>
      <c r="W811" s="2"/>
    </row>
    <row r="812" spans="2:23" ht="15.75" customHeight="1">
      <c r="B812" s="2"/>
      <c r="C812" s="2"/>
      <c r="E812" s="2"/>
      <c r="G812" s="2"/>
      <c r="I812" s="2"/>
      <c r="N812" s="2"/>
      <c r="P812" s="2"/>
      <c r="Q812" s="2"/>
      <c r="R812" s="2"/>
      <c r="S812" s="2"/>
      <c r="T812" s="2"/>
      <c r="U812" s="2"/>
      <c r="V812" s="2"/>
      <c r="W812" s="2"/>
    </row>
    <row r="813" spans="2:23" ht="15.75" customHeight="1">
      <c r="B813" s="2"/>
      <c r="C813" s="2"/>
      <c r="E813" s="2"/>
      <c r="G813" s="2"/>
      <c r="I813" s="2"/>
      <c r="N813" s="2"/>
      <c r="P813" s="2"/>
      <c r="Q813" s="2"/>
      <c r="R813" s="2"/>
      <c r="S813" s="2"/>
      <c r="T813" s="2"/>
      <c r="U813" s="2"/>
      <c r="V813" s="2"/>
      <c r="W813" s="2"/>
    </row>
    <row r="814" spans="2:23" ht="15.75" customHeight="1">
      <c r="B814" s="2"/>
      <c r="C814" s="2"/>
      <c r="E814" s="2"/>
      <c r="G814" s="2"/>
      <c r="I814" s="2"/>
      <c r="N814" s="2"/>
      <c r="P814" s="2"/>
      <c r="Q814" s="2"/>
      <c r="R814" s="2"/>
      <c r="S814" s="2"/>
      <c r="T814" s="2"/>
      <c r="U814" s="2"/>
      <c r="V814" s="2"/>
      <c r="W814" s="2"/>
    </row>
    <row r="815" spans="2:23" ht="15.75" customHeight="1">
      <c r="B815" s="2"/>
      <c r="C815" s="2"/>
      <c r="E815" s="2"/>
      <c r="G815" s="2"/>
      <c r="I815" s="2"/>
      <c r="N815" s="2"/>
      <c r="P815" s="2"/>
      <c r="Q815" s="2"/>
      <c r="R815" s="2"/>
      <c r="S815" s="2"/>
      <c r="T815" s="2"/>
      <c r="U815" s="2"/>
      <c r="V815" s="2"/>
      <c r="W815" s="2"/>
    </row>
    <row r="816" spans="2:23" ht="15.75" customHeight="1">
      <c r="B816" s="2"/>
      <c r="C816" s="2"/>
      <c r="E816" s="2"/>
      <c r="G816" s="2"/>
      <c r="I816" s="2"/>
      <c r="N816" s="2"/>
      <c r="P816" s="2"/>
      <c r="Q816" s="2"/>
      <c r="R816" s="2"/>
      <c r="S816" s="2"/>
      <c r="T816" s="2"/>
      <c r="U816" s="2"/>
      <c r="V816" s="2"/>
      <c r="W816" s="2"/>
    </row>
    <row r="817" spans="2:23" ht="15.75" customHeight="1">
      <c r="B817" s="2"/>
      <c r="C817" s="2"/>
      <c r="E817" s="2"/>
      <c r="G817" s="2"/>
      <c r="I817" s="2"/>
      <c r="N817" s="2"/>
      <c r="P817" s="2"/>
      <c r="Q817" s="2"/>
      <c r="R817" s="2"/>
      <c r="S817" s="2"/>
      <c r="T817" s="2"/>
      <c r="U817" s="2"/>
      <c r="V817" s="2"/>
      <c r="W817" s="2"/>
    </row>
    <row r="818" spans="2:23" ht="15.75" customHeight="1">
      <c r="B818" s="2"/>
      <c r="C818" s="2"/>
      <c r="E818" s="2"/>
      <c r="G818" s="2"/>
      <c r="I818" s="2"/>
      <c r="N818" s="2"/>
      <c r="P818" s="2"/>
      <c r="Q818" s="2"/>
      <c r="R818" s="2"/>
      <c r="S818" s="2"/>
      <c r="T818" s="2"/>
      <c r="U818" s="2"/>
      <c r="V818" s="2"/>
      <c r="W818" s="2"/>
    </row>
    <row r="819" spans="2:23" ht="15.75" customHeight="1">
      <c r="B819" s="2"/>
      <c r="C819" s="2"/>
      <c r="E819" s="2"/>
      <c r="G819" s="2"/>
      <c r="I819" s="2"/>
      <c r="N819" s="2"/>
      <c r="P819" s="2"/>
      <c r="Q819" s="2"/>
      <c r="R819" s="2"/>
      <c r="S819" s="2"/>
      <c r="T819" s="2"/>
      <c r="U819" s="2"/>
      <c r="V819" s="2"/>
      <c r="W819" s="2"/>
    </row>
    <row r="820" spans="2:23" ht="15.75" customHeight="1">
      <c r="B820" s="2"/>
      <c r="C820" s="2"/>
      <c r="E820" s="2"/>
      <c r="G820" s="2"/>
      <c r="I820" s="2"/>
      <c r="N820" s="2"/>
      <c r="P820" s="2"/>
      <c r="Q820" s="2"/>
      <c r="R820" s="2"/>
      <c r="S820" s="2"/>
      <c r="T820" s="2"/>
      <c r="U820" s="2"/>
      <c r="V820" s="2"/>
      <c r="W820" s="2"/>
    </row>
    <row r="821" spans="2:23" ht="15.75" customHeight="1">
      <c r="B821" s="2"/>
      <c r="C821" s="2"/>
      <c r="E821" s="2"/>
      <c r="G821" s="2"/>
      <c r="I821" s="2"/>
      <c r="N821" s="2"/>
      <c r="P821" s="2"/>
      <c r="Q821" s="2"/>
      <c r="R821" s="2"/>
      <c r="S821" s="2"/>
      <c r="T821" s="2"/>
      <c r="U821" s="2"/>
      <c r="V821" s="2"/>
      <c r="W821" s="2"/>
    </row>
    <row r="822" spans="2:23" ht="15.75" customHeight="1">
      <c r="B822" s="2"/>
      <c r="C822" s="2"/>
      <c r="E822" s="2"/>
      <c r="G822" s="2"/>
      <c r="I822" s="2"/>
      <c r="N822" s="2"/>
      <c r="P822" s="2"/>
      <c r="Q822" s="2"/>
      <c r="R822" s="2"/>
      <c r="S822" s="2"/>
      <c r="T822" s="2"/>
      <c r="U822" s="2"/>
      <c r="V822" s="2"/>
      <c r="W822" s="2"/>
    </row>
    <row r="823" spans="2:23" ht="15.75" customHeight="1">
      <c r="B823" s="2"/>
      <c r="C823" s="2"/>
      <c r="E823" s="2"/>
      <c r="G823" s="2"/>
      <c r="I823" s="2"/>
      <c r="N823" s="2"/>
      <c r="P823" s="2"/>
      <c r="Q823" s="2"/>
      <c r="R823" s="2"/>
      <c r="S823" s="2"/>
      <c r="T823" s="2"/>
      <c r="U823" s="2"/>
      <c r="V823" s="2"/>
      <c r="W823" s="2"/>
    </row>
    <row r="824" spans="2:23" ht="15.75" customHeight="1">
      <c r="B824" s="2"/>
      <c r="C824" s="2"/>
      <c r="E824" s="2"/>
      <c r="G824" s="2"/>
      <c r="I824" s="2"/>
      <c r="N824" s="2"/>
      <c r="P824" s="2"/>
      <c r="Q824" s="2"/>
      <c r="R824" s="2"/>
      <c r="S824" s="2"/>
      <c r="T824" s="2"/>
      <c r="U824" s="2"/>
      <c r="V824" s="2"/>
      <c r="W824" s="2"/>
    </row>
    <row r="825" spans="2:23" ht="15.75" customHeight="1">
      <c r="B825" s="2"/>
      <c r="C825" s="2"/>
      <c r="E825" s="2"/>
      <c r="G825" s="2"/>
      <c r="I825" s="2"/>
      <c r="N825" s="2"/>
      <c r="P825" s="2"/>
      <c r="Q825" s="2"/>
      <c r="R825" s="2"/>
      <c r="S825" s="2"/>
      <c r="T825" s="2"/>
      <c r="U825" s="2"/>
      <c r="V825" s="2"/>
      <c r="W825" s="2"/>
    </row>
    <row r="826" spans="2:23" ht="15.75" customHeight="1">
      <c r="B826" s="2"/>
      <c r="C826" s="2"/>
      <c r="E826" s="2"/>
      <c r="G826" s="2"/>
      <c r="I826" s="2"/>
      <c r="N826" s="2"/>
      <c r="P826" s="2"/>
      <c r="Q826" s="2"/>
      <c r="R826" s="2"/>
      <c r="S826" s="2"/>
      <c r="T826" s="2"/>
      <c r="U826" s="2"/>
      <c r="V826" s="2"/>
      <c r="W826" s="2"/>
    </row>
    <row r="827" spans="2:23" ht="15.75" customHeight="1">
      <c r="B827" s="2"/>
      <c r="C827" s="2"/>
      <c r="E827" s="2"/>
      <c r="G827" s="2"/>
      <c r="I827" s="2"/>
      <c r="N827" s="2"/>
      <c r="P827" s="2"/>
      <c r="Q827" s="2"/>
      <c r="R827" s="2"/>
      <c r="S827" s="2"/>
      <c r="T827" s="2"/>
      <c r="U827" s="2"/>
      <c r="V827" s="2"/>
      <c r="W827" s="2"/>
    </row>
    <row r="828" spans="2:23" ht="15.75" customHeight="1">
      <c r="B828" s="2"/>
      <c r="C828" s="2"/>
      <c r="E828" s="2"/>
      <c r="G828" s="2"/>
      <c r="I828" s="2"/>
      <c r="N828" s="2"/>
      <c r="P828" s="2"/>
      <c r="Q828" s="2"/>
      <c r="R828" s="2"/>
      <c r="S828" s="2"/>
      <c r="T828" s="2"/>
      <c r="U828" s="2"/>
      <c r="V828" s="2"/>
      <c r="W828" s="2"/>
    </row>
    <row r="829" spans="2:23" ht="15.75" customHeight="1">
      <c r="B829" s="2"/>
      <c r="C829" s="2"/>
      <c r="E829" s="2"/>
      <c r="G829" s="2"/>
      <c r="I829" s="2"/>
      <c r="N829" s="2"/>
      <c r="P829" s="2"/>
      <c r="Q829" s="2"/>
      <c r="R829" s="2"/>
      <c r="S829" s="2"/>
      <c r="T829" s="2"/>
      <c r="U829" s="2"/>
      <c r="V829" s="2"/>
      <c r="W829" s="2"/>
    </row>
    <row r="830" spans="2:23" ht="15.75" customHeight="1">
      <c r="B830" s="2"/>
      <c r="C830" s="2"/>
      <c r="E830" s="2"/>
      <c r="G830" s="2"/>
      <c r="I830" s="2"/>
      <c r="N830" s="2"/>
      <c r="P830" s="2"/>
      <c r="Q830" s="2"/>
      <c r="R830" s="2"/>
      <c r="S830" s="2"/>
      <c r="T830" s="2"/>
      <c r="U830" s="2"/>
      <c r="V830" s="2"/>
      <c r="W830" s="2"/>
    </row>
    <row r="831" spans="2:23" ht="15.75" customHeight="1">
      <c r="B831" s="2"/>
      <c r="C831" s="2"/>
      <c r="E831" s="2"/>
      <c r="G831" s="2"/>
      <c r="I831" s="2"/>
      <c r="N831" s="2"/>
      <c r="P831" s="2"/>
      <c r="Q831" s="2"/>
      <c r="R831" s="2"/>
      <c r="S831" s="2"/>
      <c r="T831" s="2"/>
      <c r="U831" s="2"/>
      <c r="V831" s="2"/>
      <c r="W831" s="2"/>
    </row>
    <row r="832" spans="2:23" ht="15.75" customHeight="1">
      <c r="B832" s="2"/>
      <c r="C832" s="2"/>
      <c r="E832" s="2"/>
      <c r="G832" s="2"/>
      <c r="I832" s="2"/>
      <c r="N832" s="2"/>
      <c r="P832" s="2"/>
      <c r="Q832" s="2"/>
      <c r="R832" s="2"/>
      <c r="S832" s="2"/>
      <c r="T832" s="2"/>
      <c r="U832" s="2"/>
      <c r="V832" s="2"/>
      <c r="W832" s="2"/>
    </row>
    <row r="833" spans="2:23" ht="15.75" customHeight="1">
      <c r="B833" s="2"/>
      <c r="C833" s="2"/>
      <c r="E833" s="2"/>
      <c r="G833" s="2"/>
      <c r="I833" s="2"/>
      <c r="N833" s="2"/>
      <c r="P833" s="2"/>
      <c r="Q833" s="2"/>
      <c r="R833" s="2"/>
      <c r="S833" s="2"/>
      <c r="T833" s="2"/>
      <c r="U833" s="2"/>
      <c r="V833" s="2"/>
      <c r="W833" s="2"/>
    </row>
    <row r="834" spans="2:23" ht="15.75" customHeight="1">
      <c r="B834" s="2"/>
      <c r="C834" s="2"/>
      <c r="E834" s="2"/>
      <c r="G834" s="2"/>
      <c r="I834" s="2"/>
      <c r="N834" s="2"/>
      <c r="P834" s="2"/>
      <c r="Q834" s="2"/>
      <c r="R834" s="2"/>
      <c r="S834" s="2"/>
      <c r="T834" s="2"/>
      <c r="U834" s="2"/>
      <c r="V834" s="2"/>
      <c r="W834" s="2"/>
    </row>
    <row r="835" spans="2:23" ht="15.75" customHeight="1">
      <c r="B835" s="2"/>
      <c r="C835" s="2"/>
      <c r="E835" s="2"/>
      <c r="G835" s="2"/>
      <c r="I835" s="2"/>
      <c r="N835" s="2"/>
      <c r="P835" s="2"/>
      <c r="Q835" s="2"/>
      <c r="R835" s="2"/>
      <c r="S835" s="2"/>
      <c r="T835" s="2"/>
      <c r="U835" s="2"/>
      <c r="V835" s="2"/>
      <c r="W835" s="2"/>
    </row>
    <row r="836" spans="2:23" ht="15.75" customHeight="1">
      <c r="B836" s="2"/>
      <c r="C836" s="2"/>
      <c r="E836" s="2"/>
      <c r="G836" s="2"/>
      <c r="I836" s="2"/>
      <c r="N836" s="2"/>
      <c r="P836" s="2"/>
      <c r="Q836" s="2"/>
      <c r="R836" s="2"/>
      <c r="S836" s="2"/>
      <c r="T836" s="2"/>
      <c r="U836" s="2"/>
      <c r="V836" s="2"/>
      <c r="W836" s="2"/>
    </row>
    <row r="837" spans="2:23" ht="15.75" customHeight="1">
      <c r="B837" s="2"/>
      <c r="C837" s="2"/>
      <c r="E837" s="2"/>
      <c r="G837" s="2"/>
      <c r="I837" s="2"/>
      <c r="N837" s="2"/>
      <c r="P837" s="2"/>
      <c r="Q837" s="2"/>
      <c r="R837" s="2"/>
      <c r="S837" s="2"/>
      <c r="T837" s="2"/>
      <c r="U837" s="2"/>
      <c r="V837" s="2"/>
      <c r="W837" s="2"/>
    </row>
    <row r="838" spans="2:23" ht="15.75" customHeight="1">
      <c r="B838" s="2"/>
      <c r="C838" s="2"/>
      <c r="E838" s="2"/>
      <c r="G838" s="2"/>
      <c r="I838" s="2"/>
      <c r="N838" s="2"/>
      <c r="P838" s="2"/>
      <c r="Q838" s="2"/>
      <c r="R838" s="2"/>
      <c r="S838" s="2"/>
      <c r="T838" s="2"/>
      <c r="U838" s="2"/>
      <c r="V838" s="2"/>
      <c r="W838" s="2"/>
    </row>
    <row r="839" spans="2:23" ht="15.75" customHeight="1">
      <c r="B839" s="2"/>
      <c r="C839" s="2"/>
      <c r="E839" s="2"/>
      <c r="G839" s="2"/>
      <c r="I839" s="2"/>
      <c r="N839" s="2"/>
      <c r="P839" s="2"/>
      <c r="Q839" s="2"/>
      <c r="R839" s="2"/>
      <c r="S839" s="2"/>
      <c r="T839" s="2"/>
      <c r="U839" s="2"/>
      <c r="V839" s="2"/>
      <c r="W839" s="2"/>
    </row>
    <row r="840" spans="2:23" ht="15.75" customHeight="1">
      <c r="B840" s="2"/>
      <c r="C840" s="2"/>
      <c r="E840" s="2"/>
      <c r="G840" s="2"/>
      <c r="I840" s="2"/>
      <c r="N840" s="2"/>
      <c r="P840" s="2"/>
      <c r="Q840" s="2"/>
      <c r="R840" s="2"/>
      <c r="S840" s="2"/>
      <c r="T840" s="2"/>
      <c r="U840" s="2"/>
      <c r="V840" s="2"/>
      <c r="W840" s="2"/>
    </row>
    <row r="841" spans="2:23" ht="15.75" customHeight="1">
      <c r="B841" s="2"/>
      <c r="C841" s="2"/>
      <c r="E841" s="2"/>
      <c r="G841" s="2"/>
      <c r="I841" s="2"/>
      <c r="N841" s="2"/>
      <c r="P841" s="2"/>
      <c r="Q841" s="2"/>
      <c r="R841" s="2"/>
      <c r="S841" s="2"/>
      <c r="T841" s="2"/>
      <c r="U841" s="2"/>
      <c r="V841" s="2"/>
      <c r="W841" s="2"/>
    </row>
    <row r="842" spans="2:23" ht="15.75" customHeight="1">
      <c r="B842" s="2"/>
      <c r="C842" s="2"/>
      <c r="E842" s="2"/>
      <c r="G842" s="2"/>
      <c r="I842" s="2"/>
      <c r="N842" s="2"/>
      <c r="P842" s="2"/>
      <c r="Q842" s="2"/>
      <c r="R842" s="2"/>
      <c r="S842" s="2"/>
      <c r="T842" s="2"/>
      <c r="U842" s="2"/>
      <c r="V842" s="2"/>
      <c r="W842" s="2"/>
    </row>
    <row r="843" spans="2:23" ht="15.75" customHeight="1">
      <c r="B843" s="2"/>
      <c r="C843" s="2"/>
      <c r="E843" s="2"/>
      <c r="G843" s="2"/>
      <c r="I843" s="2"/>
      <c r="N843" s="2"/>
      <c r="P843" s="2"/>
      <c r="Q843" s="2"/>
      <c r="R843" s="2"/>
      <c r="S843" s="2"/>
      <c r="T843" s="2"/>
      <c r="U843" s="2"/>
      <c r="V843" s="2"/>
      <c r="W843" s="2"/>
    </row>
    <row r="844" spans="2:23" ht="15.75" customHeight="1">
      <c r="B844" s="2"/>
      <c r="C844" s="2"/>
      <c r="E844" s="2"/>
      <c r="G844" s="2"/>
      <c r="I844" s="2"/>
      <c r="N844" s="2"/>
      <c r="P844" s="2"/>
      <c r="Q844" s="2"/>
      <c r="R844" s="2"/>
      <c r="S844" s="2"/>
      <c r="T844" s="2"/>
      <c r="U844" s="2"/>
      <c r="V844" s="2"/>
      <c r="W844" s="2"/>
    </row>
    <row r="845" spans="2:23" ht="15.75" customHeight="1">
      <c r="B845" s="2"/>
      <c r="C845" s="2"/>
      <c r="E845" s="2"/>
      <c r="G845" s="2"/>
      <c r="I845" s="2"/>
      <c r="N845" s="2"/>
      <c r="P845" s="2"/>
      <c r="Q845" s="2"/>
      <c r="R845" s="2"/>
      <c r="S845" s="2"/>
      <c r="T845" s="2"/>
      <c r="U845" s="2"/>
      <c r="V845" s="2"/>
      <c r="W845" s="2"/>
    </row>
    <row r="846" spans="2:23" ht="15.75" customHeight="1">
      <c r="B846" s="2"/>
      <c r="C846" s="2"/>
      <c r="E846" s="2"/>
      <c r="G846" s="2"/>
      <c r="I846" s="2"/>
      <c r="N846" s="2"/>
      <c r="P846" s="2"/>
      <c r="Q846" s="2"/>
      <c r="R846" s="2"/>
      <c r="S846" s="2"/>
      <c r="T846" s="2"/>
      <c r="U846" s="2"/>
      <c r="V846" s="2"/>
      <c r="W846" s="2"/>
    </row>
    <row r="847" spans="2:23" ht="15.75" customHeight="1">
      <c r="B847" s="2"/>
      <c r="C847" s="2"/>
      <c r="E847" s="2"/>
      <c r="G847" s="2"/>
      <c r="I847" s="2"/>
      <c r="N847" s="2"/>
      <c r="P847" s="2"/>
      <c r="Q847" s="2"/>
      <c r="R847" s="2"/>
      <c r="S847" s="2"/>
      <c r="T847" s="2"/>
      <c r="U847" s="2"/>
      <c r="V847" s="2"/>
      <c r="W847" s="2"/>
    </row>
    <row r="848" spans="2:23" ht="15.75" customHeight="1">
      <c r="B848" s="2"/>
      <c r="C848" s="2"/>
      <c r="E848" s="2"/>
      <c r="G848" s="2"/>
      <c r="I848" s="2"/>
      <c r="N848" s="2"/>
      <c r="P848" s="2"/>
      <c r="Q848" s="2"/>
      <c r="R848" s="2"/>
      <c r="S848" s="2"/>
      <c r="T848" s="2"/>
      <c r="U848" s="2"/>
      <c r="V848" s="2"/>
      <c r="W848" s="2"/>
    </row>
    <row r="849" spans="2:23" ht="15.75" customHeight="1">
      <c r="B849" s="2"/>
      <c r="C849" s="2"/>
      <c r="E849" s="2"/>
      <c r="G849" s="2"/>
      <c r="I849" s="2"/>
      <c r="N849" s="2"/>
      <c r="P849" s="2"/>
      <c r="Q849" s="2"/>
      <c r="R849" s="2"/>
      <c r="S849" s="2"/>
      <c r="T849" s="2"/>
      <c r="U849" s="2"/>
      <c r="V849" s="2"/>
      <c r="W849" s="2"/>
    </row>
    <row r="850" spans="2:23" ht="15.75" customHeight="1">
      <c r="B850" s="2"/>
      <c r="C850" s="2"/>
      <c r="E850" s="2"/>
      <c r="G850" s="2"/>
      <c r="I850" s="2"/>
      <c r="N850" s="2"/>
      <c r="P850" s="2"/>
      <c r="Q850" s="2"/>
      <c r="R850" s="2"/>
      <c r="S850" s="2"/>
      <c r="T850" s="2"/>
      <c r="U850" s="2"/>
      <c r="V850" s="2"/>
      <c r="W850" s="2"/>
    </row>
    <row r="851" spans="2:23" ht="15.75" customHeight="1">
      <c r="B851" s="2"/>
      <c r="C851" s="2"/>
      <c r="E851" s="2"/>
      <c r="G851" s="2"/>
      <c r="I851" s="2"/>
      <c r="N851" s="2"/>
      <c r="P851" s="2"/>
      <c r="Q851" s="2"/>
      <c r="R851" s="2"/>
      <c r="S851" s="2"/>
      <c r="T851" s="2"/>
      <c r="U851" s="2"/>
      <c r="V851" s="2"/>
      <c r="W851" s="2"/>
    </row>
    <row r="852" spans="2:23" ht="15.75" customHeight="1">
      <c r="B852" s="2"/>
      <c r="C852" s="2"/>
      <c r="E852" s="2"/>
      <c r="G852" s="2"/>
      <c r="I852" s="2"/>
      <c r="N852" s="2"/>
      <c r="P852" s="2"/>
      <c r="Q852" s="2"/>
      <c r="R852" s="2"/>
      <c r="S852" s="2"/>
      <c r="T852" s="2"/>
      <c r="U852" s="2"/>
      <c r="V852" s="2"/>
      <c r="W852" s="2"/>
    </row>
    <row r="853" spans="2:23" ht="15.75" customHeight="1">
      <c r="B853" s="2"/>
      <c r="C853" s="2"/>
      <c r="E853" s="2"/>
      <c r="G853" s="2"/>
      <c r="I853" s="2"/>
      <c r="N853" s="2"/>
      <c r="P853" s="2"/>
      <c r="Q853" s="2"/>
      <c r="R853" s="2"/>
      <c r="S853" s="2"/>
      <c r="T853" s="2"/>
      <c r="U853" s="2"/>
      <c r="V853" s="2"/>
      <c r="W853" s="2"/>
    </row>
    <row r="854" spans="2:23" ht="15.75" customHeight="1">
      <c r="B854" s="2"/>
      <c r="C854" s="2"/>
      <c r="E854" s="2"/>
      <c r="G854" s="2"/>
      <c r="I854" s="2"/>
      <c r="N854" s="2"/>
      <c r="P854" s="2"/>
      <c r="Q854" s="2"/>
      <c r="R854" s="2"/>
      <c r="S854" s="2"/>
      <c r="T854" s="2"/>
      <c r="U854" s="2"/>
      <c r="V854" s="2"/>
      <c r="W854" s="2"/>
    </row>
    <row r="855" spans="2:23" ht="15.75" customHeight="1">
      <c r="B855" s="2"/>
      <c r="C855" s="2"/>
      <c r="E855" s="2"/>
      <c r="G855" s="2"/>
      <c r="I855" s="2"/>
      <c r="N855" s="2"/>
      <c r="P855" s="2"/>
      <c r="Q855" s="2"/>
      <c r="R855" s="2"/>
      <c r="S855" s="2"/>
      <c r="T855" s="2"/>
      <c r="U855" s="2"/>
      <c r="V855" s="2"/>
      <c r="W855" s="2"/>
    </row>
    <row r="856" spans="2:23" ht="15.75" customHeight="1">
      <c r="B856" s="2"/>
      <c r="C856" s="2"/>
      <c r="E856" s="2"/>
      <c r="G856" s="2"/>
      <c r="I856" s="2"/>
      <c r="N856" s="2"/>
      <c r="P856" s="2"/>
      <c r="Q856" s="2"/>
      <c r="R856" s="2"/>
      <c r="S856" s="2"/>
      <c r="T856" s="2"/>
      <c r="U856" s="2"/>
      <c r="V856" s="2"/>
      <c r="W856" s="2"/>
    </row>
    <row r="857" spans="2:23" ht="15.75" customHeight="1">
      <c r="B857" s="2"/>
      <c r="C857" s="2"/>
      <c r="E857" s="2"/>
      <c r="G857" s="2"/>
      <c r="I857" s="2"/>
      <c r="N857" s="2"/>
      <c r="P857" s="2"/>
      <c r="Q857" s="2"/>
      <c r="R857" s="2"/>
      <c r="S857" s="2"/>
      <c r="T857" s="2"/>
      <c r="U857" s="2"/>
      <c r="V857" s="2"/>
      <c r="W857" s="2"/>
    </row>
    <row r="858" spans="2:23" ht="15.75" customHeight="1">
      <c r="B858" s="2"/>
      <c r="C858" s="2"/>
      <c r="E858" s="2"/>
      <c r="G858" s="2"/>
      <c r="I858" s="2"/>
      <c r="N858" s="2"/>
      <c r="P858" s="2"/>
      <c r="Q858" s="2"/>
      <c r="R858" s="2"/>
      <c r="S858" s="2"/>
      <c r="T858" s="2"/>
      <c r="U858" s="2"/>
      <c r="V858" s="2"/>
      <c r="W858" s="2"/>
    </row>
    <row r="859" spans="2:23" ht="15.75" customHeight="1">
      <c r="B859" s="2"/>
      <c r="C859" s="2"/>
      <c r="E859" s="2"/>
      <c r="G859" s="2"/>
      <c r="I859" s="2"/>
      <c r="N859" s="2"/>
      <c r="P859" s="2"/>
      <c r="Q859" s="2"/>
      <c r="R859" s="2"/>
      <c r="S859" s="2"/>
      <c r="T859" s="2"/>
      <c r="U859" s="2"/>
      <c r="V859" s="2"/>
      <c r="W859" s="2"/>
    </row>
    <row r="860" spans="2:23" ht="15.75" customHeight="1">
      <c r="B860" s="2"/>
      <c r="C860" s="2"/>
      <c r="E860" s="2"/>
      <c r="G860" s="2"/>
      <c r="I860" s="2"/>
      <c r="N860" s="2"/>
      <c r="P860" s="2"/>
      <c r="Q860" s="2"/>
      <c r="R860" s="2"/>
      <c r="S860" s="2"/>
      <c r="T860" s="2"/>
      <c r="U860" s="2"/>
      <c r="V860" s="2"/>
      <c r="W860" s="2"/>
    </row>
    <row r="861" spans="2:23" ht="15.75" customHeight="1">
      <c r="B861" s="2"/>
      <c r="C861" s="2"/>
      <c r="E861" s="2"/>
      <c r="G861" s="2"/>
      <c r="I861" s="2"/>
      <c r="N861" s="2"/>
      <c r="P861" s="2"/>
      <c r="Q861" s="2"/>
      <c r="R861" s="2"/>
      <c r="S861" s="2"/>
      <c r="T861" s="2"/>
      <c r="U861" s="2"/>
      <c r="V861" s="2"/>
      <c r="W861" s="2"/>
    </row>
    <row r="862" spans="2:23" ht="15.75" customHeight="1">
      <c r="B862" s="2"/>
      <c r="C862" s="2"/>
      <c r="E862" s="2"/>
      <c r="G862" s="2"/>
      <c r="I862" s="2"/>
      <c r="N862" s="2"/>
      <c r="P862" s="2"/>
      <c r="Q862" s="2"/>
      <c r="R862" s="2"/>
      <c r="S862" s="2"/>
      <c r="T862" s="2"/>
      <c r="U862" s="2"/>
      <c r="V862" s="2"/>
      <c r="W862" s="2"/>
    </row>
    <row r="863" spans="2:23" ht="15.75" customHeight="1">
      <c r="B863" s="2"/>
      <c r="C863" s="2"/>
      <c r="E863" s="2"/>
      <c r="G863" s="2"/>
      <c r="I863" s="2"/>
      <c r="N863" s="2"/>
      <c r="P863" s="2"/>
      <c r="Q863" s="2"/>
      <c r="R863" s="2"/>
      <c r="S863" s="2"/>
      <c r="T863" s="2"/>
      <c r="U863" s="2"/>
      <c r="V863" s="2"/>
      <c r="W863" s="2"/>
    </row>
    <row r="864" spans="2:23" ht="15.75" customHeight="1">
      <c r="B864" s="2"/>
      <c r="C864" s="2"/>
      <c r="E864" s="2"/>
      <c r="G864" s="2"/>
      <c r="I864" s="2"/>
      <c r="N864" s="2"/>
      <c r="P864" s="2"/>
      <c r="Q864" s="2"/>
      <c r="R864" s="2"/>
      <c r="S864" s="2"/>
      <c r="T864" s="2"/>
      <c r="U864" s="2"/>
      <c r="V864" s="2"/>
      <c r="W864" s="2"/>
    </row>
    <row r="865" spans="2:23" ht="15.75" customHeight="1">
      <c r="B865" s="2"/>
      <c r="C865" s="2"/>
      <c r="E865" s="2"/>
      <c r="G865" s="2"/>
      <c r="I865" s="2"/>
      <c r="N865" s="2"/>
      <c r="P865" s="2"/>
      <c r="Q865" s="2"/>
      <c r="R865" s="2"/>
      <c r="S865" s="2"/>
      <c r="T865" s="2"/>
      <c r="U865" s="2"/>
      <c r="V865" s="2"/>
      <c r="W865" s="2"/>
    </row>
    <row r="866" spans="2:23" ht="15.75" customHeight="1">
      <c r="B866" s="2"/>
      <c r="C866" s="2"/>
      <c r="E866" s="2"/>
      <c r="G866" s="2"/>
      <c r="I866" s="2"/>
      <c r="N866" s="2"/>
      <c r="P866" s="2"/>
      <c r="Q866" s="2"/>
      <c r="R866" s="2"/>
      <c r="S866" s="2"/>
      <c r="T866" s="2"/>
      <c r="U866" s="2"/>
      <c r="V866" s="2"/>
      <c r="W866" s="2"/>
    </row>
    <row r="867" spans="2:23" ht="15.75" customHeight="1">
      <c r="B867" s="2"/>
      <c r="C867" s="2"/>
      <c r="E867" s="2"/>
      <c r="G867" s="2"/>
      <c r="I867" s="2"/>
      <c r="N867" s="2"/>
      <c r="P867" s="2"/>
      <c r="Q867" s="2"/>
      <c r="R867" s="2"/>
      <c r="S867" s="2"/>
      <c r="T867" s="2"/>
      <c r="U867" s="2"/>
      <c r="V867" s="2"/>
      <c r="W867" s="2"/>
    </row>
    <row r="868" spans="2:23" ht="15.75" customHeight="1">
      <c r="B868" s="2"/>
      <c r="C868" s="2"/>
      <c r="E868" s="2"/>
      <c r="G868" s="2"/>
      <c r="I868" s="2"/>
      <c r="N868" s="2"/>
      <c r="P868" s="2"/>
      <c r="Q868" s="2"/>
      <c r="R868" s="2"/>
      <c r="S868" s="2"/>
      <c r="T868" s="2"/>
      <c r="U868" s="2"/>
      <c r="V868" s="2"/>
      <c r="W868" s="2"/>
    </row>
    <row r="869" spans="2:23" ht="15.75" customHeight="1">
      <c r="B869" s="2"/>
      <c r="C869" s="2"/>
      <c r="E869" s="2"/>
      <c r="G869" s="2"/>
      <c r="I869" s="2"/>
      <c r="N869" s="2"/>
      <c r="P869" s="2"/>
      <c r="Q869" s="2"/>
      <c r="R869" s="2"/>
      <c r="S869" s="2"/>
      <c r="T869" s="2"/>
      <c r="U869" s="2"/>
      <c r="V869" s="2"/>
      <c r="W869" s="2"/>
    </row>
    <row r="870" spans="2:23" ht="15.75" customHeight="1">
      <c r="B870" s="2"/>
      <c r="C870" s="2"/>
      <c r="E870" s="2"/>
      <c r="G870" s="2"/>
      <c r="I870" s="2"/>
      <c r="N870" s="2"/>
      <c r="P870" s="2"/>
      <c r="Q870" s="2"/>
      <c r="R870" s="2"/>
      <c r="S870" s="2"/>
      <c r="T870" s="2"/>
      <c r="U870" s="2"/>
      <c r="V870" s="2"/>
      <c r="W870" s="2"/>
    </row>
    <row r="871" spans="2:23" ht="15.75" customHeight="1">
      <c r="B871" s="2"/>
      <c r="C871" s="2"/>
      <c r="E871" s="2"/>
      <c r="G871" s="2"/>
      <c r="I871" s="2"/>
      <c r="N871" s="2"/>
      <c r="P871" s="2"/>
      <c r="Q871" s="2"/>
      <c r="R871" s="2"/>
      <c r="S871" s="2"/>
      <c r="T871" s="2"/>
      <c r="U871" s="2"/>
      <c r="V871" s="2"/>
      <c r="W871" s="2"/>
    </row>
    <row r="872" spans="2:23" ht="15.75" customHeight="1">
      <c r="B872" s="2"/>
      <c r="C872" s="2"/>
      <c r="E872" s="2"/>
      <c r="G872" s="2"/>
      <c r="I872" s="2"/>
      <c r="N872" s="2"/>
      <c r="P872" s="2"/>
      <c r="Q872" s="2"/>
      <c r="R872" s="2"/>
      <c r="S872" s="2"/>
      <c r="T872" s="2"/>
      <c r="U872" s="2"/>
      <c r="V872" s="2"/>
      <c r="W872" s="2"/>
    </row>
    <row r="873" spans="2:23" ht="15.75" customHeight="1">
      <c r="B873" s="2"/>
      <c r="C873" s="2"/>
      <c r="E873" s="2"/>
      <c r="G873" s="2"/>
      <c r="I873" s="2"/>
      <c r="N873" s="2"/>
      <c r="P873" s="2"/>
      <c r="Q873" s="2"/>
      <c r="R873" s="2"/>
      <c r="S873" s="2"/>
      <c r="T873" s="2"/>
      <c r="U873" s="2"/>
      <c r="V873" s="2"/>
      <c r="W873" s="2"/>
    </row>
    <row r="874" spans="2:23" ht="15.75" customHeight="1">
      <c r="B874" s="2"/>
      <c r="C874" s="2"/>
      <c r="E874" s="2"/>
      <c r="G874" s="2"/>
      <c r="I874" s="2"/>
      <c r="N874" s="2"/>
      <c r="P874" s="2"/>
      <c r="Q874" s="2"/>
      <c r="R874" s="2"/>
      <c r="S874" s="2"/>
      <c r="T874" s="2"/>
      <c r="U874" s="2"/>
      <c r="V874" s="2"/>
      <c r="W874" s="2"/>
    </row>
    <row r="875" spans="2:23" ht="15.75" customHeight="1">
      <c r="B875" s="2"/>
      <c r="C875" s="2"/>
      <c r="E875" s="2"/>
      <c r="G875" s="2"/>
      <c r="I875" s="2"/>
      <c r="N875" s="2"/>
      <c r="P875" s="2"/>
      <c r="Q875" s="2"/>
      <c r="R875" s="2"/>
      <c r="S875" s="2"/>
      <c r="T875" s="2"/>
      <c r="U875" s="2"/>
      <c r="V875" s="2"/>
      <c r="W875" s="2"/>
    </row>
    <row r="876" spans="2:23" ht="15.75" customHeight="1">
      <c r="B876" s="2"/>
      <c r="C876" s="2"/>
      <c r="E876" s="2"/>
      <c r="G876" s="2"/>
      <c r="I876" s="2"/>
      <c r="N876" s="2"/>
      <c r="P876" s="2"/>
      <c r="Q876" s="2"/>
      <c r="R876" s="2"/>
      <c r="S876" s="2"/>
      <c r="T876" s="2"/>
      <c r="U876" s="2"/>
      <c r="V876" s="2"/>
      <c r="W876" s="2"/>
    </row>
    <row r="877" spans="2:23" ht="15.75" customHeight="1">
      <c r="B877" s="2"/>
      <c r="C877" s="2"/>
      <c r="E877" s="2"/>
      <c r="G877" s="2"/>
      <c r="I877" s="2"/>
      <c r="N877" s="2"/>
      <c r="P877" s="2"/>
      <c r="Q877" s="2"/>
      <c r="R877" s="2"/>
      <c r="S877" s="2"/>
      <c r="T877" s="2"/>
      <c r="U877" s="2"/>
      <c r="V877" s="2"/>
      <c r="W877" s="2"/>
    </row>
    <row r="878" spans="2:23" ht="15.75" customHeight="1">
      <c r="B878" s="2"/>
      <c r="C878" s="2"/>
      <c r="E878" s="2"/>
      <c r="G878" s="2"/>
      <c r="I878" s="2"/>
      <c r="N878" s="2"/>
      <c r="P878" s="2"/>
      <c r="Q878" s="2"/>
      <c r="R878" s="2"/>
      <c r="S878" s="2"/>
      <c r="T878" s="2"/>
      <c r="U878" s="2"/>
      <c r="V878" s="2"/>
      <c r="W878" s="2"/>
    </row>
    <row r="879" spans="2:23" ht="15.75" customHeight="1">
      <c r="B879" s="2"/>
      <c r="C879" s="2"/>
      <c r="E879" s="2"/>
      <c r="G879" s="2"/>
      <c r="I879" s="2"/>
      <c r="N879" s="2"/>
      <c r="P879" s="2"/>
      <c r="Q879" s="2"/>
      <c r="R879" s="2"/>
      <c r="S879" s="2"/>
      <c r="T879" s="2"/>
      <c r="U879" s="2"/>
      <c r="V879" s="2"/>
      <c r="W879" s="2"/>
    </row>
    <row r="880" spans="2:23" ht="15.75" customHeight="1">
      <c r="B880" s="2"/>
      <c r="C880" s="2"/>
      <c r="E880" s="2"/>
      <c r="G880" s="2"/>
      <c r="I880" s="2"/>
      <c r="N880" s="2"/>
      <c r="P880" s="2"/>
      <c r="Q880" s="2"/>
      <c r="R880" s="2"/>
      <c r="S880" s="2"/>
      <c r="T880" s="2"/>
      <c r="U880" s="2"/>
      <c r="V880" s="2"/>
      <c r="W880" s="2"/>
    </row>
    <row r="881" spans="2:23" ht="15.75" customHeight="1">
      <c r="B881" s="2"/>
      <c r="C881" s="2"/>
      <c r="E881" s="2"/>
      <c r="G881" s="2"/>
      <c r="I881" s="2"/>
      <c r="N881" s="2"/>
      <c r="P881" s="2"/>
      <c r="Q881" s="2"/>
      <c r="R881" s="2"/>
      <c r="S881" s="2"/>
      <c r="T881" s="2"/>
      <c r="U881" s="2"/>
      <c r="V881" s="2"/>
      <c r="W881" s="2"/>
    </row>
    <row r="882" spans="2:23" ht="15.75" customHeight="1">
      <c r="B882" s="2"/>
      <c r="C882" s="2"/>
      <c r="E882" s="2"/>
      <c r="G882" s="2"/>
      <c r="I882" s="2"/>
      <c r="N882" s="2"/>
      <c r="P882" s="2"/>
      <c r="Q882" s="2"/>
      <c r="R882" s="2"/>
      <c r="S882" s="2"/>
      <c r="T882" s="2"/>
      <c r="U882" s="2"/>
      <c r="V882" s="2"/>
      <c r="W882" s="2"/>
    </row>
    <row r="883" spans="2:23" ht="15.75" customHeight="1">
      <c r="B883" s="2"/>
      <c r="C883" s="2"/>
      <c r="E883" s="2"/>
      <c r="G883" s="2"/>
      <c r="I883" s="2"/>
      <c r="N883" s="2"/>
      <c r="P883" s="2"/>
      <c r="Q883" s="2"/>
      <c r="R883" s="2"/>
      <c r="S883" s="2"/>
      <c r="T883" s="2"/>
      <c r="U883" s="2"/>
      <c r="V883" s="2"/>
      <c r="W883" s="2"/>
    </row>
    <row r="884" spans="2:23" ht="15.75" customHeight="1">
      <c r="B884" s="2"/>
      <c r="C884" s="2"/>
      <c r="E884" s="2"/>
      <c r="G884" s="2"/>
      <c r="I884" s="2"/>
      <c r="N884" s="2"/>
      <c r="P884" s="2"/>
      <c r="Q884" s="2"/>
      <c r="R884" s="2"/>
      <c r="S884" s="2"/>
      <c r="T884" s="2"/>
      <c r="U884" s="2"/>
      <c r="V884" s="2"/>
      <c r="W884" s="2"/>
    </row>
    <row r="885" spans="2:23" ht="15.75" customHeight="1">
      <c r="B885" s="2"/>
      <c r="C885" s="2"/>
      <c r="E885" s="2"/>
      <c r="G885" s="2"/>
      <c r="I885" s="2"/>
      <c r="N885" s="2"/>
      <c r="P885" s="2"/>
      <c r="Q885" s="2"/>
      <c r="R885" s="2"/>
      <c r="S885" s="2"/>
      <c r="T885" s="2"/>
      <c r="U885" s="2"/>
      <c r="V885" s="2"/>
      <c r="W885" s="2"/>
    </row>
    <row r="886" spans="2:23" ht="15.75" customHeight="1">
      <c r="B886" s="2"/>
      <c r="C886" s="2"/>
      <c r="E886" s="2"/>
      <c r="G886" s="2"/>
      <c r="I886" s="2"/>
      <c r="N886" s="2"/>
      <c r="P886" s="2"/>
      <c r="Q886" s="2"/>
      <c r="R886" s="2"/>
      <c r="S886" s="2"/>
      <c r="T886" s="2"/>
      <c r="U886" s="2"/>
      <c r="V886" s="2"/>
      <c r="W886" s="2"/>
    </row>
    <row r="887" spans="2:23" ht="15.75" customHeight="1">
      <c r="B887" s="2"/>
      <c r="C887" s="2"/>
      <c r="E887" s="2"/>
      <c r="G887" s="2"/>
      <c r="I887" s="2"/>
      <c r="N887" s="2"/>
      <c r="P887" s="2"/>
      <c r="Q887" s="2"/>
      <c r="R887" s="2"/>
      <c r="S887" s="2"/>
      <c r="T887" s="2"/>
      <c r="U887" s="2"/>
      <c r="V887" s="2"/>
      <c r="W887" s="2"/>
    </row>
    <row r="888" spans="2:23" ht="15.75" customHeight="1">
      <c r="B888" s="2"/>
      <c r="C888" s="2"/>
      <c r="E888" s="2"/>
      <c r="G888" s="2"/>
      <c r="I888" s="2"/>
      <c r="N888" s="2"/>
      <c r="P888" s="2"/>
      <c r="Q888" s="2"/>
      <c r="R888" s="2"/>
      <c r="S888" s="2"/>
      <c r="T888" s="2"/>
      <c r="U888" s="2"/>
      <c r="V888" s="2"/>
      <c r="W888" s="2"/>
    </row>
    <row r="889" spans="2:23" ht="15.75" customHeight="1">
      <c r="B889" s="2"/>
      <c r="C889" s="2"/>
      <c r="E889" s="2"/>
      <c r="G889" s="2"/>
      <c r="I889" s="2"/>
      <c r="N889" s="2"/>
      <c r="P889" s="2"/>
      <c r="Q889" s="2"/>
      <c r="R889" s="2"/>
      <c r="S889" s="2"/>
      <c r="T889" s="2"/>
      <c r="U889" s="2"/>
      <c r="V889" s="2"/>
      <c r="W889" s="2"/>
    </row>
    <row r="890" spans="2:23" ht="15.75" customHeight="1">
      <c r="B890" s="2"/>
      <c r="C890" s="2"/>
      <c r="E890" s="2"/>
      <c r="G890" s="2"/>
      <c r="I890" s="2"/>
      <c r="N890" s="2"/>
      <c r="P890" s="2"/>
      <c r="Q890" s="2"/>
      <c r="R890" s="2"/>
      <c r="S890" s="2"/>
      <c r="T890" s="2"/>
      <c r="U890" s="2"/>
      <c r="V890" s="2"/>
      <c r="W890" s="2"/>
    </row>
    <row r="891" spans="2:23" ht="15.75" customHeight="1">
      <c r="B891" s="2"/>
      <c r="C891" s="2"/>
      <c r="E891" s="2"/>
      <c r="G891" s="2"/>
      <c r="I891" s="2"/>
      <c r="N891" s="2"/>
      <c r="P891" s="2"/>
      <c r="Q891" s="2"/>
      <c r="R891" s="2"/>
      <c r="S891" s="2"/>
      <c r="T891" s="2"/>
      <c r="U891" s="2"/>
      <c r="V891" s="2"/>
      <c r="W891" s="2"/>
    </row>
    <row r="892" spans="2:23" ht="15.75" customHeight="1">
      <c r="B892" s="2"/>
      <c r="C892" s="2"/>
      <c r="E892" s="2"/>
      <c r="G892" s="2"/>
      <c r="I892" s="2"/>
      <c r="N892" s="2"/>
      <c r="P892" s="2"/>
      <c r="Q892" s="2"/>
      <c r="R892" s="2"/>
      <c r="S892" s="2"/>
      <c r="T892" s="2"/>
      <c r="U892" s="2"/>
      <c r="V892" s="2"/>
      <c r="W892" s="2"/>
    </row>
    <row r="893" spans="2:23" ht="15.75" customHeight="1">
      <c r="B893" s="2"/>
      <c r="C893" s="2"/>
      <c r="E893" s="2"/>
      <c r="G893" s="2"/>
      <c r="I893" s="2"/>
      <c r="N893" s="2"/>
      <c r="P893" s="2"/>
      <c r="Q893" s="2"/>
      <c r="R893" s="2"/>
      <c r="S893" s="2"/>
      <c r="T893" s="2"/>
      <c r="U893" s="2"/>
      <c r="V893" s="2"/>
      <c r="W893" s="2"/>
    </row>
    <row r="894" spans="2:23" ht="15.75" customHeight="1">
      <c r="B894" s="2"/>
      <c r="C894" s="2"/>
      <c r="E894" s="2"/>
      <c r="G894" s="2"/>
      <c r="I894" s="2"/>
      <c r="N894" s="2"/>
      <c r="P894" s="2"/>
      <c r="Q894" s="2"/>
      <c r="R894" s="2"/>
      <c r="S894" s="2"/>
      <c r="T894" s="2"/>
      <c r="U894" s="2"/>
      <c r="V894" s="2"/>
      <c r="W894" s="2"/>
    </row>
    <row r="895" spans="2:23" ht="15.75" customHeight="1">
      <c r="B895" s="2"/>
      <c r="C895" s="2"/>
      <c r="E895" s="2"/>
      <c r="G895" s="2"/>
      <c r="I895" s="2"/>
      <c r="N895" s="2"/>
      <c r="P895" s="2"/>
      <c r="Q895" s="2"/>
      <c r="R895" s="2"/>
      <c r="S895" s="2"/>
      <c r="T895" s="2"/>
      <c r="U895" s="2"/>
      <c r="V895" s="2"/>
      <c r="W895" s="2"/>
    </row>
    <row r="896" spans="2:23" ht="15.75" customHeight="1">
      <c r="B896" s="2"/>
      <c r="C896" s="2"/>
      <c r="E896" s="2"/>
      <c r="G896" s="2"/>
      <c r="I896" s="2"/>
      <c r="N896" s="2"/>
      <c r="P896" s="2"/>
      <c r="Q896" s="2"/>
      <c r="R896" s="2"/>
      <c r="S896" s="2"/>
      <c r="T896" s="2"/>
      <c r="U896" s="2"/>
      <c r="V896" s="2"/>
      <c r="W896" s="2"/>
    </row>
    <row r="897" spans="2:23" ht="15.75" customHeight="1">
      <c r="B897" s="2"/>
      <c r="C897" s="2"/>
      <c r="E897" s="2"/>
      <c r="G897" s="2"/>
      <c r="I897" s="2"/>
      <c r="N897" s="2"/>
      <c r="P897" s="2"/>
      <c r="Q897" s="2"/>
      <c r="R897" s="2"/>
      <c r="S897" s="2"/>
      <c r="T897" s="2"/>
      <c r="U897" s="2"/>
      <c r="V897" s="2"/>
      <c r="W897" s="2"/>
    </row>
    <row r="898" spans="2:23" ht="15.75" customHeight="1">
      <c r="B898" s="2"/>
      <c r="C898" s="2"/>
      <c r="E898" s="2"/>
      <c r="G898" s="2"/>
      <c r="I898" s="2"/>
      <c r="N898" s="2"/>
      <c r="P898" s="2"/>
      <c r="Q898" s="2"/>
      <c r="R898" s="2"/>
      <c r="S898" s="2"/>
      <c r="T898" s="2"/>
      <c r="U898" s="2"/>
      <c r="V898" s="2"/>
      <c r="W898" s="2"/>
    </row>
    <row r="899" spans="2:23" ht="15.75" customHeight="1">
      <c r="B899" s="2"/>
      <c r="C899" s="2"/>
      <c r="E899" s="2"/>
      <c r="G899" s="2"/>
      <c r="I899" s="2"/>
      <c r="N899" s="2"/>
      <c r="P899" s="2"/>
      <c r="Q899" s="2"/>
      <c r="R899" s="2"/>
      <c r="S899" s="2"/>
      <c r="T899" s="2"/>
      <c r="U899" s="2"/>
      <c r="V899" s="2"/>
      <c r="W899" s="2"/>
    </row>
    <row r="900" spans="2:23" ht="15.75" customHeight="1">
      <c r="B900" s="2"/>
      <c r="C900" s="2"/>
      <c r="E900" s="2"/>
      <c r="G900" s="2"/>
      <c r="I900" s="2"/>
      <c r="N900" s="2"/>
      <c r="P900" s="2"/>
      <c r="Q900" s="2"/>
      <c r="R900" s="2"/>
      <c r="S900" s="2"/>
      <c r="T900" s="2"/>
      <c r="U900" s="2"/>
      <c r="V900" s="2"/>
      <c r="W900" s="2"/>
    </row>
    <row r="901" spans="2:23" ht="15.75" customHeight="1">
      <c r="B901" s="2"/>
      <c r="C901" s="2"/>
      <c r="E901" s="2"/>
      <c r="G901" s="2"/>
      <c r="I901" s="2"/>
      <c r="N901" s="2"/>
      <c r="P901" s="2"/>
      <c r="Q901" s="2"/>
      <c r="R901" s="2"/>
      <c r="S901" s="2"/>
      <c r="T901" s="2"/>
      <c r="U901" s="2"/>
      <c r="V901" s="2"/>
      <c r="W901" s="2"/>
    </row>
    <row r="902" spans="2:23" ht="15.75" customHeight="1">
      <c r="B902" s="2"/>
      <c r="C902" s="2"/>
      <c r="E902" s="2"/>
      <c r="G902" s="2"/>
      <c r="I902" s="2"/>
      <c r="N902" s="2"/>
      <c r="P902" s="2"/>
      <c r="Q902" s="2"/>
      <c r="R902" s="2"/>
      <c r="S902" s="2"/>
      <c r="T902" s="2"/>
      <c r="U902" s="2"/>
      <c r="V902" s="2"/>
      <c r="W902" s="2"/>
    </row>
    <row r="903" spans="2:23" ht="15.75" customHeight="1">
      <c r="B903" s="2"/>
      <c r="C903" s="2"/>
      <c r="E903" s="2"/>
      <c r="G903" s="2"/>
      <c r="I903" s="2"/>
      <c r="N903" s="2"/>
      <c r="P903" s="2"/>
      <c r="Q903" s="2"/>
      <c r="R903" s="2"/>
      <c r="S903" s="2"/>
      <c r="T903" s="2"/>
      <c r="U903" s="2"/>
      <c r="V903" s="2"/>
      <c r="W903" s="2"/>
    </row>
    <row r="904" spans="2:23" ht="15.75" customHeight="1">
      <c r="B904" s="2"/>
      <c r="C904" s="2"/>
      <c r="E904" s="2"/>
      <c r="G904" s="2"/>
      <c r="I904" s="2"/>
      <c r="N904" s="2"/>
      <c r="P904" s="2"/>
      <c r="Q904" s="2"/>
      <c r="R904" s="2"/>
      <c r="S904" s="2"/>
      <c r="T904" s="2"/>
      <c r="U904" s="2"/>
      <c r="V904" s="2"/>
      <c r="W904" s="2"/>
    </row>
    <row r="905" spans="2:23" ht="15.75" customHeight="1">
      <c r="B905" s="2"/>
      <c r="C905" s="2"/>
      <c r="E905" s="2"/>
      <c r="G905" s="2"/>
      <c r="I905" s="2"/>
      <c r="N905" s="2"/>
      <c r="P905" s="2"/>
      <c r="Q905" s="2"/>
      <c r="R905" s="2"/>
      <c r="S905" s="2"/>
      <c r="T905" s="2"/>
      <c r="U905" s="2"/>
      <c r="V905" s="2"/>
      <c r="W905" s="2"/>
    </row>
    <row r="906" spans="2:23" ht="15.75" customHeight="1">
      <c r="B906" s="2"/>
      <c r="C906" s="2"/>
      <c r="E906" s="2"/>
      <c r="G906" s="2"/>
      <c r="I906" s="2"/>
      <c r="N906" s="2"/>
      <c r="P906" s="2"/>
      <c r="Q906" s="2"/>
      <c r="R906" s="2"/>
      <c r="S906" s="2"/>
      <c r="T906" s="2"/>
      <c r="U906" s="2"/>
      <c r="V906" s="2"/>
      <c r="W906" s="2"/>
    </row>
    <row r="907" spans="2:23" ht="15.75" customHeight="1">
      <c r="B907" s="2"/>
      <c r="C907" s="2"/>
      <c r="E907" s="2"/>
      <c r="G907" s="2"/>
      <c r="I907" s="2"/>
      <c r="N907" s="2"/>
      <c r="P907" s="2"/>
      <c r="Q907" s="2"/>
      <c r="R907" s="2"/>
      <c r="S907" s="2"/>
      <c r="T907" s="2"/>
      <c r="U907" s="2"/>
      <c r="V907" s="2"/>
      <c r="W907" s="2"/>
    </row>
    <row r="908" spans="2:23" ht="15.75" customHeight="1">
      <c r="B908" s="2"/>
      <c r="C908" s="2"/>
      <c r="E908" s="2"/>
      <c r="G908" s="2"/>
      <c r="I908" s="2"/>
      <c r="N908" s="2"/>
      <c r="P908" s="2"/>
      <c r="Q908" s="2"/>
      <c r="R908" s="2"/>
      <c r="S908" s="2"/>
      <c r="T908" s="2"/>
      <c r="U908" s="2"/>
      <c r="V908" s="2"/>
      <c r="W908" s="2"/>
    </row>
    <row r="909" spans="2:23" ht="15.75" customHeight="1">
      <c r="B909" s="2"/>
      <c r="C909" s="2"/>
      <c r="E909" s="2"/>
      <c r="G909" s="2"/>
      <c r="I909" s="2"/>
      <c r="N909" s="2"/>
      <c r="P909" s="2"/>
      <c r="Q909" s="2"/>
      <c r="R909" s="2"/>
      <c r="S909" s="2"/>
      <c r="T909" s="2"/>
      <c r="U909" s="2"/>
      <c r="V909" s="2"/>
      <c r="W909" s="2"/>
    </row>
    <row r="910" spans="2:23" ht="15.75" customHeight="1">
      <c r="B910" s="2"/>
      <c r="C910" s="2"/>
      <c r="E910" s="2"/>
      <c r="G910" s="2"/>
      <c r="I910" s="2"/>
      <c r="N910" s="2"/>
      <c r="P910" s="2"/>
      <c r="Q910" s="2"/>
      <c r="R910" s="2"/>
      <c r="S910" s="2"/>
      <c r="T910" s="2"/>
      <c r="U910" s="2"/>
      <c r="V910" s="2"/>
      <c r="W910" s="2"/>
    </row>
    <row r="911" spans="2:23" ht="15.75" customHeight="1">
      <c r="B911" s="2"/>
      <c r="C911" s="2"/>
      <c r="E911" s="2"/>
      <c r="G911" s="2"/>
      <c r="I911" s="2"/>
      <c r="N911" s="2"/>
      <c r="P911" s="2"/>
      <c r="Q911" s="2"/>
      <c r="R911" s="2"/>
      <c r="S911" s="2"/>
      <c r="T911" s="2"/>
      <c r="U911" s="2"/>
      <c r="V911" s="2"/>
      <c r="W911" s="2"/>
    </row>
    <row r="912" spans="2:23" ht="15.75" customHeight="1">
      <c r="B912" s="2"/>
      <c r="C912" s="2"/>
      <c r="E912" s="2"/>
      <c r="G912" s="2"/>
      <c r="I912" s="2"/>
      <c r="N912" s="2"/>
      <c r="P912" s="2"/>
      <c r="Q912" s="2"/>
      <c r="R912" s="2"/>
      <c r="S912" s="2"/>
      <c r="T912" s="2"/>
      <c r="U912" s="2"/>
      <c r="V912" s="2"/>
      <c r="W912" s="2"/>
    </row>
    <row r="913" spans="2:23" ht="15.75" customHeight="1">
      <c r="B913" s="2"/>
      <c r="C913" s="2"/>
      <c r="E913" s="2"/>
      <c r="G913" s="2"/>
      <c r="I913" s="2"/>
      <c r="N913" s="2"/>
      <c r="P913" s="2"/>
      <c r="Q913" s="2"/>
      <c r="R913" s="2"/>
      <c r="S913" s="2"/>
      <c r="T913" s="2"/>
      <c r="U913" s="2"/>
      <c r="V913" s="2"/>
      <c r="W913" s="2"/>
    </row>
    <row r="914" spans="2:23" ht="15.75" customHeight="1">
      <c r="B914" s="2"/>
      <c r="C914" s="2"/>
      <c r="E914" s="2"/>
      <c r="G914" s="2"/>
      <c r="I914" s="2"/>
      <c r="N914" s="2"/>
      <c r="P914" s="2"/>
      <c r="Q914" s="2"/>
      <c r="R914" s="2"/>
      <c r="S914" s="2"/>
      <c r="T914" s="2"/>
      <c r="U914" s="2"/>
      <c r="V914" s="2"/>
      <c r="W914" s="2"/>
    </row>
    <row r="915" spans="2:23" ht="15.75" customHeight="1">
      <c r="B915" s="2"/>
      <c r="C915" s="2"/>
      <c r="E915" s="2"/>
      <c r="G915" s="2"/>
      <c r="I915" s="2"/>
      <c r="N915" s="2"/>
      <c r="P915" s="2"/>
      <c r="Q915" s="2"/>
      <c r="R915" s="2"/>
      <c r="S915" s="2"/>
      <c r="T915" s="2"/>
      <c r="U915" s="2"/>
      <c r="V915" s="2"/>
      <c r="W915" s="2"/>
    </row>
    <row r="916" spans="2:23" ht="15.75" customHeight="1">
      <c r="B916" s="2"/>
      <c r="C916" s="2"/>
      <c r="E916" s="2"/>
      <c r="G916" s="2"/>
      <c r="I916" s="2"/>
      <c r="N916" s="2"/>
      <c r="P916" s="2"/>
      <c r="Q916" s="2"/>
      <c r="R916" s="2"/>
      <c r="S916" s="2"/>
      <c r="T916" s="2"/>
      <c r="U916" s="2"/>
      <c r="V916" s="2"/>
      <c r="W916" s="2"/>
    </row>
    <row r="917" spans="2:23" ht="15.75" customHeight="1">
      <c r="B917" s="2"/>
      <c r="C917" s="2"/>
      <c r="E917" s="2"/>
      <c r="G917" s="2"/>
      <c r="I917" s="2"/>
      <c r="N917" s="2"/>
      <c r="P917" s="2"/>
      <c r="Q917" s="2"/>
      <c r="R917" s="2"/>
      <c r="S917" s="2"/>
      <c r="T917" s="2"/>
      <c r="U917" s="2"/>
      <c r="V917" s="2"/>
      <c r="W917" s="2"/>
    </row>
    <row r="918" spans="2:23" ht="15.75" customHeight="1">
      <c r="B918" s="2"/>
      <c r="C918" s="2"/>
      <c r="E918" s="2"/>
      <c r="G918" s="2"/>
      <c r="I918" s="2"/>
      <c r="N918" s="2"/>
      <c r="P918" s="2"/>
      <c r="Q918" s="2"/>
      <c r="R918" s="2"/>
      <c r="S918" s="2"/>
      <c r="T918" s="2"/>
      <c r="U918" s="2"/>
      <c r="V918" s="2"/>
      <c r="W918" s="2"/>
    </row>
    <row r="919" spans="2:23" ht="15.75" customHeight="1">
      <c r="B919" s="2"/>
      <c r="C919" s="2"/>
      <c r="E919" s="2"/>
      <c r="G919" s="2"/>
      <c r="I919" s="2"/>
      <c r="N919" s="2"/>
      <c r="P919" s="2"/>
      <c r="Q919" s="2"/>
      <c r="R919" s="2"/>
      <c r="S919" s="2"/>
      <c r="T919" s="2"/>
      <c r="U919" s="2"/>
      <c r="V919" s="2"/>
      <c r="W919" s="2"/>
    </row>
    <row r="920" spans="2:23" ht="15.75" customHeight="1">
      <c r="B920" s="2"/>
      <c r="C920" s="2"/>
      <c r="E920" s="2"/>
      <c r="G920" s="2"/>
      <c r="I920" s="2"/>
      <c r="N920" s="2"/>
      <c r="P920" s="2"/>
      <c r="Q920" s="2"/>
      <c r="R920" s="2"/>
      <c r="S920" s="2"/>
      <c r="T920" s="2"/>
      <c r="U920" s="2"/>
      <c r="V920" s="2"/>
      <c r="W920" s="2"/>
    </row>
    <row r="921" spans="2:23" ht="15.75" customHeight="1">
      <c r="B921" s="2"/>
      <c r="C921" s="2"/>
      <c r="E921" s="2"/>
      <c r="G921" s="2"/>
      <c r="I921" s="2"/>
      <c r="N921" s="2"/>
      <c r="P921" s="2"/>
      <c r="Q921" s="2"/>
      <c r="R921" s="2"/>
      <c r="S921" s="2"/>
      <c r="T921" s="2"/>
      <c r="U921" s="2"/>
      <c r="V921" s="2"/>
      <c r="W921" s="2"/>
    </row>
    <row r="922" spans="2:23" ht="15.75" customHeight="1">
      <c r="B922" s="2"/>
      <c r="C922" s="2"/>
      <c r="E922" s="2"/>
      <c r="G922" s="2"/>
      <c r="I922" s="2"/>
      <c r="N922" s="2"/>
      <c r="P922" s="2"/>
      <c r="Q922" s="2"/>
      <c r="R922" s="2"/>
      <c r="S922" s="2"/>
      <c r="T922" s="2"/>
      <c r="U922" s="2"/>
      <c r="V922" s="2"/>
      <c r="W922" s="2"/>
    </row>
    <row r="923" spans="2:23" ht="15.75" customHeight="1">
      <c r="B923" s="2"/>
      <c r="C923" s="2"/>
      <c r="E923" s="2"/>
      <c r="G923" s="2"/>
      <c r="I923" s="2"/>
      <c r="N923" s="2"/>
      <c r="P923" s="2"/>
      <c r="Q923" s="2"/>
      <c r="R923" s="2"/>
      <c r="S923" s="2"/>
      <c r="T923" s="2"/>
      <c r="U923" s="2"/>
      <c r="V923" s="2"/>
      <c r="W923" s="2"/>
    </row>
    <row r="924" spans="2:23" ht="15.75" customHeight="1">
      <c r="B924" s="2"/>
      <c r="C924" s="2"/>
      <c r="E924" s="2"/>
      <c r="G924" s="2"/>
      <c r="I924" s="2"/>
      <c r="N924" s="2"/>
      <c r="P924" s="2"/>
      <c r="Q924" s="2"/>
      <c r="R924" s="2"/>
      <c r="S924" s="2"/>
      <c r="T924" s="2"/>
      <c r="U924" s="2"/>
      <c r="V924" s="2"/>
      <c r="W924" s="2"/>
    </row>
    <row r="925" spans="2:23" ht="15.75" customHeight="1">
      <c r="B925" s="2"/>
      <c r="C925" s="2"/>
      <c r="E925" s="2"/>
      <c r="G925" s="2"/>
      <c r="I925" s="2"/>
      <c r="N925" s="2"/>
      <c r="P925" s="2"/>
      <c r="Q925" s="2"/>
      <c r="R925" s="2"/>
      <c r="S925" s="2"/>
      <c r="T925" s="2"/>
      <c r="U925" s="2"/>
      <c r="V925" s="2"/>
      <c r="W925" s="2"/>
    </row>
    <row r="926" spans="2:23" ht="15.75" customHeight="1">
      <c r="B926" s="2"/>
      <c r="C926" s="2"/>
      <c r="E926" s="2"/>
      <c r="G926" s="2"/>
      <c r="I926" s="2"/>
      <c r="N926" s="2"/>
      <c r="P926" s="2"/>
      <c r="Q926" s="2"/>
      <c r="R926" s="2"/>
      <c r="S926" s="2"/>
      <c r="T926" s="2"/>
      <c r="U926" s="2"/>
      <c r="V926" s="2"/>
      <c r="W926" s="2"/>
    </row>
    <row r="927" spans="2:23" ht="15.75" customHeight="1">
      <c r="B927" s="2"/>
      <c r="C927" s="2"/>
      <c r="E927" s="2"/>
      <c r="G927" s="2"/>
      <c r="I927" s="2"/>
      <c r="N927" s="2"/>
      <c r="P927" s="2"/>
      <c r="Q927" s="2"/>
      <c r="R927" s="2"/>
      <c r="S927" s="2"/>
      <c r="T927" s="2"/>
      <c r="U927" s="2"/>
      <c r="V927" s="2"/>
      <c r="W927" s="2"/>
    </row>
    <row r="928" spans="2:23" ht="15.75" customHeight="1">
      <c r="B928" s="2"/>
      <c r="C928" s="2"/>
      <c r="E928" s="2"/>
      <c r="G928" s="2"/>
      <c r="I928" s="2"/>
      <c r="N928" s="2"/>
      <c r="P928" s="2"/>
      <c r="Q928" s="2"/>
      <c r="R928" s="2"/>
      <c r="S928" s="2"/>
      <c r="T928" s="2"/>
      <c r="U928" s="2"/>
      <c r="V928" s="2"/>
      <c r="W928" s="2"/>
    </row>
    <row r="929" spans="2:23" ht="15.75" customHeight="1">
      <c r="B929" s="2"/>
      <c r="C929" s="2"/>
      <c r="E929" s="2"/>
      <c r="G929" s="2"/>
      <c r="I929" s="2"/>
      <c r="N929" s="2"/>
      <c r="P929" s="2"/>
      <c r="Q929" s="2"/>
      <c r="R929" s="2"/>
      <c r="S929" s="2"/>
      <c r="T929" s="2"/>
      <c r="U929" s="2"/>
      <c r="V929" s="2"/>
      <c r="W929" s="2"/>
    </row>
    <row r="930" spans="2:23" ht="15.75" customHeight="1">
      <c r="B930" s="2"/>
      <c r="C930" s="2"/>
      <c r="E930" s="2"/>
      <c r="G930" s="2"/>
      <c r="I930" s="2"/>
      <c r="N930" s="2"/>
      <c r="P930" s="2"/>
      <c r="Q930" s="2"/>
      <c r="R930" s="2"/>
      <c r="S930" s="2"/>
      <c r="T930" s="2"/>
      <c r="U930" s="2"/>
      <c r="V930" s="2"/>
      <c r="W930" s="2"/>
    </row>
    <row r="931" spans="2:23" ht="15.75" customHeight="1">
      <c r="B931" s="2"/>
      <c r="C931" s="2"/>
      <c r="E931" s="2"/>
      <c r="G931" s="2"/>
      <c r="I931" s="2"/>
      <c r="N931" s="2"/>
      <c r="P931" s="2"/>
      <c r="Q931" s="2"/>
      <c r="R931" s="2"/>
      <c r="S931" s="2"/>
      <c r="T931" s="2"/>
      <c r="U931" s="2"/>
      <c r="V931" s="2"/>
      <c r="W931" s="2"/>
    </row>
    <row r="932" spans="2:23" ht="15.75" customHeight="1">
      <c r="B932" s="2"/>
      <c r="C932" s="2"/>
      <c r="E932" s="2"/>
      <c r="G932" s="2"/>
      <c r="I932" s="2"/>
      <c r="N932" s="2"/>
      <c r="P932" s="2"/>
      <c r="Q932" s="2"/>
      <c r="R932" s="2"/>
      <c r="S932" s="2"/>
      <c r="T932" s="2"/>
      <c r="U932" s="2"/>
      <c r="V932" s="2"/>
      <c r="W932" s="2"/>
    </row>
    <row r="933" spans="2:23" ht="15.75" customHeight="1">
      <c r="B933" s="2"/>
      <c r="C933" s="2"/>
      <c r="E933" s="2"/>
      <c r="G933" s="2"/>
      <c r="I933" s="2"/>
      <c r="N933" s="2"/>
      <c r="P933" s="2"/>
      <c r="Q933" s="2"/>
      <c r="R933" s="2"/>
      <c r="S933" s="2"/>
      <c r="T933" s="2"/>
      <c r="U933" s="2"/>
      <c r="V933" s="2"/>
      <c r="W933" s="2"/>
    </row>
    <row r="934" spans="2:23" ht="15.75" customHeight="1">
      <c r="B934" s="2"/>
      <c r="C934" s="2"/>
      <c r="E934" s="2"/>
      <c r="G934" s="2"/>
      <c r="I934" s="2"/>
      <c r="N934" s="2"/>
      <c r="P934" s="2"/>
      <c r="Q934" s="2"/>
      <c r="R934" s="2"/>
      <c r="S934" s="2"/>
      <c r="T934" s="2"/>
      <c r="U934" s="2"/>
      <c r="V934" s="2"/>
      <c r="W934" s="2"/>
    </row>
    <row r="935" spans="2:23" ht="15.75" customHeight="1">
      <c r="B935" s="2"/>
      <c r="C935" s="2"/>
      <c r="E935" s="2"/>
      <c r="G935" s="2"/>
      <c r="I935" s="2"/>
      <c r="N935" s="2"/>
      <c r="P935" s="2"/>
      <c r="Q935" s="2"/>
      <c r="R935" s="2"/>
      <c r="S935" s="2"/>
      <c r="T935" s="2"/>
      <c r="U935" s="2"/>
      <c r="V935" s="2"/>
      <c r="W935" s="2"/>
    </row>
    <row r="936" spans="2:23" ht="15.75" customHeight="1">
      <c r="B936" s="2"/>
      <c r="C936" s="2"/>
      <c r="E936" s="2"/>
      <c r="G936" s="2"/>
      <c r="I936" s="2"/>
      <c r="N936" s="2"/>
      <c r="P936" s="2"/>
      <c r="Q936" s="2"/>
      <c r="R936" s="2"/>
      <c r="S936" s="2"/>
      <c r="T936" s="2"/>
      <c r="U936" s="2"/>
      <c r="V936" s="2"/>
      <c r="W936" s="2"/>
    </row>
    <row r="937" spans="2:23" ht="15.75" customHeight="1">
      <c r="B937" s="2"/>
      <c r="C937" s="2"/>
      <c r="E937" s="2"/>
      <c r="G937" s="2"/>
      <c r="I937" s="2"/>
      <c r="N937" s="2"/>
      <c r="P937" s="2"/>
      <c r="Q937" s="2"/>
      <c r="R937" s="2"/>
      <c r="S937" s="2"/>
      <c r="T937" s="2"/>
      <c r="U937" s="2"/>
      <c r="V937" s="2"/>
      <c r="W937" s="2"/>
    </row>
    <row r="938" spans="2:23" ht="15.75" customHeight="1">
      <c r="B938" s="2"/>
      <c r="C938" s="2"/>
      <c r="E938" s="2"/>
      <c r="G938" s="2"/>
      <c r="I938" s="2"/>
      <c r="N938" s="2"/>
      <c r="P938" s="2"/>
      <c r="Q938" s="2"/>
      <c r="R938" s="2"/>
      <c r="S938" s="2"/>
      <c r="T938" s="2"/>
      <c r="U938" s="2"/>
      <c r="V938" s="2"/>
      <c r="W938" s="2"/>
    </row>
    <row r="939" spans="2:23" ht="15.75" customHeight="1">
      <c r="B939" s="2"/>
      <c r="C939" s="2"/>
      <c r="E939" s="2"/>
      <c r="G939" s="2"/>
      <c r="I939" s="2"/>
      <c r="N939" s="2"/>
      <c r="P939" s="2"/>
      <c r="Q939" s="2"/>
      <c r="R939" s="2"/>
      <c r="S939" s="2"/>
      <c r="T939" s="2"/>
      <c r="U939" s="2"/>
      <c r="V939" s="2"/>
      <c r="W939" s="2"/>
    </row>
    <row r="940" spans="2:23" ht="15.75" customHeight="1">
      <c r="B940" s="2"/>
      <c r="C940" s="2"/>
      <c r="E940" s="2"/>
      <c r="G940" s="2"/>
      <c r="I940" s="2"/>
      <c r="N940" s="2"/>
      <c r="P940" s="2"/>
      <c r="Q940" s="2"/>
      <c r="R940" s="2"/>
      <c r="S940" s="2"/>
      <c r="T940" s="2"/>
      <c r="U940" s="2"/>
      <c r="V940" s="2"/>
      <c r="W940" s="2"/>
    </row>
    <row r="941" spans="2:23" ht="15.75" customHeight="1">
      <c r="B941" s="2"/>
      <c r="C941" s="2"/>
      <c r="E941" s="2"/>
      <c r="G941" s="2"/>
      <c r="I941" s="2"/>
      <c r="N941" s="2"/>
      <c r="P941" s="2"/>
      <c r="Q941" s="2"/>
      <c r="R941" s="2"/>
      <c r="S941" s="2"/>
      <c r="T941" s="2"/>
      <c r="U941" s="2"/>
      <c r="V941" s="2"/>
      <c r="W941" s="2"/>
    </row>
    <row r="942" spans="2:23" ht="15.75" customHeight="1">
      <c r="B942" s="2"/>
      <c r="C942" s="2"/>
      <c r="E942" s="2"/>
      <c r="G942" s="2"/>
      <c r="I942" s="2"/>
      <c r="N942" s="2"/>
      <c r="P942" s="2"/>
      <c r="Q942" s="2"/>
      <c r="R942" s="2"/>
      <c r="S942" s="2"/>
      <c r="T942" s="2"/>
      <c r="U942" s="2"/>
      <c r="V942" s="2"/>
      <c r="W942" s="2"/>
    </row>
    <row r="943" spans="2:23" ht="15.75" customHeight="1">
      <c r="B943" s="2"/>
      <c r="C943" s="2"/>
      <c r="E943" s="2"/>
      <c r="G943" s="2"/>
      <c r="I943" s="2"/>
      <c r="N943" s="2"/>
      <c r="P943" s="2"/>
      <c r="Q943" s="2"/>
      <c r="R943" s="2"/>
      <c r="S943" s="2"/>
      <c r="T943" s="2"/>
      <c r="U943" s="2"/>
      <c r="V943" s="2"/>
      <c r="W943" s="2"/>
    </row>
    <row r="944" spans="2:23" ht="15.75" customHeight="1">
      <c r="B944" s="2"/>
      <c r="C944" s="2"/>
      <c r="E944" s="2"/>
      <c r="G944" s="2"/>
      <c r="I944" s="2"/>
      <c r="N944" s="2"/>
      <c r="P944" s="2"/>
      <c r="Q944" s="2"/>
      <c r="R944" s="2"/>
      <c r="S944" s="2"/>
      <c r="T944" s="2"/>
      <c r="U944" s="2"/>
      <c r="V944" s="2"/>
      <c r="W944" s="2"/>
    </row>
    <row r="945" spans="2:23" ht="15.75" customHeight="1">
      <c r="B945" s="2"/>
      <c r="C945" s="2"/>
      <c r="E945" s="2"/>
      <c r="G945" s="2"/>
      <c r="I945" s="2"/>
      <c r="N945" s="2"/>
      <c r="P945" s="2"/>
      <c r="Q945" s="2"/>
      <c r="R945" s="2"/>
      <c r="S945" s="2"/>
      <c r="T945" s="2"/>
      <c r="U945" s="2"/>
      <c r="V945" s="2"/>
      <c r="W945" s="2"/>
    </row>
    <row r="946" spans="2:23" ht="15.75" customHeight="1">
      <c r="B946" s="2"/>
      <c r="C946" s="2"/>
      <c r="E946" s="2"/>
      <c r="G946" s="2"/>
      <c r="I946" s="2"/>
      <c r="N946" s="2"/>
      <c r="P946" s="2"/>
      <c r="Q946" s="2"/>
      <c r="R946" s="2"/>
      <c r="S946" s="2"/>
      <c r="T946" s="2"/>
      <c r="U946" s="2"/>
      <c r="V946" s="2"/>
      <c r="W946" s="2"/>
    </row>
    <row r="947" spans="2:23" ht="15.75" customHeight="1">
      <c r="B947" s="2"/>
      <c r="C947" s="2"/>
      <c r="E947" s="2"/>
      <c r="G947" s="2"/>
      <c r="I947" s="2"/>
      <c r="N947" s="2"/>
      <c r="P947" s="2"/>
      <c r="Q947" s="2"/>
      <c r="R947" s="2"/>
      <c r="S947" s="2"/>
      <c r="T947" s="2"/>
      <c r="U947" s="2"/>
      <c r="V947" s="2"/>
      <c r="W947" s="2"/>
    </row>
    <row r="948" spans="2:23" ht="15.75" customHeight="1">
      <c r="B948" s="2"/>
      <c r="C948" s="2"/>
      <c r="E948" s="2"/>
      <c r="G948" s="2"/>
      <c r="I948" s="2"/>
      <c r="N948" s="2"/>
      <c r="P948" s="2"/>
      <c r="Q948" s="2"/>
      <c r="R948" s="2"/>
      <c r="S948" s="2"/>
      <c r="T948" s="2"/>
      <c r="U948" s="2"/>
      <c r="V948" s="2"/>
      <c r="W948" s="2"/>
    </row>
    <row r="949" spans="2:23" ht="15.75" customHeight="1">
      <c r="B949" s="2"/>
      <c r="C949" s="2"/>
      <c r="E949" s="2"/>
      <c r="G949" s="2"/>
      <c r="I949" s="2"/>
      <c r="N949" s="2"/>
      <c r="P949" s="2"/>
      <c r="Q949" s="2"/>
      <c r="R949" s="2"/>
      <c r="S949" s="2"/>
      <c r="T949" s="2"/>
      <c r="U949" s="2"/>
      <c r="V949" s="2"/>
      <c r="W949" s="2"/>
    </row>
    <row r="950" spans="2:23" ht="15.75" customHeight="1">
      <c r="B950" s="2"/>
      <c r="C950" s="2"/>
      <c r="E950" s="2"/>
      <c r="G950" s="2"/>
      <c r="I950" s="2"/>
      <c r="N950" s="2"/>
      <c r="P950" s="2"/>
      <c r="Q950" s="2"/>
      <c r="R950" s="2"/>
      <c r="S950" s="2"/>
      <c r="T950" s="2"/>
      <c r="U950" s="2"/>
      <c r="V950" s="2"/>
      <c r="W950" s="2"/>
    </row>
    <row r="951" spans="2:23" ht="15.75" customHeight="1">
      <c r="B951" s="2"/>
      <c r="C951" s="2"/>
      <c r="E951" s="2"/>
      <c r="G951" s="2"/>
      <c r="I951" s="2"/>
      <c r="N951" s="2"/>
      <c r="P951" s="2"/>
      <c r="Q951" s="2"/>
      <c r="R951" s="2"/>
      <c r="S951" s="2"/>
      <c r="T951" s="2"/>
      <c r="U951" s="2"/>
      <c r="V951" s="2"/>
      <c r="W951" s="2"/>
    </row>
    <row r="952" spans="2:23" ht="15.75" customHeight="1">
      <c r="B952" s="2"/>
      <c r="C952" s="2"/>
      <c r="E952" s="2"/>
      <c r="G952" s="2"/>
      <c r="I952" s="2"/>
      <c r="N952" s="2"/>
      <c r="P952" s="2"/>
      <c r="Q952" s="2"/>
      <c r="R952" s="2"/>
      <c r="S952" s="2"/>
      <c r="T952" s="2"/>
      <c r="U952" s="2"/>
      <c r="V952" s="2"/>
      <c r="W952" s="2"/>
    </row>
    <row r="953" spans="2:23" ht="15.75" customHeight="1">
      <c r="B953" s="2"/>
      <c r="C953" s="2"/>
      <c r="E953" s="2"/>
      <c r="G953" s="2"/>
      <c r="I953" s="2"/>
      <c r="N953" s="2"/>
      <c r="P953" s="2"/>
      <c r="Q953" s="2"/>
      <c r="R953" s="2"/>
      <c r="S953" s="2"/>
      <c r="T953" s="2"/>
      <c r="U953" s="2"/>
      <c r="V953" s="2"/>
      <c r="W953" s="2"/>
    </row>
    <row r="954" spans="2:23" ht="15.75" customHeight="1">
      <c r="B954" s="2"/>
      <c r="C954" s="2"/>
      <c r="E954" s="2"/>
      <c r="G954" s="2"/>
      <c r="I954" s="2"/>
      <c r="N954" s="2"/>
      <c r="P954" s="2"/>
      <c r="Q954" s="2"/>
      <c r="R954" s="2"/>
      <c r="S954" s="2"/>
      <c r="T954" s="2"/>
      <c r="U954" s="2"/>
      <c r="V954" s="2"/>
      <c r="W954" s="2"/>
    </row>
    <row r="955" spans="2:23" ht="15.75" customHeight="1">
      <c r="B955" s="2"/>
      <c r="C955" s="2"/>
      <c r="E955" s="2"/>
      <c r="G955" s="2"/>
      <c r="I955" s="2"/>
      <c r="N955" s="2"/>
      <c r="P955" s="2"/>
      <c r="Q955" s="2"/>
      <c r="R955" s="2"/>
      <c r="S955" s="2"/>
      <c r="T955" s="2"/>
      <c r="U955" s="2"/>
      <c r="V955" s="2"/>
      <c r="W955" s="2"/>
    </row>
    <row r="956" spans="2:23" ht="15.75" customHeight="1">
      <c r="B956" s="2"/>
      <c r="C956" s="2"/>
      <c r="E956" s="2"/>
      <c r="G956" s="2"/>
      <c r="I956" s="2"/>
      <c r="N956" s="2"/>
      <c r="P956" s="2"/>
      <c r="Q956" s="2"/>
      <c r="R956" s="2"/>
      <c r="S956" s="2"/>
      <c r="T956" s="2"/>
      <c r="U956" s="2"/>
      <c r="V956" s="2"/>
      <c r="W956" s="2"/>
    </row>
    <row r="957" spans="2:23" ht="15.75" customHeight="1">
      <c r="B957" s="2"/>
      <c r="C957" s="2"/>
      <c r="E957" s="2"/>
      <c r="G957" s="2"/>
      <c r="I957" s="2"/>
      <c r="N957" s="2"/>
      <c r="P957" s="2"/>
      <c r="Q957" s="2"/>
      <c r="R957" s="2"/>
      <c r="S957" s="2"/>
      <c r="T957" s="2"/>
      <c r="U957" s="2"/>
      <c r="V957" s="2"/>
      <c r="W957" s="2"/>
    </row>
    <row r="958" spans="2:23" ht="15.75" customHeight="1">
      <c r="B958" s="2"/>
      <c r="C958" s="2"/>
      <c r="E958" s="2"/>
      <c r="G958" s="2"/>
      <c r="I958" s="2"/>
      <c r="N958" s="2"/>
      <c r="P958" s="2"/>
      <c r="Q958" s="2"/>
      <c r="R958" s="2"/>
      <c r="S958" s="2"/>
      <c r="T958" s="2"/>
      <c r="U958" s="2"/>
      <c r="V958" s="2"/>
      <c r="W958" s="2"/>
    </row>
    <row r="959" spans="2:23" ht="15.75" customHeight="1">
      <c r="B959" s="2"/>
      <c r="C959" s="2"/>
      <c r="E959" s="2"/>
      <c r="G959" s="2"/>
      <c r="I959" s="2"/>
      <c r="N959" s="2"/>
      <c r="P959" s="2"/>
      <c r="Q959" s="2"/>
      <c r="R959" s="2"/>
      <c r="S959" s="2"/>
      <c r="T959" s="2"/>
      <c r="U959" s="2"/>
      <c r="V959" s="2"/>
      <c r="W959" s="2"/>
    </row>
    <row r="960" spans="2:23" ht="15.75" customHeight="1">
      <c r="B960" s="2"/>
      <c r="C960" s="2"/>
      <c r="E960" s="2"/>
      <c r="G960" s="2"/>
      <c r="I960" s="2"/>
      <c r="N960" s="2"/>
      <c r="P960" s="2"/>
      <c r="Q960" s="2"/>
      <c r="R960" s="2"/>
      <c r="S960" s="2"/>
      <c r="T960" s="2"/>
      <c r="U960" s="2"/>
      <c r="V960" s="2"/>
      <c r="W960" s="2"/>
    </row>
    <row r="961" spans="2:23" ht="15.75" customHeight="1">
      <c r="B961" s="2"/>
      <c r="C961" s="2"/>
      <c r="E961" s="2"/>
      <c r="G961" s="2"/>
      <c r="I961" s="2"/>
      <c r="N961" s="2"/>
      <c r="P961" s="2"/>
      <c r="Q961" s="2"/>
      <c r="R961" s="2"/>
      <c r="S961" s="2"/>
      <c r="T961" s="2"/>
      <c r="U961" s="2"/>
      <c r="V961" s="2"/>
      <c r="W961" s="2"/>
    </row>
    <row r="962" spans="2:23" ht="15.75" customHeight="1">
      <c r="B962" s="2"/>
      <c r="C962" s="2"/>
      <c r="E962" s="2"/>
      <c r="G962" s="2"/>
      <c r="I962" s="2"/>
      <c r="N962" s="2"/>
      <c r="P962" s="2"/>
      <c r="Q962" s="2"/>
      <c r="R962" s="2"/>
      <c r="S962" s="2"/>
      <c r="T962" s="2"/>
      <c r="U962" s="2"/>
      <c r="V962" s="2"/>
      <c r="W962" s="2"/>
    </row>
    <row r="963" spans="2:23" ht="15.75" customHeight="1">
      <c r="B963" s="2"/>
      <c r="C963" s="2"/>
      <c r="E963" s="2"/>
      <c r="G963" s="2"/>
      <c r="I963" s="2"/>
      <c r="N963" s="2"/>
      <c r="P963" s="2"/>
      <c r="Q963" s="2"/>
      <c r="R963" s="2"/>
      <c r="S963" s="2"/>
      <c r="T963" s="2"/>
      <c r="U963" s="2"/>
      <c r="V963" s="2"/>
      <c r="W963" s="2"/>
    </row>
    <row r="964" spans="2:23" ht="15.75" customHeight="1">
      <c r="B964" s="2"/>
      <c r="C964" s="2"/>
      <c r="E964" s="2"/>
      <c r="G964" s="2"/>
      <c r="I964" s="2"/>
      <c r="N964" s="2"/>
      <c r="P964" s="2"/>
      <c r="Q964" s="2"/>
      <c r="R964" s="2"/>
      <c r="S964" s="2"/>
      <c r="T964" s="2"/>
      <c r="U964" s="2"/>
      <c r="V964" s="2"/>
      <c r="W964" s="2"/>
    </row>
    <row r="965" spans="2:23" ht="15.75" customHeight="1">
      <c r="B965" s="2"/>
      <c r="C965" s="2"/>
      <c r="E965" s="2"/>
      <c r="G965" s="2"/>
      <c r="I965" s="2"/>
      <c r="N965" s="2"/>
      <c r="P965" s="2"/>
      <c r="Q965" s="2"/>
      <c r="R965" s="2"/>
      <c r="S965" s="2"/>
      <c r="T965" s="2"/>
      <c r="U965" s="2"/>
      <c r="V965" s="2"/>
      <c r="W965" s="2"/>
    </row>
    <row r="966" spans="2:23" ht="15.75" customHeight="1">
      <c r="B966" s="2"/>
      <c r="C966" s="2"/>
      <c r="E966" s="2"/>
      <c r="G966" s="2"/>
      <c r="I966" s="2"/>
      <c r="N966" s="2"/>
      <c r="P966" s="2"/>
      <c r="Q966" s="2"/>
      <c r="R966" s="2"/>
      <c r="S966" s="2"/>
      <c r="T966" s="2"/>
      <c r="U966" s="2"/>
      <c r="V966" s="2"/>
      <c r="W966" s="2"/>
    </row>
    <row r="967" spans="2:23" ht="15.75" customHeight="1">
      <c r="B967" s="2"/>
      <c r="C967" s="2"/>
      <c r="E967" s="2"/>
      <c r="G967" s="2"/>
      <c r="I967" s="2"/>
      <c r="N967" s="2"/>
      <c r="P967" s="2"/>
      <c r="Q967" s="2"/>
      <c r="R967" s="2"/>
      <c r="S967" s="2"/>
      <c r="T967" s="2"/>
      <c r="U967" s="2"/>
      <c r="V967" s="2"/>
      <c r="W967" s="2"/>
    </row>
    <row r="968" spans="2:23" ht="15.75" customHeight="1">
      <c r="B968" s="2"/>
      <c r="C968" s="2"/>
      <c r="E968" s="2"/>
      <c r="G968" s="2"/>
      <c r="I968" s="2"/>
      <c r="N968" s="2"/>
      <c r="P968" s="2"/>
      <c r="Q968" s="2"/>
      <c r="R968" s="2"/>
      <c r="S968" s="2"/>
      <c r="T968" s="2"/>
      <c r="U968" s="2"/>
      <c r="V968" s="2"/>
      <c r="W968" s="2"/>
    </row>
    <row r="969" spans="2:23" ht="15.75" customHeight="1">
      <c r="B969" s="2"/>
      <c r="C969" s="2"/>
      <c r="E969" s="2"/>
      <c r="G969" s="2"/>
      <c r="I969" s="2"/>
      <c r="N969" s="2"/>
      <c r="P969" s="2"/>
      <c r="Q969" s="2"/>
      <c r="R969" s="2"/>
      <c r="S969" s="2"/>
      <c r="T969" s="2"/>
      <c r="U969" s="2"/>
      <c r="V969" s="2"/>
      <c r="W969" s="2"/>
    </row>
    <row r="970" spans="2:23" ht="15.75" customHeight="1">
      <c r="B970" s="2"/>
      <c r="C970" s="2"/>
      <c r="E970" s="2"/>
      <c r="G970" s="2"/>
      <c r="I970" s="2"/>
      <c r="N970" s="2"/>
      <c r="P970" s="2"/>
      <c r="Q970" s="2"/>
      <c r="R970" s="2"/>
      <c r="S970" s="2"/>
      <c r="T970" s="2"/>
      <c r="U970" s="2"/>
      <c r="V970" s="2"/>
      <c r="W970" s="2"/>
    </row>
    <row r="971" spans="2:23" ht="15.75" customHeight="1">
      <c r="B971" s="2"/>
      <c r="C971" s="2"/>
      <c r="E971" s="2"/>
      <c r="G971" s="2"/>
      <c r="I971" s="2"/>
      <c r="N971" s="2"/>
      <c r="P971" s="2"/>
      <c r="Q971" s="2"/>
      <c r="R971" s="2"/>
      <c r="S971" s="2"/>
      <c r="T971" s="2"/>
      <c r="U971" s="2"/>
      <c r="V971" s="2"/>
      <c r="W971" s="2"/>
    </row>
    <row r="972" spans="2:23" ht="15.75" customHeight="1">
      <c r="B972" s="2"/>
      <c r="C972" s="2"/>
      <c r="E972" s="2"/>
      <c r="G972" s="2"/>
      <c r="I972" s="2"/>
      <c r="N972" s="2"/>
      <c r="P972" s="2"/>
      <c r="Q972" s="2"/>
      <c r="R972" s="2"/>
      <c r="S972" s="2"/>
      <c r="T972" s="2"/>
      <c r="U972" s="2"/>
      <c r="V972" s="2"/>
      <c r="W972" s="2"/>
    </row>
    <row r="973" spans="2:23" ht="15.75" customHeight="1">
      <c r="B973" s="2"/>
      <c r="C973" s="2"/>
      <c r="E973" s="2"/>
      <c r="G973" s="2"/>
      <c r="I973" s="2"/>
      <c r="N973" s="2"/>
      <c r="P973" s="2"/>
      <c r="Q973" s="2"/>
      <c r="R973" s="2"/>
      <c r="S973" s="2"/>
      <c r="T973" s="2"/>
      <c r="U973" s="2"/>
      <c r="V973" s="2"/>
      <c r="W973" s="2"/>
    </row>
    <row r="974" spans="2:23" ht="15.75" customHeight="1">
      <c r="B974" s="2"/>
      <c r="C974" s="2"/>
      <c r="E974" s="2"/>
      <c r="G974" s="2"/>
      <c r="I974" s="2"/>
      <c r="N974" s="2"/>
      <c r="P974" s="2"/>
      <c r="Q974" s="2"/>
      <c r="R974" s="2"/>
      <c r="S974" s="2"/>
      <c r="T974" s="2"/>
      <c r="U974" s="2"/>
      <c r="V974" s="2"/>
      <c r="W974" s="2"/>
    </row>
    <row r="975" spans="2:23" ht="15.75" customHeight="1">
      <c r="B975" s="2"/>
      <c r="C975" s="2"/>
      <c r="E975" s="2"/>
      <c r="G975" s="2"/>
      <c r="I975" s="2"/>
      <c r="N975" s="2"/>
      <c r="P975" s="2"/>
      <c r="Q975" s="2"/>
      <c r="R975" s="2"/>
      <c r="S975" s="2"/>
      <c r="T975" s="2"/>
      <c r="U975" s="2"/>
      <c r="V975" s="2"/>
      <c r="W975" s="2"/>
    </row>
    <row r="976" spans="2:23" ht="15.75" customHeight="1">
      <c r="B976" s="2"/>
      <c r="C976" s="2"/>
      <c r="E976" s="2"/>
      <c r="G976" s="2"/>
      <c r="I976" s="2"/>
      <c r="N976" s="2"/>
      <c r="P976" s="2"/>
      <c r="Q976" s="2"/>
      <c r="R976" s="2"/>
      <c r="S976" s="2"/>
      <c r="T976" s="2"/>
      <c r="U976" s="2"/>
      <c r="V976" s="2"/>
      <c r="W976" s="2"/>
    </row>
    <row r="977" spans="2:23" ht="15.75" customHeight="1">
      <c r="B977" s="2"/>
      <c r="C977" s="2"/>
      <c r="E977" s="2"/>
      <c r="G977" s="2"/>
      <c r="I977" s="2"/>
      <c r="N977" s="2"/>
      <c r="P977" s="2"/>
      <c r="Q977" s="2"/>
      <c r="R977" s="2"/>
      <c r="S977" s="2"/>
      <c r="T977" s="2"/>
      <c r="U977" s="2"/>
      <c r="V977" s="2"/>
      <c r="W977" s="2"/>
    </row>
    <row r="978" spans="2:23" ht="15.75" customHeight="1">
      <c r="B978" s="2"/>
      <c r="C978" s="2"/>
      <c r="E978" s="2"/>
      <c r="G978" s="2"/>
      <c r="I978" s="2"/>
      <c r="N978" s="2"/>
      <c r="P978" s="2"/>
      <c r="Q978" s="2"/>
      <c r="R978" s="2"/>
      <c r="S978" s="2"/>
      <c r="T978" s="2"/>
      <c r="U978" s="2"/>
      <c r="V978" s="2"/>
      <c r="W978" s="2"/>
    </row>
    <row r="979" spans="2:23" ht="15.75" customHeight="1">
      <c r="B979" s="2"/>
      <c r="C979" s="2"/>
      <c r="E979" s="2"/>
      <c r="G979" s="2"/>
      <c r="I979" s="2"/>
      <c r="N979" s="2"/>
      <c r="P979" s="2"/>
      <c r="Q979" s="2"/>
      <c r="R979" s="2"/>
      <c r="S979" s="2"/>
      <c r="T979" s="2"/>
      <c r="U979" s="2"/>
      <c r="V979" s="2"/>
      <c r="W979" s="2"/>
    </row>
    <row r="980" spans="2:23" ht="15.75" customHeight="1">
      <c r="B980" s="2"/>
      <c r="C980" s="2"/>
      <c r="E980" s="2"/>
      <c r="G980" s="2"/>
      <c r="I980" s="2"/>
      <c r="N980" s="2"/>
      <c r="P980" s="2"/>
      <c r="Q980" s="2"/>
      <c r="R980" s="2"/>
      <c r="S980" s="2"/>
      <c r="T980" s="2"/>
      <c r="U980" s="2"/>
      <c r="V980" s="2"/>
      <c r="W980" s="2"/>
    </row>
    <row r="981" spans="2:23" ht="15.75" customHeight="1">
      <c r="B981" s="2"/>
      <c r="C981" s="2"/>
      <c r="E981" s="2"/>
      <c r="G981" s="2"/>
      <c r="I981" s="2"/>
      <c r="N981" s="2"/>
      <c r="P981" s="2"/>
      <c r="Q981" s="2"/>
      <c r="R981" s="2"/>
      <c r="S981" s="2"/>
      <c r="T981" s="2"/>
      <c r="U981" s="2"/>
      <c r="V981" s="2"/>
      <c r="W981" s="2"/>
    </row>
    <row r="982" spans="2:23" ht="15.75" customHeight="1">
      <c r="B982" s="2"/>
      <c r="C982" s="2"/>
      <c r="E982" s="2"/>
      <c r="G982" s="2"/>
      <c r="I982" s="2"/>
      <c r="N982" s="2"/>
      <c r="P982" s="2"/>
      <c r="Q982" s="2"/>
      <c r="R982" s="2"/>
      <c r="S982" s="2"/>
      <c r="T982" s="2"/>
      <c r="U982" s="2"/>
      <c r="V982" s="2"/>
      <c r="W982" s="2"/>
    </row>
    <row r="983" spans="2:23" ht="15.75" customHeight="1">
      <c r="B983" s="2"/>
      <c r="C983" s="2"/>
      <c r="E983" s="2"/>
      <c r="G983" s="2"/>
      <c r="I983" s="2"/>
      <c r="N983" s="2"/>
      <c r="P983" s="2"/>
      <c r="Q983" s="2"/>
      <c r="R983" s="2"/>
      <c r="S983" s="2"/>
      <c r="T983" s="2"/>
      <c r="U983" s="2"/>
      <c r="V983" s="2"/>
      <c r="W983" s="2"/>
    </row>
    <row r="984" spans="2:23" ht="15.75" customHeight="1">
      <c r="B984" s="2"/>
      <c r="C984" s="2"/>
      <c r="E984" s="2"/>
      <c r="G984" s="2"/>
      <c r="I984" s="2"/>
      <c r="N984" s="2"/>
      <c r="P984" s="2"/>
      <c r="Q984" s="2"/>
      <c r="R984" s="2"/>
      <c r="S984" s="2"/>
      <c r="T984" s="2"/>
      <c r="U984" s="2"/>
      <c r="V984" s="2"/>
      <c r="W984" s="2"/>
    </row>
    <row r="985" spans="2:23" ht="15.75" customHeight="1">
      <c r="B985" s="2"/>
      <c r="C985" s="2"/>
      <c r="E985" s="2"/>
      <c r="G985" s="2"/>
      <c r="I985" s="2"/>
      <c r="N985" s="2"/>
      <c r="P985" s="2"/>
      <c r="Q985" s="2"/>
      <c r="R985" s="2"/>
      <c r="S985" s="2"/>
      <c r="T985" s="2"/>
      <c r="U985" s="2"/>
      <c r="V985" s="2"/>
      <c r="W985" s="2"/>
    </row>
  </sheetData>
  <autoFilter ref="A1:W60" xr:uid="{00000000-0009-0000-0000-000001000000}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9"/>
  <sheetViews>
    <sheetView workbookViewId="0"/>
  </sheetViews>
  <sheetFormatPr baseColWidth="10" defaultColWidth="14.42578125" defaultRowHeight="15" customHeight="1"/>
  <cols>
    <col min="1" max="1" width="42.42578125" customWidth="1"/>
    <col min="2" max="2" width="11.7109375" customWidth="1"/>
    <col min="3" max="3" width="15" customWidth="1"/>
    <col min="4" max="26" width="10.7109375" customWidth="1"/>
  </cols>
  <sheetData>
    <row r="1" spans="1:3">
      <c r="A1" s="1" t="s">
        <v>2</v>
      </c>
    </row>
    <row r="2" spans="1:3">
      <c r="A2" s="1" t="s">
        <v>4</v>
      </c>
      <c r="B2" s="1" t="s">
        <v>5</v>
      </c>
      <c r="C2" s="4" t="s">
        <v>9</v>
      </c>
    </row>
    <row r="3" spans="1:3">
      <c r="A3" s="1" t="s">
        <v>36</v>
      </c>
      <c r="B3" s="1" t="s">
        <v>5</v>
      </c>
      <c r="C3" s="4" t="s">
        <v>38</v>
      </c>
    </row>
    <row r="4" spans="1:3">
      <c r="A4" s="1" t="s">
        <v>46</v>
      </c>
      <c r="B4" s="1" t="s">
        <v>5</v>
      </c>
      <c r="C4" s="4" t="s">
        <v>47</v>
      </c>
    </row>
    <row r="5" spans="1:3">
      <c r="A5" s="1" t="s">
        <v>55</v>
      </c>
      <c r="B5" s="1" t="s">
        <v>5</v>
      </c>
      <c r="C5" s="4" t="s">
        <v>58</v>
      </c>
    </row>
    <row r="6" spans="1:3">
      <c r="A6" s="1" t="s">
        <v>31</v>
      </c>
      <c r="B6" s="1" t="s">
        <v>5</v>
      </c>
      <c r="C6" s="4" t="s">
        <v>76</v>
      </c>
    </row>
    <row r="7" spans="1:3">
      <c r="A7" s="1" t="s">
        <v>74</v>
      </c>
      <c r="B7" s="1" t="s">
        <v>5</v>
      </c>
      <c r="C7" s="4" t="s">
        <v>81</v>
      </c>
    </row>
    <row r="8" spans="1:3">
      <c r="A8" s="1" t="s">
        <v>92</v>
      </c>
      <c r="B8" s="1" t="s">
        <v>5</v>
      </c>
      <c r="C8" s="4" t="s">
        <v>94</v>
      </c>
    </row>
    <row r="9" spans="1:3">
      <c r="A9" s="1" t="s">
        <v>97</v>
      </c>
      <c r="B9" s="1" t="s">
        <v>5</v>
      </c>
      <c r="C9" s="4" t="s">
        <v>100</v>
      </c>
    </row>
    <row r="10" spans="1:3">
      <c r="A10" s="1" t="s">
        <v>110</v>
      </c>
      <c r="B10" s="1" t="s">
        <v>5</v>
      </c>
      <c r="C10" s="4" t="s">
        <v>111</v>
      </c>
    </row>
    <row r="11" spans="1:3">
      <c r="A11" s="1" t="s">
        <v>123</v>
      </c>
      <c r="B11" s="1" t="s">
        <v>5</v>
      </c>
      <c r="C11" s="4" t="s">
        <v>125</v>
      </c>
    </row>
    <row r="12" spans="1:3">
      <c r="A12" s="1" t="s">
        <v>131</v>
      </c>
      <c r="B12" s="1" t="s">
        <v>5</v>
      </c>
      <c r="C12" s="4" t="s">
        <v>132</v>
      </c>
    </row>
    <row r="13" spans="1:3">
      <c r="A13" s="1" t="s">
        <v>136</v>
      </c>
      <c r="B13" s="1" t="s">
        <v>5</v>
      </c>
      <c r="C13" s="4" t="s">
        <v>137</v>
      </c>
    </row>
    <row r="14" spans="1:3">
      <c r="A14" s="1" t="s">
        <v>142</v>
      </c>
      <c r="B14" s="1" t="s">
        <v>5</v>
      </c>
      <c r="C14" s="4" t="s">
        <v>146</v>
      </c>
    </row>
    <row r="15" spans="1:3">
      <c r="A15" s="1" t="s">
        <v>149</v>
      </c>
      <c r="B15" s="1" t="s">
        <v>5</v>
      </c>
      <c r="C15" s="4" t="s">
        <v>150</v>
      </c>
    </row>
    <row r="16" spans="1:3">
      <c r="A16" s="1" t="s">
        <v>151</v>
      </c>
      <c r="B16" s="1" t="s">
        <v>5</v>
      </c>
      <c r="C16" s="4" t="s">
        <v>152</v>
      </c>
    </row>
    <row r="17" spans="1:3">
      <c r="A17" s="1" t="s">
        <v>166</v>
      </c>
      <c r="B17" s="1" t="s">
        <v>5</v>
      </c>
      <c r="C17" s="4" t="s">
        <v>168</v>
      </c>
    </row>
    <row r="18" spans="1:3">
      <c r="A18" s="1" t="s">
        <v>52</v>
      </c>
      <c r="B18" s="1" t="s">
        <v>5</v>
      </c>
      <c r="C18" s="4" t="s">
        <v>170</v>
      </c>
    </row>
    <row r="19" spans="1:3">
      <c r="A19" s="1" t="s">
        <v>179</v>
      </c>
      <c r="B19" s="1" t="s">
        <v>5</v>
      </c>
      <c r="C19" s="4" t="s">
        <v>180</v>
      </c>
    </row>
    <row r="20" spans="1:3">
      <c r="A20" s="1" t="s">
        <v>183</v>
      </c>
      <c r="B20" s="1" t="s">
        <v>5</v>
      </c>
      <c r="C20" s="4" t="s">
        <v>184</v>
      </c>
    </row>
    <row r="21" spans="1:3" ht="15.75" customHeight="1">
      <c r="A21" s="1" t="s">
        <v>193</v>
      </c>
      <c r="B21" s="1" t="s">
        <v>5</v>
      </c>
      <c r="C21" s="4" t="s">
        <v>194</v>
      </c>
    </row>
    <row r="22" spans="1:3" ht="15.75" customHeight="1">
      <c r="A22" s="1" t="s">
        <v>196</v>
      </c>
      <c r="B22" s="1" t="s">
        <v>5</v>
      </c>
      <c r="C22" s="4" t="s">
        <v>197</v>
      </c>
    </row>
    <row r="23" spans="1:3" ht="15.75" customHeight="1">
      <c r="A23" s="1" t="s">
        <v>209</v>
      </c>
      <c r="B23" s="1" t="s">
        <v>5</v>
      </c>
      <c r="C23" s="4" t="s">
        <v>210</v>
      </c>
    </row>
    <row r="24" spans="1:3" ht="15.75" customHeight="1">
      <c r="A24" s="1" t="s">
        <v>213</v>
      </c>
      <c r="B24" s="1" t="s">
        <v>5</v>
      </c>
      <c r="C24" s="4" t="s">
        <v>215</v>
      </c>
    </row>
    <row r="25" spans="1:3" ht="15.75" customHeight="1">
      <c r="A25" s="1" t="s">
        <v>218</v>
      </c>
      <c r="B25" s="1" t="s">
        <v>5</v>
      </c>
      <c r="C25" s="4" t="s">
        <v>215</v>
      </c>
    </row>
    <row r="26" spans="1:3" ht="15.75" customHeight="1">
      <c r="A26" s="1" t="s">
        <v>224</v>
      </c>
      <c r="B26" s="1" t="s">
        <v>5</v>
      </c>
      <c r="C26" s="4" t="s">
        <v>226</v>
      </c>
    </row>
    <row r="27" spans="1:3" ht="15.75" customHeight="1">
      <c r="A27" s="1" t="s">
        <v>234</v>
      </c>
      <c r="B27" s="1" t="s">
        <v>5</v>
      </c>
      <c r="C27" s="4" t="s">
        <v>235</v>
      </c>
    </row>
    <row r="28" spans="1:3" ht="15.75" customHeight="1">
      <c r="A28" s="1" t="s">
        <v>242</v>
      </c>
      <c r="B28" s="1" t="s">
        <v>5</v>
      </c>
      <c r="C28" s="4" t="s">
        <v>244</v>
      </c>
    </row>
    <row r="29" spans="1:3" ht="15.75" customHeight="1">
      <c r="A29" s="1" t="s">
        <v>248</v>
      </c>
      <c r="B29" s="1" t="s">
        <v>5</v>
      </c>
      <c r="C29" s="4" t="s">
        <v>249</v>
      </c>
    </row>
    <row r="30" spans="1:3" ht="15.75" customHeight="1">
      <c r="A30" s="1" t="s">
        <v>254</v>
      </c>
      <c r="B30" s="1" t="s">
        <v>5</v>
      </c>
      <c r="C30" s="4" t="s">
        <v>256</v>
      </c>
    </row>
    <row r="31" spans="1:3" ht="15.75" customHeight="1">
      <c r="A31" s="1" t="s">
        <v>260</v>
      </c>
      <c r="B31" s="1" t="s">
        <v>5</v>
      </c>
      <c r="C31" s="4" t="s">
        <v>261</v>
      </c>
    </row>
    <row r="32" spans="1:3" ht="15.75" customHeight="1">
      <c r="A32" s="1" t="s">
        <v>263</v>
      </c>
      <c r="B32" s="1" t="s">
        <v>5</v>
      </c>
      <c r="C32" s="4" t="s">
        <v>264</v>
      </c>
    </row>
    <row r="33" spans="1:3" ht="15.75" customHeight="1">
      <c r="A33" s="1" t="s">
        <v>276</v>
      </c>
      <c r="B33" s="1" t="s">
        <v>5</v>
      </c>
      <c r="C33" s="4" t="s">
        <v>277</v>
      </c>
    </row>
    <row r="34" spans="1:3" ht="15.75" customHeight="1">
      <c r="A34" s="1" t="s">
        <v>278</v>
      </c>
      <c r="B34" s="1" t="s">
        <v>5</v>
      </c>
      <c r="C34" s="4" t="s">
        <v>280</v>
      </c>
    </row>
    <row r="35" spans="1:3" ht="15.75" customHeight="1">
      <c r="A35" s="1" t="s">
        <v>293</v>
      </c>
      <c r="B35" s="1" t="s">
        <v>5</v>
      </c>
      <c r="C35" s="4" t="s">
        <v>295</v>
      </c>
    </row>
    <row r="36" spans="1:3" ht="15.75" customHeight="1">
      <c r="A36" s="1" t="s">
        <v>304</v>
      </c>
      <c r="B36" s="1" t="s">
        <v>5</v>
      </c>
      <c r="C36" s="4" t="s">
        <v>306</v>
      </c>
    </row>
    <row r="37" spans="1:3" ht="15.75" customHeight="1">
      <c r="A37" s="1" t="s">
        <v>310</v>
      </c>
      <c r="B37" s="1" t="s">
        <v>5</v>
      </c>
      <c r="C37" s="4" t="s">
        <v>311</v>
      </c>
    </row>
    <row r="38" spans="1:3" ht="15.75" customHeight="1">
      <c r="A38" s="1" t="s">
        <v>315</v>
      </c>
      <c r="B38" s="1" t="s">
        <v>5</v>
      </c>
      <c r="C38" s="4" t="s">
        <v>316</v>
      </c>
    </row>
    <row r="39" spans="1:3" ht="15.75" customHeight="1">
      <c r="A39" s="1" t="s">
        <v>318</v>
      </c>
      <c r="B39" s="1" t="s">
        <v>5</v>
      </c>
      <c r="C39" s="4" t="s">
        <v>319</v>
      </c>
    </row>
    <row r="40" spans="1:3" ht="15.75" customHeight="1">
      <c r="A40" s="1" t="s">
        <v>329</v>
      </c>
      <c r="B40" s="1" t="s">
        <v>5</v>
      </c>
      <c r="C40" s="4" t="s">
        <v>330</v>
      </c>
    </row>
    <row r="41" spans="1:3" ht="15.75" customHeight="1">
      <c r="A41" s="1" t="s">
        <v>333</v>
      </c>
      <c r="B41" s="1" t="s">
        <v>5</v>
      </c>
      <c r="C41" s="4" t="s">
        <v>335</v>
      </c>
    </row>
    <row r="42" spans="1:3" ht="15.75" customHeight="1">
      <c r="A42" s="1" t="s">
        <v>339</v>
      </c>
      <c r="B42" s="1" t="s">
        <v>5</v>
      </c>
      <c r="C42" s="4" t="s">
        <v>340</v>
      </c>
    </row>
    <row r="43" spans="1:3" ht="15.75" customHeight="1">
      <c r="A43" s="1" t="s">
        <v>352</v>
      </c>
      <c r="B43" s="1" t="s">
        <v>5</v>
      </c>
      <c r="C43" s="4" t="s">
        <v>354</v>
      </c>
    </row>
    <row r="44" spans="1:3" ht="15.75" customHeight="1">
      <c r="A44" s="1" t="s">
        <v>359</v>
      </c>
      <c r="B44" s="1" t="s">
        <v>5</v>
      </c>
      <c r="C44" s="4" t="s">
        <v>362</v>
      </c>
    </row>
    <row r="45" spans="1:3" ht="15.75" customHeight="1">
      <c r="A45" s="1" t="s">
        <v>365</v>
      </c>
      <c r="B45" s="1" t="s">
        <v>5</v>
      </c>
      <c r="C45" s="4" t="s">
        <v>366</v>
      </c>
    </row>
    <row r="46" spans="1:3" ht="15.75" customHeight="1">
      <c r="A46" s="1" t="s">
        <v>374</v>
      </c>
      <c r="B46" s="1" t="s">
        <v>5</v>
      </c>
      <c r="C46" s="4" t="s">
        <v>375</v>
      </c>
    </row>
    <row r="47" spans="1:3" ht="15.75" customHeight="1">
      <c r="A47" s="1" t="s">
        <v>377</v>
      </c>
      <c r="B47" s="1" t="s">
        <v>5</v>
      </c>
      <c r="C47" s="4" t="s">
        <v>378</v>
      </c>
    </row>
    <row r="48" spans="1:3" ht="15.75" customHeight="1">
      <c r="A48" s="1" t="s">
        <v>388</v>
      </c>
      <c r="B48" s="1" t="s">
        <v>5</v>
      </c>
      <c r="C48" s="4" t="s">
        <v>389</v>
      </c>
    </row>
    <row r="49" spans="1:3" ht="15.75" customHeight="1">
      <c r="A49" s="1" t="s">
        <v>400</v>
      </c>
      <c r="B49" s="1" t="s">
        <v>5</v>
      </c>
      <c r="C49" s="4" t="s">
        <v>401</v>
      </c>
    </row>
    <row r="50" spans="1:3" ht="15.75" customHeight="1">
      <c r="A50" s="1" t="s">
        <v>404</v>
      </c>
      <c r="B50" s="1" t="s">
        <v>5</v>
      </c>
      <c r="C50" s="4" t="s">
        <v>405</v>
      </c>
    </row>
    <row r="51" spans="1:3" ht="15.75" customHeight="1">
      <c r="A51" s="1" t="s">
        <v>407</v>
      </c>
      <c r="B51" s="1" t="s">
        <v>5</v>
      </c>
      <c r="C51" s="4" t="s">
        <v>408</v>
      </c>
    </row>
    <row r="52" spans="1:3" ht="15.75" customHeight="1">
      <c r="A52" s="1" t="s">
        <v>410</v>
      </c>
      <c r="B52" s="1" t="s">
        <v>5</v>
      </c>
      <c r="C52" s="4" t="s">
        <v>408</v>
      </c>
    </row>
    <row r="53" spans="1:3" ht="15.75" customHeight="1">
      <c r="A53" s="1" t="s">
        <v>411</v>
      </c>
      <c r="B53" s="1" t="s">
        <v>5</v>
      </c>
      <c r="C53" s="4" t="s">
        <v>412</v>
      </c>
    </row>
    <row r="54" spans="1:3" ht="15.75" customHeight="1">
      <c r="A54" s="1" t="s">
        <v>415</v>
      </c>
      <c r="B54" s="1" t="s">
        <v>5</v>
      </c>
      <c r="C54" s="4" t="s">
        <v>416</v>
      </c>
    </row>
    <row r="55" spans="1:3" ht="15.75" customHeight="1">
      <c r="A55" s="1" t="s">
        <v>421</v>
      </c>
      <c r="B55" s="1" t="s">
        <v>5</v>
      </c>
      <c r="C55" s="4" t="s">
        <v>422</v>
      </c>
    </row>
    <row r="56" spans="1:3" ht="15.75" customHeight="1">
      <c r="A56" s="1" t="s">
        <v>425</v>
      </c>
      <c r="B56" s="1" t="s">
        <v>5</v>
      </c>
      <c r="C56" s="4" t="s">
        <v>426</v>
      </c>
    </row>
    <row r="57" spans="1:3" ht="15.75" customHeight="1">
      <c r="A57" s="1" t="s">
        <v>428</v>
      </c>
      <c r="B57" s="1" t="s">
        <v>5</v>
      </c>
      <c r="C57" s="4" t="s">
        <v>429</v>
      </c>
    </row>
    <row r="58" spans="1:3" ht="15.75" customHeight="1">
      <c r="A58" s="1" t="s">
        <v>437</v>
      </c>
      <c r="B58" s="1" t="s">
        <v>5</v>
      </c>
      <c r="C58" s="4" t="s">
        <v>438</v>
      </c>
    </row>
    <row r="59" spans="1:3" ht="15.75" customHeight="1">
      <c r="A59" s="1" t="s">
        <v>274</v>
      </c>
      <c r="B59" s="1" t="s">
        <v>5</v>
      </c>
      <c r="C59" s="4" t="s">
        <v>440</v>
      </c>
    </row>
    <row r="60" spans="1:3" ht="15.75" customHeight="1">
      <c r="A60" s="1" t="s">
        <v>447</v>
      </c>
      <c r="B60" s="1" t="s">
        <v>5</v>
      </c>
      <c r="C60" s="4" t="s">
        <v>448</v>
      </c>
    </row>
    <row r="61" spans="1:3" ht="15.75" customHeight="1">
      <c r="A61" s="1" t="s">
        <v>193</v>
      </c>
      <c r="B61" s="1" t="s">
        <v>5</v>
      </c>
      <c r="C61" s="4" t="s">
        <v>458</v>
      </c>
    </row>
    <row r="62" spans="1:3" ht="15.75" customHeight="1">
      <c r="A62" s="1" t="s">
        <v>196</v>
      </c>
      <c r="B62" s="1" t="s">
        <v>5</v>
      </c>
      <c r="C62" s="4" t="s">
        <v>461</v>
      </c>
    </row>
    <row r="63" spans="1:3" ht="15.75" customHeight="1">
      <c r="A63" s="1" t="s">
        <v>209</v>
      </c>
      <c r="B63" s="1" t="s">
        <v>5</v>
      </c>
      <c r="C63" s="4" t="s">
        <v>464</v>
      </c>
    </row>
    <row r="64" spans="1:3" ht="15.75" customHeight="1">
      <c r="A64" s="1" t="s">
        <v>437</v>
      </c>
      <c r="B64" s="1" t="s">
        <v>5</v>
      </c>
      <c r="C64" s="17" t="s">
        <v>467</v>
      </c>
    </row>
    <row r="65" spans="1:3" ht="15.75" customHeight="1">
      <c r="A65" s="1" t="s">
        <v>428</v>
      </c>
      <c r="B65" s="1" t="s">
        <v>5</v>
      </c>
      <c r="C65" s="17" t="s">
        <v>473</v>
      </c>
    </row>
    <row r="66" spans="1:3" ht="15.75" customHeight="1">
      <c r="A66" s="1" t="s">
        <v>480</v>
      </c>
      <c r="B66" s="1" t="s">
        <v>5</v>
      </c>
      <c r="C66" s="17" t="s">
        <v>482</v>
      </c>
    </row>
    <row r="67" spans="1:3" ht="15.75" customHeight="1">
      <c r="A67" s="1" t="s">
        <v>486</v>
      </c>
      <c r="B67" s="1" t="s">
        <v>5</v>
      </c>
      <c r="C67" s="18" t="s">
        <v>488</v>
      </c>
    </row>
    <row r="68" spans="1:3" ht="15.75" customHeight="1">
      <c r="A68" s="1" t="s">
        <v>496</v>
      </c>
      <c r="B68" s="1" t="s">
        <v>5</v>
      </c>
      <c r="C68" s="17" t="s">
        <v>497</v>
      </c>
    </row>
    <row r="69" spans="1:3" ht="15.75" customHeight="1">
      <c r="A69" s="1" t="s">
        <v>507</v>
      </c>
      <c r="B69" s="1" t="s">
        <v>5</v>
      </c>
      <c r="C69" s="18" t="s">
        <v>508</v>
      </c>
    </row>
    <row r="70" spans="1:3" ht="15.75" customHeight="1">
      <c r="A70" s="1" t="s">
        <v>510</v>
      </c>
      <c r="B70" s="1" t="s">
        <v>5</v>
      </c>
      <c r="C70" s="18" t="s">
        <v>511</v>
      </c>
    </row>
    <row r="71" spans="1:3" ht="15.75" customHeight="1">
      <c r="A71" s="1" t="s">
        <v>518</v>
      </c>
      <c r="B71" s="1" t="s">
        <v>5</v>
      </c>
      <c r="C71" s="17" t="s">
        <v>519</v>
      </c>
    </row>
    <row r="72" spans="1:3" ht="15.75" customHeight="1">
      <c r="A72" s="1" t="s">
        <v>524</v>
      </c>
      <c r="B72" s="1" t="s">
        <v>5</v>
      </c>
      <c r="C72" s="17" t="s">
        <v>527</v>
      </c>
    </row>
    <row r="73" spans="1:3" ht="15.75" customHeight="1">
      <c r="A73" s="1" t="s">
        <v>528</v>
      </c>
      <c r="B73" s="1" t="s">
        <v>5</v>
      </c>
      <c r="C73" s="18" t="s">
        <v>530</v>
      </c>
    </row>
    <row r="74" spans="1:3" ht="15.75" customHeight="1">
      <c r="A74" s="1" t="s">
        <v>535</v>
      </c>
      <c r="B74" s="1" t="s">
        <v>5</v>
      </c>
      <c r="C74" s="17" t="s">
        <v>536</v>
      </c>
    </row>
    <row r="75" spans="1:3" ht="15.75" customHeight="1"/>
    <row r="76" spans="1:3" ht="15.75" customHeight="1"/>
    <row r="77" spans="1:3" ht="15.75" customHeight="1"/>
    <row r="78" spans="1:3" ht="15.75" customHeight="1"/>
    <row r="79" spans="1:3" ht="15.75" customHeight="1"/>
    <row r="80" spans="1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6" r:id="rId14" xr:uid="{00000000-0004-0000-0200-00000D000000}"/>
    <hyperlink ref="C17" r:id="rId15" xr:uid="{00000000-0004-0000-0200-00000E000000}"/>
    <hyperlink ref="C18" r:id="rId16" xr:uid="{00000000-0004-0000-0200-00000F000000}"/>
    <hyperlink ref="C19" r:id="rId17" xr:uid="{00000000-0004-0000-0200-000010000000}"/>
    <hyperlink ref="C20" r:id="rId18" xr:uid="{00000000-0004-0000-0200-000011000000}"/>
    <hyperlink ref="C21" r:id="rId19" xr:uid="{00000000-0004-0000-0200-000012000000}"/>
    <hyperlink ref="C22" r:id="rId20" xr:uid="{00000000-0004-0000-0200-000013000000}"/>
    <hyperlink ref="C23" r:id="rId21" xr:uid="{00000000-0004-0000-0200-000014000000}"/>
    <hyperlink ref="C24" r:id="rId22" xr:uid="{00000000-0004-0000-0200-000015000000}"/>
    <hyperlink ref="C25" r:id="rId23" xr:uid="{00000000-0004-0000-0200-000016000000}"/>
    <hyperlink ref="C26" r:id="rId24" xr:uid="{00000000-0004-0000-0200-000017000000}"/>
    <hyperlink ref="C27" r:id="rId25" xr:uid="{00000000-0004-0000-0200-000018000000}"/>
    <hyperlink ref="C28" r:id="rId26" xr:uid="{00000000-0004-0000-0200-000019000000}"/>
    <hyperlink ref="C29" r:id="rId27" xr:uid="{00000000-0004-0000-0200-00001A000000}"/>
    <hyperlink ref="C30" r:id="rId28" xr:uid="{00000000-0004-0000-0200-00001B000000}"/>
    <hyperlink ref="C31" r:id="rId29" xr:uid="{00000000-0004-0000-0200-00001C000000}"/>
    <hyperlink ref="C32" r:id="rId30" xr:uid="{00000000-0004-0000-0200-00001D000000}"/>
    <hyperlink ref="C33" r:id="rId31" xr:uid="{00000000-0004-0000-0200-00001E000000}"/>
    <hyperlink ref="C34" r:id="rId32" xr:uid="{00000000-0004-0000-0200-00001F000000}"/>
    <hyperlink ref="C35" r:id="rId33" xr:uid="{00000000-0004-0000-0200-000020000000}"/>
    <hyperlink ref="C36" r:id="rId34" xr:uid="{00000000-0004-0000-0200-000021000000}"/>
    <hyperlink ref="C37" r:id="rId35" xr:uid="{00000000-0004-0000-0200-000022000000}"/>
    <hyperlink ref="C38" r:id="rId36" xr:uid="{00000000-0004-0000-0200-000023000000}"/>
    <hyperlink ref="C39" r:id="rId37" xr:uid="{00000000-0004-0000-0200-000024000000}"/>
    <hyperlink ref="C40" r:id="rId38" xr:uid="{00000000-0004-0000-0200-000025000000}"/>
    <hyperlink ref="C41" r:id="rId39" xr:uid="{00000000-0004-0000-0200-000026000000}"/>
    <hyperlink ref="C42" r:id="rId40" xr:uid="{00000000-0004-0000-0200-000027000000}"/>
    <hyperlink ref="C43" r:id="rId41" xr:uid="{00000000-0004-0000-0200-000028000000}"/>
    <hyperlink ref="C44" r:id="rId42" xr:uid="{00000000-0004-0000-0200-000029000000}"/>
    <hyperlink ref="C45" r:id="rId43" xr:uid="{00000000-0004-0000-0200-00002A000000}"/>
    <hyperlink ref="C46" r:id="rId44" xr:uid="{00000000-0004-0000-0200-00002B000000}"/>
    <hyperlink ref="C47" r:id="rId45" xr:uid="{00000000-0004-0000-0200-00002C000000}"/>
    <hyperlink ref="C48" r:id="rId46" xr:uid="{00000000-0004-0000-0200-00002D000000}"/>
    <hyperlink ref="C49" r:id="rId47" xr:uid="{00000000-0004-0000-0200-00002E000000}"/>
    <hyperlink ref="C50" r:id="rId48" xr:uid="{00000000-0004-0000-0200-00002F000000}"/>
    <hyperlink ref="C51" r:id="rId49" xr:uid="{00000000-0004-0000-0200-000030000000}"/>
    <hyperlink ref="C52" r:id="rId50" xr:uid="{00000000-0004-0000-0200-000031000000}"/>
    <hyperlink ref="C53" r:id="rId51" xr:uid="{00000000-0004-0000-0200-000032000000}"/>
    <hyperlink ref="C54" r:id="rId52" xr:uid="{00000000-0004-0000-0200-000033000000}"/>
    <hyperlink ref="C55" r:id="rId53" xr:uid="{00000000-0004-0000-0200-000034000000}"/>
    <hyperlink ref="C56" r:id="rId54" xr:uid="{00000000-0004-0000-0200-000035000000}"/>
    <hyperlink ref="C57" r:id="rId55" xr:uid="{00000000-0004-0000-0200-000036000000}"/>
    <hyperlink ref="C58" r:id="rId56" xr:uid="{00000000-0004-0000-0200-000037000000}"/>
    <hyperlink ref="C59" r:id="rId57" xr:uid="{00000000-0004-0000-0200-000038000000}"/>
    <hyperlink ref="C60" r:id="rId58" xr:uid="{00000000-0004-0000-0200-000039000000}"/>
    <hyperlink ref="C61" r:id="rId59" xr:uid="{00000000-0004-0000-0200-00003A000000}"/>
    <hyperlink ref="C62" r:id="rId60" xr:uid="{00000000-0004-0000-0200-00003B000000}"/>
    <hyperlink ref="C63" r:id="rId61" xr:uid="{00000000-0004-0000-0200-00003C000000}"/>
    <hyperlink ref="C64" r:id="rId62" xr:uid="{00000000-0004-0000-0200-00003D000000}"/>
    <hyperlink ref="C65" r:id="rId63" xr:uid="{00000000-0004-0000-0200-00003E000000}"/>
    <hyperlink ref="C66" r:id="rId64" xr:uid="{00000000-0004-0000-0200-00003F000000}"/>
    <hyperlink ref="C67" r:id="rId65" xr:uid="{00000000-0004-0000-0200-000040000000}"/>
    <hyperlink ref="C68" r:id="rId66" xr:uid="{00000000-0004-0000-0200-000041000000}"/>
    <hyperlink ref="C69" r:id="rId67" xr:uid="{00000000-0004-0000-0200-000042000000}"/>
    <hyperlink ref="C70" r:id="rId68" xr:uid="{00000000-0004-0000-0200-000043000000}"/>
    <hyperlink ref="C71" r:id="rId69" xr:uid="{00000000-0004-0000-0200-000044000000}"/>
    <hyperlink ref="C72" r:id="rId70" xr:uid="{00000000-0004-0000-0200-000045000000}"/>
    <hyperlink ref="C73" r:id="rId71" xr:uid="{00000000-0004-0000-0200-000046000000}"/>
    <hyperlink ref="C74" r:id="rId72" xr:uid="{00000000-0004-0000-0200-000047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C3" sqref="C3"/>
    </sheetView>
  </sheetViews>
  <sheetFormatPr baseColWidth="10" defaultColWidth="14.42578125" defaultRowHeight="15" customHeight="1"/>
  <cols>
    <col min="1" max="1" width="32.85546875" customWidth="1"/>
    <col min="2" max="2" width="12.7109375" customWidth="1"/>
    <col min="3" max="3" width="46.7109375" customWidth="1"/>
    <col min="4" max="11" width="10.7109375" customWidth="1"/>
  </cols>
  <sheetData>
    <row r="1" spans="1:11" ht="85.5">
      <c r="A1" s="59" t="s">
        <v>32</v>
      </c>
      <c r="B1" s="59" t="s">
        <v>35</v>
      </c>
      <c r="C1" s="59" t="s">
        <v>37</v>
      </c>
      <c r="D1" s="60" t="s">
        <v>39</v>
      </c>
      <c r="E1" s="60" t="s">
        <v>40</v>
      </c>
      <c r="F1" s="60" t="s">
        <v>41</v>
      </c>
      <c r="G1" s="60" t="s">
        <v>42</v>
      </c>
      <c r="H1" s="60" t="s">
        <v>43</v>
      </c>
      <c r="I1" s="60">
        <v>159.9</v>
      </c>
      <c r="J1" s="60">
        <v>199.9</v>
      </c>
      <c r="K1" s="61" t="s">
        <v>44</v>
      </c>
    </row>
    <row r="2" spans="1:11" ht="15.75">
      <c r="A2" s="62" t="s">
        <v>45</v>
      </c>
      <c r="B2" s="63" t="s">
        <v>48</v>
      </c>
      <c r="C2" s="62" t="s">
        <v>50</v>
      </c>
      <c r="D2" s="64" t="e">
        <f>VLOOKUP(C2,'[1]RENO CONTADO SIN FIN'!C:J,2,0)*0.9</f>
        <v>#N/A</v>
      </c>
      <c r="E2" s="64" t="e">
        <f>VLOOKUP(C2,'[1]RENO CONTADO SIN FIN'!C:J,3,0)*0.9</f>
        <v>#N/A</v>
      </c>
      <c r="F2" s="64" t="e">
        <f>VLOOKUP(C2,'[1]RENO CONTADO SIN FIN'!C:K,4,0)*0.9</f>
        <v>#N/A</v>
      </c>
      <c r="G2" s="64" t="e">
        <f>VLOOKUP(C2,'[1]RENO CONTADO SIN FIN'!C:J,5,0)*0.9</f>
        <v>#N/A</v>
      </c>
      <c r="H2" s="64" t="e">
        <f>VLOOKUP(C2,'[1]RENO CONTADO SIN FIN'!C:J,6,0)*0.9</f>
        <v>#N/A</v>
      </c>
      <c r="I2" s="64" t="e">
        <f>VLOOKUP(C2,'[1]RENO CONTADO SIN FIN'!C:J,7,0)*0.9</f>
        <v>#N/A</v>
      </c>
      <c r="J2" s="64" t="e">
        <f>VLOOKUP(C2,'[1]RENO CONTADO SIN FIN'!C:J,8,0)*0.9</f>
        <v>#N/A</v>
      </c>
      <c r="K2" s="64" t="e">
        <f>VLOOKUP(C2,'[1]RENO CONTADO SIN FIN'!C:K,9,0)*0.9</f>
        <v>#N/A</v>
      </c>
    </row>
    <row r="3" spans="1:11" ht="15.75">
      <c r="A3" s="62" t="s">
        <v>66</v>
      </c>
      <c r="B3" s="63" t="s">
        <v>48</v>
      </c>
      <c r="C3" s="62" t="s">
        <v>576</v>
      </c>
      <c r="D3" s="64">
        <v>179.1</v>
      </c>
      <c r="E3" s="64">
        <v>179.1</v>
      </c>
      <c r="F3" s="64">
        <v>179.1</v>
      </c>
      <c r="G3" s="64">
        <v>179.1</v>
      </c>
      <c r="H3" s="64">
        <v>179.1</v>
      </c>
      <c r="I3" s="64">
        <v>179.1</v>
      </c>
      <c r="J3" s="64">
        <v>179.1</v>
      </c>
      <c r="K3" s="64">
        <v>179.1</v>
      </c>
    </row>
    <row r="4" spans="1:11" ht="15.75">
      <c r="A4" s="62" t="s">
        <v>66</v>
      </c>
      <c r="B4" s="63" t="s">
        <v>48</v>
      </c>
      <c r="C4" s="62" t="s">
        <v>551</v>
      </c>
      <c r="D4" s="64">
        <v>209.70000000000002</v>
      </c>
      <c r="E4" s="64">
        <v>209.70000000000002</v>
      </c>
      <c r="F4" s="64">
        <v>209.70000000000002</v>
      </c>
      <c r="G4" s="64">
        <v>209.70000000000002</v>
      </c>
      <c r="H4" s="64">
        <v>209.70000000000002</v>
      </c>
      <c r="I4" s="64">
        <v>209.70000000000002</v>
      </c>
      <c r="J4" s="64">
        <v>209.70000000000002</v>
      </c>
      <c r="K4" s="64">
        <v>209.70000000000002</v>
      </c>
    </row>
    <row r="5" spans="1:11" ht="15.75">
      <c r="A5" s="62" t="s">
        <v>66</v>
      </c>
      <c r="B5" s="63" t="s">
        <v>48</v>
      </c>
      <c r="C5" s="62" t="s">
        <v>498</v>
      </c>
      <c r="D5" s="64">
        <v>259.2</v>
      </c>
      <c r="E5" s="64">
        <v>259.2</v>
      </c>
      <c r="F5" s="64">
        <v>259.2</v>
      </c>
      <c r="G5" s="64">
        <v>259.2</v>
      </c>
      <c r="H5" s="64">
        <v>259.2</v>
      </c>
      <c r="I5" s="64">
        <v>259.2</v>
      </c>
      <c r="J5" s="64">
        <v>259.2</v>
      </c>
      <c r="K5" s="64">
        <v>259.2</v>
      </c>
    </row>
    <row r="6" spans="1:11" ht="15.75">
      <c r="A6" s="62" t="s">
        <v>66</v>
      </c>
      <c r="B6" s="63" t="s">
        <v>48</v>
      </c>
      <c r="C6" s="62" t="s">
        <v>70</v>
      </c>
      <c r="D6" s="64">
        <v>339.3</v>
      </c>
      <c r="E6" s="64">
        <v>339.3</v>
      </c>
      <c r="F6" s="64">
        <v>339.3</v>
      </c>
      <c r="G6" s="64">
        <v>339.3</v>
      </c>
      <c r="H6" s="64">
        <v>339.3</v>
      </c>
      <c r="I6" s="64">
        <v>339.3</v>
      </c>
      <c r="J6" s="64">
        <v>339.3</v>
      </c>
      <c r="K6" s="64">
        <v>339.3</v>
      </c>
    </row>
    <row r="7" spans="1:11" ht="15.75">
      <c r="A7" s="62" t="s">
        <v>83</v>
      </c>
      <c r="B7" s="63" t="s">
        <v>48</v>
      </c>
      <c r="C7" s="62" t="s">
        <v>153</v>
      </c>
      <c r="D7" s="64">
        <v>749.7</v>
      </c>
      <c r="E7" s="64">
        <v>749.7</v>
      </c>
      <c r="F7" s="64">
        <v>749.7</v>
      </c>
      <c r="G7" s="64">
        <v>749.7</v>
      </c>
      <c r="H7" s="64">
        <v>749.7</v>
      </c>
      <c r="I7" s="64">
        <v>749.7</v>
      </c>
      <c r="J7" s="64">
        <v>749.7</v>
      </c>
      <c r="K7" s="64">
        <v>749.7</v>
      </c>
    </row>
    <row r="8" spans="1:11" ht="15.75">
      <c r="A8" s="62" t="s">
        <v>66</v>
      </c>
      <c r="B8" s="63" t="s">
        <v>48</v>
      </c>
      <c r="C8" s="62" t="s">
        <v>553</v>
      </c>
      <c r="D8" s="64">
        <v>189</v>
      </c>
      <c r="E8" s="64">
        <v>189</v>
      </c>
      <c r="F8" s="64">
        <v>189</v>
      </c>
      <c r="G8" s="64">
        <v>189</v>
      </c>
      <c r="H8" s="64">
        <v>189</v>
      </c>
      <c r="I8" s="64">
        <v>189</v>
      </c>
      <c r="J8" s="64">
        <v>189</v>
      </c>
      <c r="K8" s="64">
        <v>189</v>
      </c>
    </row>
    <row r="9" spans="1:11" ht="15.75">
      <c r="A9" s="62" t="s">
        <v>45</v>
      </c>
      <c r="B9" s="63" t="s">
        <v>48</v>
      </c>
      <c r="C9" s="62" t="s">
        <v>77</v>
      </c>
      <c r="D9" s="64">
        <v>829.80000000000007</v>
      </c>
      <c r="E9" s="64">
        <v>829.80000000000007</v>
      </c>
      <c r="F9" s="64">
        <v>829.80000000000007</v>
      </c>
      <c r="G9" s="64">
        <v>829.80000000000007</v>
      </c>
      <c r="H9" s="64">
        <v>829.80000000000007</v>
      </c>
      <c r="I9" s="64">
        <v>829.80000000000007</v>
      </c>
      <c r="J9" s="64">
        <v>829.80000000000007</v>
      </c>
      <c r="K9" s="64">
        <v>829.80000000000007</v>
      </c>
    </row>
    <row r="10" spans="1:11" ht="15.75">
      <c r="A10" s="62" t="s">
        <v>45</v>
      </c>
      <c r="B10" s="63" t="s">
        <v>48</v>
      </c>
      <c r="C10" s="62" t="s">
        <v>78</v>
      </c>
      <c r="D10" s="64">
        <v>409.5</v>
      </c>
      <c r="E10" s="64">
        <v>409.5</v>
      </c>
      <c r="F10" s="64">
        <v>409.5</v>
      </c>
      <c r="G10" s="64">
        <v>409.5</v>
      </c>
      <c r="H10" s="64">
        <v>409.5</v>
      </c>
      <c r="I10" s="64">
        <v>409.5</v>
      </c>
      <c r="J10" s="64">
        <v>409.5</v>
      </c>
      <c r="K10" s="64">
        <v>409.5</v>
      </c>
    </row>
    <row r="11" spans="1:11" ht="15.75">
      <c r="A11" s="62" t="s">
        <v>83</v>
      </c>
      <c r="B11" s="63" t="s">
        <v>48</v>
      </c>
      <c r="C11" s="62" t="s">
        <v>86</v>
      </c>
      <c r="D11" s="64">
        <v>899.1</v>
      </c>
      <c r="E11" s="64">
        <v>899.1</v>
      </c>
      <c r="F11" s="64">
        <v>899.1</v>
      </c>
      <c r="G11" s="64">
        <v>899.1</v>
      </c>
      <c r="H11" s="64">
        <v>899.1</v>
      </c>
      <c r="I11" s="64">
        <v>899.1</v>
      </c>
      <c r="J11" s="64">
        <v>899.1</v>
      </c>
      <c r="K11" s="64">
        <v>899.1</v>
      </c>
    </row>
    <row r="12" spans="1:11" ht="15.75">
      <c r="A12" s="62" t="s">
        <v>91</v>
      </c>
      <c r="B12" s="63" t="s">
        <v>48</v>
      </c>
      <c r="C12" s="62" t="s">
        <v>93</v>
      </c>
      <c r="D12" s="64">
        <v>1179</v>
      </c>
      <c r="E12" s="64">
        <v>1179</v>
      </c>
      <c r="F12" s="64">
        <v>1179</v>
      </c>
      <c r="G12" s="64">
        <v>1179</v>
      </c>
      <c r="H12" s="64">
        <v>1179</v>
      </c>
      <c r="I12" s="64">
        <v>1179</v>
      </c>
      <c r="J12" s="64">
        <v>1179</v>
      </c>
      <c r="K12" s="64">
        <v>1179</v>
      </c>
    </row>
    <row r="13" spans="1:11" ht="15.75">
      <c r="A13" s="62" t="s">
        <v>91</v>
      </c>
      <c r="B13" s="63" t="s">
        <v>48</v>
      </c>
      <c r="C13" s="62" t="s">
        <v>449</v>
      </c>
      <c r="D13" s="64">
        <v>1499.4</v>
      </c>
      <c r="E13" s="64">
        <v>1499.4</v>
      </c>
      <c r="F13" s="64">
        <v>1499.4</v>
      </c>
      <c r="G13" s="64">
        <v>1499.4</v>
      </c>
      <c r="H13" s="64">
        <v>1499.4</v>
      </c>
      <c r="I13" s="64">
        <v>1499.4</v>
      </c>
      <c r="J13" s="64">
        <v>1499.4</v>
      </c>
      <c r="K13" s="64">
        <v>1499.4</v>
      </c>
    </row>
    <row r="14" spans="1:11" ht="15.75">
      <c r="A14" s="62" t="s">
        <v>45</v>
      </c>
      <c r="B14" s="63" t="s">
        <v>48</v>
      </c>
      <c r="C14" s="62" t="s">
        <v>189</v>
      </c>
      <c r="D14" s="64">
        <v>249.3</v>
      </c>
      <c r="E14" s="64">
        <v>249.3</v>
      </c>
      <c r="F14" s="64">
        <v>249.3</v>
      </c>
      <c r="G14" s="64">
        <v>249.3</v>
      </c>
      <c r="H14" s="64">
        <v>249.3</v>
      </c>
      <c r="I14" s="64">
        <v>249.3</v>
      </c>
      <c r="J14" s="64">
        <v>249.3</v>
      </c>
      <c r="K14" s="64">
        <v>249.3</v>
      </c>
    </row>
    <row r="15" spans="1:11" ht="15.75">
      <c r="A15" s="62" t="s">
        <v>45</v>
      </c>
      <c r="B15" s="63" t="s">
        <v>48</v>
      </c>
      <c r="C15" s="62" t="s">
        <v>95</v>
      </c>
      <c r="D15" s="64">
        <v>249.3</v>
      </c>
      <c r="E15" s="64">
        <v>249.3</v>
      </c>
      <c r="F15" s="64">
        <v>249.3</v>
      </c>
      <c r="G15" s="64">
        <v>249.3</v>
      </c>
      <c r="H15" s="64">
        <v>249.3</v>
      </c>
      <c r="I15" s="64">
        <v>249.3</v>
      </c>
      <c r="J15" s="64">
        <v>249.3</v>
      </c>
      <c r="K15" s="64">
        <v>249.3</v>
      </c>
    </row>
    <row r="16" spans="1:11" ht="15.75">
      <c r="A16" s="62" t="s">
        <v>45</v>
      </c>
      <c r="B16" s="63" t="s">
        <v>48</v>
      </c>
      <c r="C16" s="62" t="s">
        <v>148</v>
      </c>
      <c r="D16" s="64">
        <v>599.4</v>
      </c>
      <c r="E16" s="64">
        <v>599.4</v>
      </c>
      <c r="F16" s="64">
        <v>599.4</v>
      </c>
      <c r="G16" s="64">
        <v>599.4</v>
      </c>
      <c r="H16" s="64">
        <v>599.4</v>
      </c>
      <c r="I16" s="64">
        <v>599.4</v>
      </c>
      <c r="J16" s="64">
        <v>599.4</v>
      </c>
      <c r="K16" s="64">
        <v>599.4</v>
      </c>
    </row>
    <row r="17" spans="1:11" ht="15.75">
      <c r="A17" s="62" t="s">
        <v>66</v>
      </c>
      <c r="B17" s="63" t="s">
        <v>48</v>
      </c>
      <c r="C17" s="62" t="s">
        <v>312</v>
      </c>
      <c r="D17" s="64">
        <v>189</v>
      </c>
      <c r="E17" s="64">
        <v>189</v>
      </c>
      <c r="F17" s="64">
        <v>189</v>
      </c>
      <c r="G17" s="64">
        <v>189</v>
      </c>
      <c r="H17" s="64">
        <v>189</v>
      </c>
      <c r="I17" s="64">
        <v>189</v>
      </c>
      <c r="J17" s="64">
        <v>189</v>
      </c>
      <c r="K17" s="64">
        <v>189</v>
      </c>
    </row>
    <row r="18" spans="1:11" ht="15.75">
      <c r="A18" s="62" t="s">
        <v>45</v>
      </c>
      <c r="B18" s="63" t="s">
        <v>48</v>
      </c>
      <c r="C18" s="62" t="s">
        <v>317</v>
      </c>
      <c r="D18" s="64">
        <v>259.2</v>
      </c>
      <c r="E18" s="64">
        <v>259.2</v>
      </c>
      <c r="F18" s="64">
        <v>259.2</v>
      </c>
      <c r="G18" s="64">
        <v>259.2</v>
      </c>
      <c r="H18" s="64">
        <v>259.2</v>
      </c>
      <c r="I18" s="64">
        <v>259.2</v>
      </c>
      <c r="J18" s="64">
        <v>259.2</v>
      </c>
      <c r="K18" s="64">
        <v>259.2</v>
      </c>
    </row>
    <row r="19" spans="1:11" ht="15.75">
      <c r="A19" s="62" t="s">
        <v>45</v>
      </c>
      <c r="B19" s="63" t="s">
        <v>48</v>
      </c>
      <c r="C19" s="62" t="s">
        <v>171</v>
      </c>
      <c r="D19" s="64">
        <v>439.2</v>
      </c>
      <c r="E19" s="64">
        <v>439.2</v>
      </c>
      <c r="F19" s="64">
        <v>439.2</v>
      </c>
      <c r="G19" s="64">
        <v>439.2</v>
      </c>
      <c r="H19" s="64">
        <v>439.2</v>
      </c>
      <c r="I19" s="64">
        <v>439.2</v>
      </c>
      <c r="J19" s="64">
        <v>439.2</v>
      </c>
      <c r="K19" s="64">
        <v>439.2</v>
      </c>
    </row>
    <row r="20" spans="1:11" ht="15.75">
      <c r="A20" s="62" t="s">
        <v>45</v>
      </c>
      <c r="B20" s="63" t="s">
        <v>48</v>
      </c>
      <c r="C20" s="62" t="s">
        <v>106</v>
      </c>
      <c r="D20" s="64">
        <v>469.8</v>
      </c>
      <c r="E20" s="64">
        <v>469.8</v>
      </c>
      <c r="F20" s="64">
        <v>469.8</v>
      </c>
      <c r="G20" s="64">
        <v>469.8</v>
      </c>
      <c r="H20" s="64">
        <v>469.8</v>
      </c>
      <c r="I20" s="64">
        <v>469.8</v>
      </c>
      <c r="J20" s="64">
        <v>469.8</v>
      </c>
      <c r="K20" s="64">
        <v>469.8</v>
      </c>
    </row>
    <row r="21" spans="1:11" ht="15.75" customHeight="1">
      <c r="A21" s="62" t="s">
        <v>45</v>
      </c>
      <c r="B21" s="63" t="s">
        <v>48</v>
      </c>
      <c r="C21" s="62" t="s">
        <v>109</v>
      </c>
      <c r="D21" s="64">
        <v>799.2</v>
      </c>
      <c r="E21" s="64">
        <v>799.2</v>
      </c>
      <c r="F21" s="64">
        <v>799.2</v>
      </c>
      <c r="G21" s="64">
        <v>799.2</v>
      </c>
      <c r="H21" s="64">
        <v>799.2</v>
      </c>
      <c r="I21" s="64">
        <v>799.2</v>
      </c>
      <c r="J21" s="64">
        <v>799.2</v>
      </c>
      <c r="K21" s="64">
        <v>799.2</v>
      </c>
    </row>
    <row r="22" spans="1:11" ht="15.75" customHeight="1">
      <c r="A22" s="62" t="s">
        <v>45</v>
      </c>
      <c r="B22" s="63" t="s">
        <v>48</v>
      </c>
      <c r="C22" s="62" t="s">
        <v>112</v>
      </c>
      <c r="D22" s="64">
        <v>309.60000000000002</v>
      </c>
      <c r="E22" s="64">
        <v>309.60000000000002</v>
      </c>
      <c r="F22" s="64">
        <v>309.60000000000002</v>
      </c>
      <c r="G22" s="64">
        <v>309.60000000000002</v>
      </c>
      <c r="H22" s="64">
        <v>309.60000000000002</v>
      </c>
      <c r="I22" s="64">
        <v>309.60000000000002</v>
      </c>
      <c r="J22" s="64">
        <v>309.60000000000002</v>
      </c>
      <c r="K22" s="64">
        <v>309.60000000000002</v>
      </c>
    </row>
    <row r="23" spans="1:11" ht="15.75" customHeight="1">
      <c r="A23" s="62" t="s">
        <v>83</v>
      </c>
      <c r="B23" s="63" t="s">
        <v>48</v>
      </c>
      <c r="C23" s="62" t="s">
        <v>233</v>
      </c>
      <c r="D23" s="64">
        <v>249.3</v>
      </c>
      <c r="E23" s="64">
        <v>249.3</v>
      </c>
      <c r="F23" s="64">
        <v>249.3</v>
      </c>
      <c r="G23" s="64">
        <v>249.3</v>
      </c>
      <c r="H23" s="64">
        <v>249.3</v>
      </c>
      <c r="I23" s="64">
        <v>249.3</v>
      </c>
      <c r="J23" s="64">
        <v>249.3</v>
      </c>
      <c r="K23" s="64">
        <v>249.3</v>
      </c>
    </row>
    <row r="24" spans="1:11" ht="15.75" customHeight="1">
      <c r="A24" s="62" t="s">
        <v>91</v>
      </c>
      <c r="B24" s="63" t="s">
        <v>48</v>
      </c>
      <c r="C24" s="62" t="s">
        <v>124</v>
      </c>
      <c r="D24" s="64">
        <v>1699.2</v>
      </c>
      <c r="E24" s="64">
        <v>1699.2</v>
      </c>
      <c r="F24" s="64">
        <v>1699.2</v>
      </c>
      <c r="G24" s="64">
        <v>1699.2</v>
      </c>
      <c r="H24" s="64">
        <v>1699.2</v>
      </c>
      <c r="I24" s="64">
        <v>1699.2</v>
      </c>
      <c r="J24" s="64">
        <v>1699.2</v>
      </c>
      <c r="K24" s="64">
        <v>1699.2</v>
      </c>
    </row>
    <row r="25" spans="1:11" ht="15.75" customHeight="1">
      <c r="A25" s="62" t="s">
        <v>83</v>
      </c>
      <c r="B25" s="63" t="s">
        <v>48</v>
      </c>
      <c r="C25" s="62" t="s">
        <v>126</v>
      </c>
      <c r="D25" s="64">
        <v>959.4</v>
      </c>
      <c r="E25" s="64">
        <v>959.4</v>
      </c>
      <c r="F25" s="64">
        <v>959.4</v>
      </c>
      <c r="G25" s="64">
        <v>959.4</v>
      </c>
      <c r="H25" s="64">
        <v>959.4</v>
      </c>
      <c r="I25" s="64">
        <v>959.4</v>
      </c>
      <c r="J25" s="64">
        <v>959.4</v>
      </c>
      <c r="K25" s="64">
        <v>959.4</v>
      </c>
    </row>
    <row r="26" spans="1:11" ht="15.75" customHeight="1">
      <c r="A26" s="62" t="s">
        <v>83</v>
      </c>
      <c r="B26" s="63" t="s">
        <v>48</v>
      </c>
      <c r="C26" s="62" t="s">
        <v>135</v>
      </c>
      <c r="D26" s="64">
        <v>999</v>
      </c>
      <c r="E26" s="64">
        <v>999</v>
      </c>
      <c r="F26" s="64">
        <v>999</v>
      </c>
      <c r="G26" s="64">
        <v>999</v>
      </c>
      <c r="H26" s="64">
        <v>999</v>
      </c>
      <c r="I26" s="64">
        <v>999</v>
      </c>
      <c r="J26" s="64">
        <v>999</v>
      </c>
      <c r="K26" s="64">
        <v>999</v>
      </c>
    </row>
    <row r="27" spans="1:11" ht="15.75" customHeight="1">
      <c r="A27" s="62" t="s">
        <v>83</v>
      </c>
      <c r="B27" s="63" t="s">
        <v>48</v>
      </c>
      <c r="C27" s="62" t="s">
        <v>182</v>
      </c>
      <c r="D27" s="64">
        <v>409.5</v>
      </c>
      <c r="E27" s="64">
        <v>409.5</v>
      </c>
      <c r="F27" s="64">
        <v>409.5</v>
      </c>
      <c r="G27" s="64">
        <v>409.5</v>
      </c>
      <c r="H27" s="64">
        <v>409.5</v>
      </c>
      <c r="I27" s="64">
        <v>409.5</v>
      </c>
      <c r="J27" s="64">
        <v>409.5</v>
      </c>
      <c r="K27" s="64">
        <v>409.5</v>
      </c>
    </row>
    <row r="28" spans="1:11" ht="15.75" customHeight="1">
      <c r="A28" s="62" t="s">
        <v>83</v>
      </c>
      <c r="B28" s="63" t="s">
        <v>48</v>
      </c>
      <c r="C28" s="62" t="s">
        <v>165</v>
      </c>
      <c r="D28" s="64">
        <v>499.5</v>
      </c>
      <c r="E28" s="64">
        <v>499.5</v>
      </c>
      <c r="F28" s="64">
        <v>499.5</v>
      </c>
      <c r="G28" s="64">
        <v>499.5</v>
      </c>
      <c r="H28" s="64">
        <v>499.5</v>
      </c>
      <c r="I28" s="64">
        <v>499.5</v>
      </c>
      <c r="J28" s="64">
        <v>499.5</v>
      </c>
      <c r="K28" s="64">
        <v>499.5</v>
      </c>
    </row>
    <row r="29" spans="1:11" ht="15.75" customHeight="1">
      <c r="A29" s="62" t="s">
        <v>83</v>
      </c>
      <c r="B29" s="63" t="s">
        <v>48</v>
      </c>
      <c r="C29" s="62" t="s">
        <v>427</v>
      </c>
      <c r="D29" s="64">
        <v>1899</v>
      </c>
      <c r="E29" s="64">
        <v>1899</v>
      </c>
      <c r="F29" s="64">
        <v>1899</v>
      </c>
      <c r="G29" s="64">
        <v>1899</v>
      </c>
      <c r="H29" s="64">
        <v>1899</v>
      </c>
      <c r="I29" s="64">
        <v>1899</v>
      </c>
      <c r="J29" s="64">
        <v>1899</v>
      </c>
      <c r="K29" s="64">
        <v>1899</v>
      </c>
    </row>
    <row r="30" spans="1:11" ht="15.75" customHeight="1">
      <c r="A30" s="62" t="s">
        <v>45</v>
      </c>
      <c r="B30" s="63" t="s">
        <v>48</v>
      </c>
      <c r="C30" s="62" t="s">
        <v>138</v>
      </c>
      <c r="D30" s="64">
        <v>739.80000000000007</v>
      </c>
      <c r="E30" s="64">
        <v>739.80000000000007</v>
      </c>
      <c r="F30" s="64">
        <v>739.80000000000007</v>
      </c>
      <c r="G30" s="64">
        <v>739.80000000000007</v>
      </c>
      <c r="H30" s="64">
        <v>739.80000000000007</v>
      </c>
      <c r="I30" s="64">
        <v>739.80000000000007</v>
      </c>
      <c r="J30" s="64">
        <v>739.80000000000007</v>
      </c>
      <c r="K30" s="64">
        <v>739.80000000000007</v>
      </c>
    </row>
    <row r="31" spans="1:11" ht="15.75" customHeight="1">
      <c r="A31" s="62" t="s">
        <v>83</v>
      </c>
      <c r="B31" s="63" t="s">
        <v>48</v>
      </c>
      <c r="C31" s="62" t="s">
        <v>169</v>
      </c>
      <c r="D31" s="64">
        <v>879.30000000000007</v>
      </c>
      <c r="E31" s="64">
        <v>879.30000000000007</v>
      </c>
      <c r="F31" s="64">
        <v>879.30000000000007</v>
      </c>
      <c r="G31" s="64">
        <v>879.30000000000007</v>
      </c>
      <c r="H31" s="64">
        <v>879.30000000000007</v>
      </c>
      <c r="I31" s="64">
        <v>879.30000000000007</v>
      </c>
      <c r="J31" s="64">
        <v>879.30000000000007</v>
      </c>
      <c r="K31" s="64">
        <v>879.30000000000007</v>
      </c>
    </row>
    <row r="32" spans="1:11" ht="15.75" customHeight="1">
      <c r="A32" s="62" t="s">
        <v>91</v>
      </c>
      <c r="B32" s="63" t="s">
        <v>48</v>
      </c>
      <c r="C32" s="62" t="s">
        <v>195</v>
      </c>
      <c r="D32" s="64">
        <v>799.2</v>
      </c>
      <c r="E32" s="64">
        <v>799.2</v>
      </c>
      <c r="F32" s="64">
        <v>799.2</v>
      </c>
      <c r="G32" s="64">
        <v>799.2</v>
      </c>
      <c r="H32" s="64">
        <v>799.2</v>
      </c>
      <c r="I32" s="64">
        <v>799.2</v>
      </c>
      <c r="J32" s="64">
        <v>799.2</v>
      </c>
      <c r="K32" s="64">
        <v>799.2</v>
      </c>
    </row>
    <row r="33" spans="1:11" ht="15.75" customHeight="1">
      <c r="A33" s="62" t="s">
        <v>45</v>
      </c>
      <c r="B33" s="63" t="s">
        <v>48</v>
      </c>
      <c r="C33" s="62" t="s">
        <v>275</v>
      </c>
      <c r="D33" s="64">
        <v>339.3</v>
      </c>
      <c r="E33" s="64">
        <v>339.3</v>
      </c>
      <c r="F33" s="64">
        <v>339.3</v>
      </c>
      <c r="G33" s="64">
        <v>339.3</v>
      </c>
      <c r="H33" s="64">
        <v>339.3</v>
      </c>
      <c r="I33" s="64">
        <v>339.3</v>
      </c>
      <c r="J33" s="64">
        <v>339.3</v>
      </c>
      <c r="K33" s="64">
        <v>339.3</v>
      </c>
    </row>
    <row r="34" spans="1:11" ht="15.75" customHeight="1">
      <c r="A34" s="62" t="s">
        <v>91</v>
      </c>
      <c r="B34" s="63" t="s">
        <v>48</v>
      </c>
      <c r="C34" s="62" t="s">
        <v>175</v>
      </c>
      <c r="D34" s="64">
        <v>2999.7000000000003</v>
      </c>
      <c r="E34" s="64">
        <v>2999.7000000000003</v>
      </c>
      <c r="F34" s="64">
        <v>2999.7000000000003</v>
      </c>
      <c r="G34" s="64">
        <v>2999.7000000000003</v>
      </c>
      <c r="H34" s="64">
        <v>2999.7000000000003</v>
      </c>
      <c r="I34" s="64">
        <v>2999.7000000000003</v>
      </c>
      <c r="J34" s="64">
        <v>2999.7000000000003</v>
      </c>
      <c r="K34" s="64">
        <v>2999.7000000000003</v>
      </c>
    </row>
    <row r="35" spans="1:11" ht="15.75" customHeight="1">
      <c r="A35" s="62" t="s">
        <v>66</v>
      </c>
      <c r="B35" s="63" t="s">
        <v>48</v>
      </c>
      <c r="C35" s="62" t="s">
        <v>554</v>
      </c>
      <c r="D35" s="64">
        <v>149.4</v>
      </c>
      <c r="E35" s="64">
        <v>149.4</v>
      </c>
      <c r="F35" s="64">
        <v>149.4</v>
      </c>
      <c r="G35" s="64">
        <v>149.4</v>
      </c>
      <c r="H35" s="64">
        <v>149.4</v>
      </c>
      <c r="I35" s="64">
        <v>149.4</v>
      </c>
      <c r="J35" s="64">
        <v>149.4</v>
      </c>
      <c r="K35" s="64">
        <v>149.4</v>
      </c>
    </row>
    <row r="36" spans="1:11" ht="15.75" customHeight="1">
      <c r="A36" s="62" t="s">
        <v>83</v>
      </c>
      <c r="B36" s="63" t="s">
        <v>48</v>
      </c>
      <c r="C36" s="62" t="s">
        <v>250</v>
      </c>
      <c r="D36" s="64">
        <v>669.6</v>
      </c>
      <c r="E36" s="64">
        <v>669.6</v>
      </c>
      <c r="F36" s="64">
        <v>669.6</v>
      </c>
      <c r="G36" s="64">
        <v>669.6</v>
      </c>
      <c r="H36" s="64">
        <v>669.6</v>
      </c>
      <c r="I36" s="64">
        <v>669.6</v>
      </c>
      <c r="J36" s="64">
        <v>669.6</v>
      </c>
      <c r="K36" s="64">
        <v>669.6</v>
      </c>
    </row>
    <row r="37" spans="1:11" ht="15.75" customHeight="1">
      <c r="A37" s="62" t="s">
        <v>91</v>
      </c>
      <c r="B37" s="63" t="s">
        <v>48</v>
      </c>
      <c r="C37" s="62" t="s">
        <v>279</v>
      </c>
      <c r="D37" s="64">
        <v>3999.6</v>
      </c>
      <c r="E37" s="64">
        <v>3999.6</v>
      </c>
      <c r="F37" s="64">
        <v>3999.6</v>
      </c>
      <c r="G37" s="64">
        <v>3999.6</v>
      </c>
      <c r="H37" s="64">
        <v>3999.6</v>
      </c>
      <c r="I37" s="64">
        <v>3999.6</v>
      </c>
      <c r="J37" s="64">
        <v>3999.6</v>
      </c>
      <c r="K37" s="64">
        <v>3999.6</v>
      </c>
    </row>
    <row r="38" spans="1:11" ht="15.75" customHeight="1">
      <c r="A38" s="62" t="s">
        <v>66</v>
      </c>
      <c r="B38" s="63" t="s">
        <v>48</v>
      </c>
      <c r="C38" s="62" t="s">
        <v>236</v>
      </c>
      <c r="D38" s="64">
        <v>89.100000000000009</v>
      </c>
      <c r="E38" s="64">
        <v>89.100000000000009</v>
      </c>
      <c r="F38" s="64">
        <v>89.100000000000009</v>
      </c>
      <c r="G38" s="64">
        <v>89.100000000000009</v>
      </c>
      <c r="H38" s="64">
        <v>89.100000000000009</v>
      </c>
      <c r="I38" s="64">
        <v>89.100000000000009</v>
      </c>
      <c r="J38" s="64">
        <v>89.100000000000009</v>
      </c>
      <c r="K38" s="64">
        <v>89.100000000000009</v>
      </c>
    </row>
    <row r="39" spans="1:11" ht="15.75" customHeight="1">
      <c r="A39" s="62" t="s">
        <v>211</v>
      </c>
      <c r="B39" s="63" t="s">
        <v>48</v>
      </c>
      <c r="C39" s="62" t="s">
        <v>320</v>
      </c>
      <c r="D39" s="64">
        <v>159.30000000000001</v>
      </c>
      <c r="E39" s="64">
        <v>159.30000000000001</v>
      </c>
      <c r="F39" s="64">
        <v>159.30000000000001</v>
      </c>
      <c r="G39" s="64">
        <v>159.30000000000001</v>
      </c>
      <c r="H39" s="64">
        <v>159.30000000000001</v>
      </c>
      <c r="I39" s="64">
        <v>159.30000000000001</v>
      </c>
      <c r="J39" s="64">
        <v>159.30000000000001</v>
      </c>
      <c r="K39" s="64">
        <v>159.30000000000001</v>
      </c>
    </row>
    <row r="40" spans="1:11" ht="15.75" customHeight="1">
      <c r="A40" s="62" t="s">
        <v>45</v>
      </c>
      <c r="B40" s="63" t="s">
        <v>48</v>
      </c>
      <c r="C40" s="62" t="s">
        <v>331</v>
      </c>
      <c r="D40" s="64">
        <v>399.6</v>
      </c>
      <c r="E40" s="64">
        <v>399.6</v>
      </c>
      <c r="F40" s="64">
        <v>399.6</v>
      </c>
      <c r="G40" s="64">
        <v>399.6</v>
      </c>
      <c r="H40" s="64">
        <v>399.6</v>
      </c>
      <c r="I40" s="64">
        <v>399.6</v>
      </c>
      <c r="J40" s="64">
        <v>399.6</v>
      </c>
      <c r="K40" s="64">
        <v>399.6</v>
      </c>
    </row>
    <row r="41" spans="1:11" ht="15.75" customHeight="1">
      <c r="A41" s="62" t="s">
        <v>91</v>
      </c>
      <c r="B41" s="63" t="s">
        <v>48</v>
      </c>
      <c r="C41" s="62" t="s">
        <v>376</v>
      </c>
      <c r="D41" s="64">
        <v>1599.3</v>
      </c>
      <c r="E41" s="64">
        <v>1599.3</v>
      </c>
      <c r="F41" s="64">
        <v>1599.3</v>
      </c>
      <c r="G41" s="64">
        <v>1599.3</v>
      </c>
      <c r="H41" s="64">
        <v>1599.3</v>
      </c>
      <c r="I41" s="64">
        <v>1599.3</v>
      </c>
      <c r="J41" s="64">
        <v>1599.3</v>
      </c>
      <c r="K41" s="64">
        <v>1599.3</v>
      </c>
    </row>
    <row r="42" spans="1:11" ht="15.75" customHeight="1">
      <c r="A42" s="62" t="s">
        <v>91</v>
      </c>
      <c r="B42" s="63" t="s">
        <v>48</v>
      </c>
      <c r="C42" s="62" t="s">
        <v>387</v>
      </c>
      <c r="D42" s="64">
        <v>1699.2</v>
      </c>
      <c r="E42" s="64">
        <v>1699.2</v>
      </c>
      <c r="F42" s="64">
        <v>1699.2</v>
      </c>
      <c r="G42" s="64">
        <v>1699.2</v>
      </c>
      <c r="H42" s="64">
        <v>1699.2</v>
      </c>
      <c r="I42" s="64">
        <v>1699.2</v>
      </c>
      <c r="J42" s="64">
        <v>1699.2</v>
      </c>
      <c r="K42" s="64">
        <v>1699.2</v>
      </c>
    </row>
    <row r="43" spans="1:11" ht="15.75" customHeight="1">
      <c r="A43" s="62" t="s">
        <v>83</v>
      </c>
      <c r="B43" s="63" t="s">
        <v>48</v>
      </c>
      <c r="C43" s="62" t="s">
        <v>334</v>
      </c>
      <c r="D43" s="64">
        <v>699.30000000000007</v>
      </c>
      <c r="E43" s="64">
        <v>699.30000000000007</v>
      </c>
      <c r="F43" s="64">
        <v>699.30000000000007</v>
      </c>
      <c r="G43" s="64">
        <v>699.30000000000007</v>
      </c>
      <c r="H43" s="64">
        <v>699.30000000000007</v>
      </c>
      <c r="I43" s="64">
        <v>699.30000000000007</v>
      </c>
      <c r="J43" s="64">
        <v>699.30000000000007</v>
      </c>
      <c r="K43" s="64">
        <v>699.30000000000007</v>
      </c>
    </row>
    <row r="44" spans="1:11" ht="15.75" customHeight="1">
      <c r="A44" s="62" t="s">
        <v>45</v>
      </c>
      <c r="B44" s="63" t="s">
        <v>48</v>
      </c>
      <c r="C44" s="62" t="s">
        <v>393</v>
      </c>
      <c r="D44" s="64">
        <v>459</v>
      </c>
      <c r="E44" s="64">
        <v>459</v>
      </c>
      <c r="F44" s="64">
        <v>459</v>
      </c>
      <c r="G44" s="64">
        <v>459</v>
      </c>
      <c r="H44" s="64">
        <v>459</v>
      </c>
      <c r="I44" s="64">
        <v>459</v>
      </c>
      <c r="J44" s="64">
        <v>459</v>
      </c>
      <c r="K44" s="64">
        <v>459</v>
      </c>
    </row>
    <row r="45" spans="1:11" ht="15.75" customHeight="1">
      <c r="A45" s="62" t="s">
        <v>66</v>
      </c>
      <c r="B45" s="63" t="s">
        <v>48</v>
      </c>
      <c r="C45" s="62" t="s">
        <v>181</v>
      </c>
      <c r="D45" s="64">
        <v>219.6</v>
      </c>
      <c r="E45" s="64">
        <v>219.6</v>
      </c>
      <c r="F45" s="64">
        <v>219.6</v>
      </c>
      <c r="G45" s="64">
        <v>219.6</v>
      </c>
      <c r="H45" s="64">
        <v>219.6</v>
      </c>
      <c r="I45" s="64">
        <v>219.6</v>
      </c>
      <c r="J45" s="64">
        <v>219.6</v>
      </c>
      <c r="K45" s="64">
        <v>219.6</v>
      </c>
    </row>
    <row r="46" spans="1:11" ht="15.75" customHeight="1">
      <c r="A46" s="62" t="s">
        <v>83</v>
      </c>
      <c r="B46" s="63" t="s">
        <v>48</v>
      </c>
      <c r="C46" s="62" t="s">
        <v>402</v>
      </c>
      <c r="D46" s="64">
        <v>449.1</v>
      </c>
      <c r="E46" s="64">
        <v>449.1</v>
      </c>
      <c r="F46" s="64">
        <v>449.1</v>
      </c>
      <c r="G46" s="64">
        <v>449.1</v>
      </c>
      <c r="H46" s="64">
        <v>449.1</v>
      </c>
      <c r="I46" s="64">
        <v>449.1</v>
      </c>
      <c r="J46" s="64">
        <v>449.1</v>
      </c>
      <c r="K46" s="64">
        <v>449.1</v>
      </c>
    </row>
    <row r="47" spans="1:11" ht="15.75" customHeight="1">
      <c r="A47" s="62" t="s">
        <v>45</v>
      </c>
      <c r="B47" s="63" t="s">
        <v>48</v>
      </c>
      <c r="C47" s="62" t="s">
        <v>206</v>
      </c>
      <c r="D47" s="64">
        <v>189</v>
      </c>
      <c r="E47" s="64">
        <v>189</v>
      </c>
      <c r="F47" s="64">
        <v>189</v>
      </c>
      <c r="G47" s="64">
        <v>189</v>
      </c>
      <c r="H47" s="64">
        <v>189</v>
      </c>
      <c r="I47" s="64">
        <v>189</v>
      </c>
      <c r="J47" s="64">
        <v>189</v>
      </c>
      <c r="K47" s="64">
        <v>189</v>
      </c>
    </row>
    <row r="48" spans="1:11" ht="15.75" customHeight="1">
      <c r="A48" s="62" t="s">
        <v>211</v>
      </c>
      <c r="B48" s="63" t="s">
        <v>48</v>
      </c>
      <c r="C48" s="62" t="s">
        <v>212</v>
      </c>
      <c r="D48" s="64">
        <v>199.8</v>
      </c>
      <c r="E48" s="64">
        <v>199.8</v>
      </c>
      <c r="F48" s="64">
        <v>199.8</v>
      </c>
      <c r="G48" s="64">
        <v>199.8</v>
      </c>
      <c r="H48" s="64">
        <v>199.8</v>
      </c>
      <c r="I48" s="64">
        <v>199.8</v>
      </c>
      <c r="J48" s="64">
        <v>199.8</v>
      </c>
      <c r="K48" s="64">
        <v>199.8</v>
      </c>
    </row>
    <row r="49" spans="1:11" ht="15.75" customHeight="1">
      <c r="A49" s="62" t="s">
        <v>83</v>
      </c>
      <c r="B49" s="63" t="s">
        <v>48</v>
      </c>
      <c r="C49" s="62" t="s">
        <v>409</v>
      </c>
      <c r="D49" s="64">
        <v>489.6</v>
      </c>
      <c r="E49" s="64">
        <v>489.6</v>
      </c>
      <c r="F49" s="64">
        <v>489.6</v>
      </c>
      <c r="G49" s="64">
        <v>489.6</v>
      </c>
      <c r="H49" s="64">
        <v>489.6</v>
      </c>
      <c r="I49" s="64">
        <v>489.6</v>
      </c>
      <c r="J49" s="64">
        <v>489.6</v>
      </c>
      <c r="K49" s="64">
        <v>489.6</v>
      </c>
    </row>
    <row r="50" spans="1:11" ht="15.75" customHeight="1">
      <c r="A50" s="62" t="s">
        <v>83</v>
      </c>
      <c r="B50" s="63" t="s">
        <v>48</v>
      </c>
      <c r="C50" s="62" t="s">
        <v>406</v>
      </c>
      <c r="D50" s="64">
        <v>499.5</v>
      </c>
      <c r="E50" s="64">
        <v>499.5</v>
      </c>
      <c r="F50" s="64">
        <v>499.5</v>
      </c>
      <c r="G50" s="64">
        <v>499.5</v>
      </c>
      <c r="H50" s="64">
        <v>499.5</v>
      </c>
      <c r="I50" s="64">
        <v>499.5</v>
      </c>
      <c r="J50" s="64">
        <v>499.5</v>
      </c>
      <c r="K50" s="64">
        <v>499.5</v>
      </c>
    </row>
    <row r="51" spans="1:11" ht="15.75" customHeight="1">
      <c r="A51" s="62" t="s">
        <v>45</v>
      </c>
      <c r="B51" s="63" t="s">
        <v>48</v>
      </c>
      <c r="C51" s="62" t="s">
        <v>257</v>
      </c>
      <c r="D51" s="64">
        <v>329.40000000000003</v>
      </c>
      <c r="E51" s="64">
        <v>329.40000000000003</v>
      </c>
      <c r="F51" s="64">
        <v>329.40000000000003</v>
      </c>
      <c r="G51" s="64">
        <v>329.40000000000003</v>
      </c>
      <c r="H51" s="64">
        <v>329.40000000000003</v>
      </c>
      <c r="I51" s="64">
        <v>329.40000000000003</v>
      </c>
      <c r="J51" s="64">
        <v>329.40000000000003</v>
      </c>
      <c r="K51" s="64">
        <v>329.40000000000003</v>
      </c>
    </row>
    <row r="52" spans="1:11" ht="15.75" customHeight="1">
      <c r="A52" s="62" t="s">
        <v>45</v>
      </c>
      <c r="B52" s="63" t="s">
        <v>48</v>
      </c>
      <c r="C52" s="62" t="s">
        <v>141</v>
      </c>
      <c r="D52" s="64">
        <v>309.60000000000002</v>
      </c>
      <c r="E52" s="64">
        <v>309.60000000000002</v>
      </c>
      <c r="F52" s="64">
        <v>309.60000000000002</v>
      </c>
      <c r="G52" s="64">
        <v>309.60000000000002</v>
      </c>
      <c r="H52" s="64">
        <v>309.60000000000002</v>
      </c>
      <c r="I52" s="64">
        <v>309.60000000000002</v>
      </c>
      <c r="J52" s="64">
        <v>309.60000000000002</v>
      </c>
      <c r="K52" s="64">
        <v>309.60000000000002</v>
      </c>
    </row>
    <row r="53" spans="1:11" ht="15.75" customHeight="1">
      <c r="A53" s="62" t="s">
        <v>91</v>
      </c>
      <c r="B53" s="63" t="s">
        <v>48</v>
      </c>
      <c r="C53" s="62" t="s">
        <v>214</v>
      </c>
      <c r="D53" s="64">
        <v>1279.8</v>
      </c>
      <c r="E53" s="64">
        <v>1279.8</v>
      </c>
      <c r="F53" s="64">
        <v>1279.8</v>
      </c>
      <c r="G53" s="64">
        <v>1279.8</v>
      </c>
      <c r="H53" s="64">
        <v>1279.8</v>
      </c>
      <c r="I53" s="64">
        <v>1279.8</v>
      </c>
      <c r="J53" s="64">
        <v>1279.8</v>
      </c>
      <c r="K53" s="64">
        <v>1279.8</v>
      </c>
    </row>
    <row r="54" spans="1:11" ht="15.75" customHeight="1">
      <c r="A54" s="62" t="s">
        <v>45</v>
      </c>
      <c r="B54" s="63" t="s">
        <v>48</v>
      </c>
      <c r="C54" s="62" t="s">
        <v>413</v>
      </c>
      <c r="D54" s="64">
        <v>249.3</v>
      </c>
      <c r="E54" s="64">
        <v>249.3</v>
      </c>
      <c r="F54" s="64">
        <v>249.3</v>
      </c>
      <c r="G54" s="64">
        <v>249.3</v>
      </c>
      <c r="H54" s="64">
        <v>249.3</v>
      </c>
      <c r="I54" s="64">
        <v>249.3</v>
      </c>
      <c r="J54" s="64">
        <v>249.3</v>
      </c>
      <c r="K54" s="64">
        <v>249.3</v>
      </c>
    </row>
    <row r="55" spans="1:11" ht="15.75" customHeight="1">
      <c r="A55" s="62" t="s">
        <v>45</v>
      </c>
      <c r="B55" s="63" t="s">
        <v>48</v>
      </c>
      <c r="C55" s="62" t="s">
        <v>578</v>
      </c>
      <c r="D55" s="64">
        <v>469.8</v>
      </c>
      <c r="E55" s="64">
        <v>469.8</v>
      </c>
      <c r="F55" s="64">
        <v>469.8</v>
      </c>
      <c r="G55" s="64">
        <v>469.8</v>
      </c>
      <c r="H55" s="64">
        <v>469.8</v>
      </c>
      <c r="I55" s="64">
        <v>469.8</v>
      </c>
      <c r="J55" s="64">
        <v>469.8</v>
      </c>
      <c r="K55" s="64">
        <v>469.8</v>
      </c>
    </row>
    <row r="56" spans="1:11" ht="15.75" customHeight="1">
      <c r="A56" s="62" t="s">
        <v>45</v>
      </c>
      <c r="B56" s="63" t="s">
        <v>48</v>
      </c>
      <c r="C56" s="62" t="s">
        <v>514</v>
      </c>
      <c r="D56" s="64">
        <v>229.5</v>
      </c>
      <c r="E56" s="64">
        <v>229.5</v>
      </c>
      <c r="F56" s="64">
        <v>229.5</v>
      </c>
      <c r="G56" s="64">
        <v>229.5</v>
      </c>
      <c r="H56" s="64">
        <v>229.5</v>
      </c>
      <c r="I56" s="64">
        <v>229.5</v>
      </c>
      <c r="J56" s="64">
        <v>229.5</v>
      </c>
      <c r="K56" s="64">
        <v>229.5</v>
      </c>
    </row>
    <row r="57" spans="1:11" ht="15.75" customHeight="1">
      <c r="A57" s="62" t="s">
        <v>45</v>
      </c>
      <c r="B57" s="63" t="s">
        <v>48</v>
      </c>
      <c r="C57" s="62" t="s">
        <v>520</v>
      </c>
      <c r="D57" s="64">
        <v>299.7</v>
      </c>
      <c r="E57" s="64">
        <v>299.7</v>
      </c>
      <c r="F57" s="64">
        <v>299.7</v>
      </c>
      <c r="G57" s="64">
        <v>299.7</v>
      </c>
      <c r="H57" s="64">
        <v>299.7</v>
      </c>
      <c r="I57" s="64">
        <v>299.7</v>
      </c>
      <c r="J57" s="64">
        <v>299.7</v>
      </c>
      <c r="K57" s="64">
        <v>299.7</v>
      </c>
    </row>
    <row r="58" spans="1:11" ht="15.75" customHeight="1">
      <c r="A58" s="62" t="s">
        <v>45</v>
      </c>
      <c r="B58" s="63" t="s">
        <v>48</v>
      </c>
      <c r="C58" s="62" t="s">
        <v>262</v>
      </c>
      <c r="D58" s="64">
        <v>419.40000000000003</v>
      </c>
      <c r="E58" s="64">
        <v>419.40000000000003</v>
      </c>
      <c r="F58" s="64">
        <v>419.40000000000003</v>
      </c>
      <c r="G58" s="64">
        <v>419.40000000000003</v>
      </c>
      <c r="H58" s="64">
        <v>419.40000000000003</v>
      </c>
      <c r="I58" s="64">
        <v>419.40000000000003</v>
      </c>
      <c r="J58" s="64">
        <v>419.40000000000003</v>
      </c>
      <c r="K58" s="64">
        <v>419.40000000000003</v>
      </c>
    </row>
    <row r="59" spans="1:11" ht="15.75" customHeight="1">
      <c r="A59" s="62" t="s">
        <v>83</v>
      </c>
      <c r="B59" s="63" t="s">
        <v>48</v>
      </c>
      <c r="C59" s="62" t="s">
        <v>457</v>
      </c>
      <c r="D59" s="64">
        <v>639</v>
      </c>
      <c r="E59" s="64">
        <v>639</v>
      </c>
      <c r="F59" s="64">
        <v>639</v>
      </c>
      <c r="G59" s="64">
        <v>639</v>
      </c>
      <c r="H59" s="64">
        <v>639</v>
      </c>
      <c r="I59" s="64">
        <v>639</v>
      </c>
      <c r="J59" s="64">
        <v>639</v>
      </c>
      <c r="K59" s="64">
        <v>639</v>
      </c>
    </row>
    <row r="60" spans="1:11" ht="15.75" customHeight="1">
      <c r="A60" s="62" t="s">
        <v>45</v>
      </c>
      <c r="B60" s="63" t="s">
        <v>48</v>
      </c>
      <c r="C60" s="62" t="s">
        <v>460</v>
      </c>
      <c r="D60" s="64">
        <v>249.3</v>
      </c>
      <c r="E60" s="64">
        <v>249.3</v>
      </c>
      <c r="F60" s="64">
        <v>249.3</v>
      </c>
      <c r="G60" s="64">
        <v>249.3</v>
      </c>
      <c r="H60" s="64">
        <v>249.3</v>
      </c>
      <c r="I60" s="64">
        <v>249.3</v>
      </c>
      <c r="J60" s="64">
        <v>249.3</v>
      </c>
      <c r="K60" s="64">
        <v>249.3</v>
      </c>
    </row>
    <row r="61" spans="1:11" ht="15.75" customHeight="1">
      <c r="A61" s="62" t="s">
        <v>45</v>
      </c>
      <c r="B61" s="63" t="s">
        <v>48</v>
      </c>
      <c r="C61" s="62" t="s">
        <v>432</v>
      </c>
      <c r="D61" s="64">
        <v>419.40000000000003</v>
      </c>
      <c r="E61" s="64">
        <v>419.40000000000003</v>
      </c>
      <c r="F61" s="64">
        <v>419.40000000000003</v>
      </c>
      <c r="G61" s="64">
        <v>419.40000000000003</v>
      </c>
      <c r="H61" s="64">
        <v>419.40000000000003</v>
      </c>
      <c r="I61" s="64">
        <v>419.40000000000003</v>
      </c>
      <c r="J61" s="64">
        <v>419.40000000000003</v>
      </c>
      <c r="K61" s="64">
        <v>419.40000000000003</v>
      </c>
    </row>
    <row r="62" spans="1:11" ht="15.75" customHeight="1">
      <c r="A62" s="62" t="s">
        <v>91</v>
      </c>
      <c r="B62" s="63" t="s">
        <v>48</v>
      </c>
      <c r="C62" s="62" t="s">
        <v>309</v>
      </c>
      <c r="D62" s="64">
        <v>969.30000000000007</v>
      </c>
      <c r="E62" s="64">
        <v>969.30000000000007</v>
      </c>
      <c r="F62" s="64">
        <v>969.30000000000007</v>
      </c>
      <c r="G62" s="64">
        <v>969.30000000000007</v>
      </c>
      <c r="H62" s="64">
        <v>969.30000000000007</v>
      </c>
      <c r="I62" s="64">
        <v>969.30000000000007</v>
      </c>
      <c r="J62" s="64">
        <v>969.30000000000007</v>
      </c>
      <c r="K62" s="64">
        <v>969.30000000000007</v>
      </c>
    </row>
    <row r="63" spans="1:11" ht="15.75" customHeight="1">
      <c r="A63" s="62" t="s">
        <v>91</v>
      </c>
      <c r="B63" s="63" t="s">
        <v>48</v>
      </c>
      <c r="C63" s="62" t="s">
        <v>597</v>
      </c>
      <c r="D63" s="64">
        <v>699.30000000000007</v>
      </c>
      <c r="E63" s="64">
        <v>699.30000000000007</v>
      </c>
      <c r="F63" s="64">
        <v>699.30000000000007</v>
      </c>
      <c r="G63" s="64">
        <v>699.30000000000007</v>
      </c>
      <c r="H63" s="64">
        <v>699.30000000000007</v>
      </c>
      <c r="I63" s="64">
        <v>699.30000000000007</v>
      </c>
      <c r="J63" s="64">
        <v>699.30000000000007</v>
      </c>
      <c r="K63" s="64">
        <v>699.30000000000007</v>
      </c>
    </row>
    <row r="64" spans="1:11" ht="15.75" customHeight="1">
      <c r="A64" s="62" t="s">
        <v>91</v>
      </c>
      <c r="B64" s="63" t="s">
        <v>48</v>
      </c>
      <c r="C64" s="62" t="s">
        <v>338</v>
      </c>
      <c r="D64" s="64">
        <v>3499.2000000000003</v>
      </c>
      <c r="E64" s="64">
        <v>3499.2000000000003</v>
      </c>
      <c r="F64" s="64">
        <v>3499.2000000000003</v>
      </c>
      <c r="G64" s="64">
        <v>3499.2000000000003</v>
      </c>
      <c r="H64" s="64">
        <v>3499.2000000000003</v>
      </c>
      <c r="I64" s="64">
        <v>3499.2000000000003</v>
      </c>
      <c r="J64" s="64">
        <v>3499.2000000000003</v>
      </c>
      <c r="K64" s="64">
        <v>3499.2000000000003</v>
      </c>
    </row>
    <row r="65" spans="1:11" ht="15.75" customHeight="1">
      <c r="A65" s="62" t="s">
        <v>91</v>
      </c>
      <c r="B65" s="63" t="s">
        <v>48</v>
      </c>
      <c r="C65" s="62" t="s">
        <v>294</v>
      </c>
      <c r="D65" s="64">
        <v>4689</v>
      </c>
      <c r="E65" s="64">
        <v>4689</v>
      </c>
      <c r="F65" s="64">
        <v>4689</v>
      </c>
      <c r="G65" s="64">
        <v>4689</v>
      </c>
      <c r="H65" s="64">
        <v>4689</v>
      </c>
      <c r="I65" s="64">
        <v>4689</v>
      </c>
      <c r="J65" s="64">
        <v>4689</v>
      </c>
      <c r="K65" s="64">
        <v>4689</v>
      </c>
    </row>
    <row r="66" spans="1:11" ht="15.75" customHeight="1">
      <c r="A66" s="62" t="s">
        <v>91</v>
      </c>
      <c r="B66" s="63" t="s">
        <v>48</v>
      </c>
      <c r="C66" s="62" t="s">
        <v>217</v>
      </c>
      <c r="D66" s="64">
        <v>4379.4000000000005</v>
      </c>
      <c r="E66" s="64">
        <v>4379.4000000000005</v>
      </c>
      <c r="F66" s="64">
        <v>4379.4000000000005</v>
      </c>
      <c r="G66" s="64">
        <v>4379.4000000000005</v>
      </c>
      <c r="H66" s="64">
        <v>4379.4000000000005</v>
      </c>
      <c r="I66" s="64">
        <v>4379.4000000000005</v>
      </c>
      <c r="J66" s="64">
        <v>4379.4000000000005</v>
      </c>
      <c r="K66" s="64">
        <v>4379.4000000000005</v>
      </c>
    </row>
    <row r="67" spans="1:11" ht="15.75" customHeight="1">
      <c r="A67" s="62" t="s">
        <v>91</v>
      </c>
      <c r="B67" s="63" t="s">
        <v>48</v>
      </c>
      <c r="C67" s="62" t="s">
        <v>526</v>
      </c>
      <c r="D67" s="64">
        <v>3299.4</v>
      </c>
      <c r="E67" s="64">
        <v>3299.4</v>
      </c>
      <c r="F67" s="64">
        <v>3299.4</v>
      </c>
      <c r="G67" s="64">
        <v>3299.4</v>
      </c>
      <c r="H67" s="64">
        <v>3299.4</v>
      </c>
      <c r="I67" s="64">
        <v>3299.4</v>
      </c>
      <c r="J67" s="64">
        <v>3299.4</v>
      </c>
      <c r="K67" s="64">
        <v>3299.4</v>
      </c>
    </row>
    <row r="68" spans="1:11" ht="15.75" customHeight="1">
      <c r="A68" s="62" t="s">
        <v>91</v>
      </c>
      <c r="B68" s="63" t="s">
        <v>48</v>
      </c>
      <c r="C68" s="62" t="s">
        <v>364</v>
      </c>
      <c r="D68" s="64">
        <v>5189.4000000000005</v>
      </c>
      <c r="E68" s="64">
        <v>5189.4000000000005</v>
      </c>
      <c r="F68" s="64">
        <v>5189.4000000000005</v>
      </c>
      <c r="G68" s="64">
        <v>5189.4000000000005</v>
      </c>
      <c r="H68" s="64">
        <v>5189.4000000000005</v>
      </c>
      <c r="I68" s="64">
        <v>5189.4000000000005</v>
      </c>
      <c r="J68" s="64">
        <v>5189.4000000000005</v>
      </c>
      <c r="K68" s="64">
        <v>5189.4000000000005</v>
      </c>
    </row>
    <row r="69" spans="1:11" ht="15.75" customHeight="1">
      <c r="A69" s="62" t="s">
        <v>91</v>
      </c>
      <c r="B69" s="63" t="s">
        <v>48</v>
      </c>
      <c r="C69" s="62" t="s">
        <v>231</v>
      </c>
      <c r="D69" s="64">
        <v>6979.5</v>
      </c>
      <c r="E69" s="64">
        <v>6979.5</v>
      </c>
      <c r="F69" s="64">
        <v>6979.5</v>
      </c>
      <c r="G69" s="64">
        <v>6979.5</v>
      </c>
      <c r="H69" s="64">
        <v>6979.5</v>
      </c>
      <c r="I69" s="64">
        <v>6979.5</v>
      </c>
      <c r="J69" s="64">
        <v>6979.5</v>
      </c>
      <c r="K69" s="64">
        <v>6979.5</v>
      </c>
    </row>
    <row r="70" spans="1:11" ht="15.75" customHeight="1">
      <c r="A70" s="62" t="s">
        <v>91</v>
      </c>
      <c r="B70" s="63" t="s">
        <v>48</v>
      </c>
      <c r="C70" s="62" t="s">
        <v>484</v>
      </c>
      <c r="D70" s="64">
        <v>1499.4</v>
      </c>
      <c r="E70" s="64">
        <v>1499.4</v>
      </c>
      <c r="F70" s="64">
        <v>1499.4</v>
      </c>
      <c r="G70" s="64">
        <v>1499.4</v>
      </c>
      <c r="H70" s="64">
        <v>1499.4</v>
      </c>
      <c r="I70" s="64">
        <v>1499.4</v>
      </c>
      <c r="J70" s="64">
        <v>1499.4</v>
      </c>
      <c r="K70" s="64">
        <v>1499.4</v>
      </c>
    </row>
    <row r="71" spans="1:11" ht="15.75" customHeight="1">
      <c r="A71" s="62" t="s">
        <v>91</v>
      </c>
      <c r="B71" s="63" t="s">
        <v>48</v>
      </c>
      <c r="C71" s="62" t="s">
        <v>487</v>
      </c>
      <c r="D71" s="64">
        <v>1869.3</v>
      </c>
      <c r="E71" s="64">
        <v>1869.3</v>
      </c>
      <c r="F71" s="64">
        <v>1869.3</v>
      </c>
      <c r="G71" s="64">
        <v>1869.3</v>
      </c>
      <c r="H71" s="64">
        <v>1869.3</v>
      </c>
      <c r="I71" s="64">
        <v>1869.3</v>
      </c>
      <c r="J71" s="64">
        <v>1869.3</v>
      </c>
      <c r="K71" s="64">
        <v>1869.3</v>
      </c>
    </row>
    <row r="72" spans="1:11" ht="15.75" customHeight="1">
      <c r="A72" s="62" t="s">
        <v>91</v>
      </c>
      <c r="B72" s="63" t="s">
        <v>48</v>
      </c>
      <c r="C72" s="62" t="s">
        <v>247</v>
      </c>
      <c r="D72" s="64">
        <v>3599.1</v>
      </c>
      <c r="E72" s="64">
        <v>3599.1</v>
      </c>
      <c r="F72" s="64">
        <v>3599.1</v>
      </c>
      <c r="G72" s="64">
        <v>3599.1</v>
      </c>
      <c r="H72" s="64">
        <v>3599.1</v>
      </c>
      <c r="I72" s="64">
        <v>3599.1</v>
      </c>
      <c r="J72" s="64">
        <v>3599.1</v>
      </c>
      <c r="K72" s="64">
        <v>3599.1</v>
      </c>
    </row>
    <row r="73" spans="1:11" ht="15.75" customHeight="1">
      <c r="A73" s="62" t="s">
        <v>45</v>
      </c>
      <c r="B73" s="63" t="s">
        <v>48</v>
      </c>
      <c r="C73" s="62" t="s">
        <v>350</v>
      </c>
      <c r="D73" s="64">
        <v>649.80000000000007</v>
      </c>
      <c r="E73" s="64">
        <v>649.80000000000007</v>
      </c>
      <c r="F73" s="64">
        <v>649.80000000000007</v>
      </c>
      <c r="G73" s="64">
        <v>649.80000000000007</v>
      </c>
      <c r="H73" s="64">
        <v>649.80000000000007</v>
      </c>
      <c r="I73" s="64">
        <v>649.80000000000007</v>
      </c>
      <c r="J73" s="64">
        <v>649.80000000000007</v>
      </c>
      <c r="K73" s="64">
        <v>649.80000000000007</v>
      </c>
    </row>
    <row r="74" spans="1:11" ht="15.75" customHeight="1">
      <c r="A74" s="62" t="s">
        <v>91</v>
      </c>
      <c r="B74" s="63" t="s">
        <v>48</v>
      </c>
      <c r="C74" s="62" t="s">
        <v>465</v>
      </c>
      <c r="D74" s="64">
        <v>979.2</v>
      </c>
      <c r="E74" s="64">
        <v>979.2</v>
      </c>
      <c r="F74" s="64">
        <v>979.2</v>
      </c>
      <c r="G74" s="64">
        <v>979.2</v>
      </c>
      <c r="H74" s="64">
        <v>979.2</v>
      </c>
      <c r="I74" s="64">
        <v>979.2</v>
      </c>
      <c r="J74" s="64">
        <v>979.2</v>
      </c>
      <c r="K74" s="64">
        <v>979.2</v>
      </c>
    </row>
    <row r="75" spans="1:11" ht="15.75" customHeight="1">
      <c r="A75" s="62" t="s">
        <v>91</v>
      </c>
      <c r="B75" s="63" t="s">
        <v>48</v>
      </c>
      <c r="C75" s="62" t="s">
        <v>439</v>
      </c>
      <c r="D75" s="64">
        <v>1799.1000000000001</v>
      </c>
      <c r="E75" s="64">
        <v>1799.1000000000001</v>
      </c>
      <c r="F75" s="64">
        <v>1799.1000000000001</v>
      </c>
      <c r="G75" s="64">
        <v>1799.1000000000001</v>
      </c>
      <c r="H75" s="64">
        <v>1799.1000000000001</v>
      </c>
      <c r="I75" s="64">
        <v>1799.1000000000001</v>
      </c>
      <c r="J75" s="64">
        <v>1799.1000000000001</v>
      </c>
      <c r="K75" s="64">
        <v>1799.1000000000001</v>
      </c>
    </row>
    <row r="76" spans="1:11" ht="15.75" customHeight="1">
      <c r="A76" s="62" t="s">
        <v>83</v>
      </c>
      <c r="B76" s="63" t="s">
        <v>48</v>
      </c>
      <c r="C76" s="62" t="s">
        <v>417</v>
      </c>
      <c r="D76" s="64">
        <v>909</v>
      </c>
      <c r="E76" s="64">
        <v>909</v>
      </c>
      <c r="F76" s="64">
        <v>909</v>
      </c>
      <c r="G76" s="64">
        <v>909</v>
      </c>
      <c r="H76" s="64">
        <v>909</v>
      </c>
      <c r="I76" s="64">
        <v>909</v>
      </c>
      <c r="J76" s="64">
        <v>909</v>
      </c>
      <c r="K76" s="64">
        <v>909</v>
      </c>
    </row>
    <row r="77" spans="1:11" ht="15.75" customHeight="1">
      <c r="A77" s="62" t="s">
        <v>45</v>
      </c>
      <c r="B77" s="63" t="s">
        <v>48</v>
      </c>
      <c r="C77" s="62" t="s">
        <v>298</v>
      </c>
      <c r="D77" s="64">
        <v>299.7</v>
      </c>
      <c r="E77" s="64">
        <v>299.7</v>
      </c>
      <c r="F77" s="64">
        <v>299.7</v>
      </c>
      <c r="G77" s="64">
        <v>299.7</v>
      </c>
      <c r="H77" s="64">
        <v>299.7</v>
      </c>
      <c r="I77" s="64">
        <v>299.7</v>
      </c>
      <c r="J77" s="64">
        <v>299.7</v>
      </c>
      <c r="K77" s="64">
        <v>299.7</v>
      </c>
    </row>
    <row r="78" spans="1:11" ht="15.75" customHeight="1">
      <c r="A78" s="62" t="s">
        <v>83</v>
      </c>
      <c r="B78" s="63" t="s">
        <v>48</v>
      </c>
      <c r="C78" s="62" t="s">
        <v>355</v>
      </c>
      <c r="D78" s="64">
        <v>599.4</v>
      </c>
      <c r="E78" s="64">
        <v>599.4</v>
      </c>
      <c r="F78" s="64">
        <v>599.4</v>
      </c>
      <c r="G78" s="64">
        <v>599.4</v>
      </c>
      <c r="H78" s="64">
        <v>599.4</v>
      </c>
      <c r="I78" s="64">
        <v>599.4</v>
      </c>
      <c r="J78" s="64">
        <v>599.4</v>
      </c>
      <c r="K78" s="64">
        <v>599.4</v>
      </c>
    </row>
    <row r="79" spans="1:11" ht="15.75" customHeight="1">
      <c r="A79" s="62" t="s">
        <v>91</v>
      </c>
      <c r="B79" s="63" t="s">
        <v>48</v>
      </c>
      <c r="C79" s="62" t="s">
        <v>468</v>
      </c>
      <c r="D79" s="64">
        <v>579.6</v>
      </c>
      <c r="E79" s="64">
        <v>579.6</v>
      </c>
      <c r="F79" s="64">
        <v>579.6</v>
      </c>
      <c r="G79" s="64">
        <v>579.6</v>
      </c>
      <c r="H79" s="64">
        <v>579.6</v>
      </c>
      <c r="I79" s="64">
        <v>579.6</v>
      </c>
      <c r="J79" s="64">
        <v>579.6</v>
      </c>
      <c r="K79" s="64">
        <v>579.6</v>
      </c>
    </row>
    <row r="80" spans="1:11" ht="15.75" customHeight="1">
      <c r="A80" s="62" t="s">
        <v>83</v>
      </c>
      <c r="B80" s="63" t="s">
        <v>48</v>
      </c>
      <c r="C80" s="62" t="s">
        <v>579</v>
      </c>
      <c r="D80" s="64">
        <v>569.70000000000005</v>
      </c>
      <c r="E80" s="64">
        <v>569.70000000000005</v>
      </c>
      <c r="F80" s="64">
        <v>569.70000000000005</v>
      </c>
      <c r="G80" s="64">
        <v>569.70000000000005</v>
      </c>
      <c r="H80" s="64">
        <v>569.70000000000005</v>
      </c>
      <c r="I80" s="64">
        <v>569.70000000000005</v>
      </c>
      <c r="J80" s="64">
        <v>569.70000000000005</v>
      </c>
      <c r="K80" s="64">
        <v>569.70000000000005</v>
      </c>
    </row>
    <row r="81" spans="1:11" ht="15.75" customHeight="1">
      <c r="A81" s="62" t="s">
        <v>45</v>
      </c>
      <c r="B81" s="63" t="s">
        <v>48</v>
      </c>
      <c r="C81" s="62" t="s">
        <v>476</v>
      </c>
      <c r="D81" s="64">
        <v>399.6</v>
      </c>
      <c r="E81" s="64">
        <v>399.6</v>
      </c>
      <c r="F81" s="64">
        <v>399.6</v>
      </c>
      <c r="G81" s="64">
        <v>399.6</v>
      </c>
      <c r="H81" s="64">
        <v>399.6</v>
      </c>
      <c r="I81" s="64">
        <v>399.6</v>
      </c>
      <c r="J81" s="64">
        <v>399.6</v>
      </c>
      <c r="K81" s="64">
        <v>399.6</v>
      </c>
    </row>
    <row r="82" spans="1:11" ht="15.75" customHeight="1">
      <c r="A82" s="62" t="s">
        <v>45</v>
      </c>
      <c r="B82" s="63" t="s">
        <v>48</v>
      </c>
      <c r="C82" s="62" t="s">
        <v>423</v>
      </c>
      <c r="D82" s="64">
        <v>389.7</v>
      </c>
      <c r="E82" s="64">
        <v>389.7</v>
      </c>
      <c r="F82" s="64">
        <v>389.7</v>
      </c>
      <c r="G82" s="64">
        <v>389.7</v>
      </c>
      <c r="H82" s="64">
        <v>389.7</v>
      </c>
      <c r="I82" s="64">
        <v>389.7</v>
      </c>
      <c r="J82" s="64">
        <v>389.7</v>
      </c>
      <c r="K82" s="64">
        <v>389.7</v>
      </c>
    </row>
    <row r="83" spans="1:11" ht="15.75" customHeight="1">
      <c r="A83" s="62" t="s">
        <v>66</v>
      </c>
      <c r="B83" s="63" t="s">
        <v>48</v>
      </c>
      <c r="C83" s="62" t="s">
        <v>560</v>
      </c>
      <c r="D83" s="64">
        <v>249.3</v>
      </c>
      <c r="E83" s="64">
        <v>249.3</v>
      </c>
      <c r="F83" s="64">
        <v>249.3</v>
      </c>
      <c r="G83" s="64">
        <v>249.3</v>
      </c>
      <c r="H83" s="64">
        <v>249.3</v>
      </c>
      <c r="I83" s="64">
        <v>249.3</v>
      </c>
      <c r="J83" s="64">
        <v>249.3</v>
      </c>
      <c r="K83" s="64">
        <v>249.3</v>
      </c>
    </row>
    <row r="84" spans="1:11" ht="15.75" customHeight="1">
      <c r="A84" s="62" t="s">
        <v>45</v>
      </c>
      <c r="B84" s="63" t="s">
        <v>48</v>
      </c>
      <c r="C84" s="62" t="s">
        <v>495</v>
      </c>
      <c r="D84" s="64">
        <v>329.40000000000003</v>
      </c>
      <c r="E84" s="64">
        <v>329.40000000000003</v>
      </c>
      <c r="F84" s="64">
        <v>329.40000000000003</v>
      </c>
      <c r="G84" s="64">
        <v>329.40000000000003</v>
      </c>
      <c r="H84" s="64">
        <v>329.40000000000003</v>
      </c>
      <c r="I84" s="64">
        <v>329.40000000000003</v>
      </c>
      <c r="J84" s="64">
        <v>329.40000000000003</v>
      </c>
      <c r="K84" s="64">
        <v>329.40000000000003</v>
      </c>
    </row>
    <row r="85" spans="1:11" ht="15.75" customHeight="1">
      <c r="A85" s="62" t="s">
        <v>91</v>
      </c>
      <c r="B85" s="63" t="s">
        <v>48</v>
      </c>
      <c r="C85" s="62" t="s">
        <v>529</v>
      </c>
      <c r="D85" s="64">
        <v>1999.8</v>
      </c>
      <c r="E85" s="64">
        <v>1999.8</v>
      </c>
      <c r="F85" s="64">
        <v>1999.8</v>
      </c>
      <c r="G85" s="64">
        <v>1999.8</v>
      </c>
      <c r="H85" s="64">
        <v>1999.8</v>
      </c>
      <c r="I85" s="64">
        <v>1999.8</v>
      </c>
      <c r="J85" s="64">
        <v>1999.8</v>
      </c>
      <c r="K85" s="64">
        <v>1999.8</v>
      </c>
    </row>
    <row r="86" spans="1:11" ht="15.75" customHeight="1">
      <c r="A86" s="62" t="s">
        <v>91</v>
      </c>
      <c r="B86" s="63" t="s">
        <v>48</v>
      </c>
      <c r="C86" s="62" t="s">
        <v>533</v>
      </c>
      <c r="D86" s="64">
        <v>2599.2000000000003</v>
      </c>
      <c r="E86" s="64">
        <v>2599.2000000000003</v>
      </c>
      <c r="F86" s="64">
        <v>2599.2000000000003</v>
      </c>
      <c r="G86" s="64">
        <v>2599.2000000000003</v>
      </c>
      <c r="H86" s="64">
        <v>2599.2000000000003</v>
      </c>
      <c r="I86" s="64">
        <v>2599.2000000000003</v>
      </c>
      <c r="J86" s="64">
        <v>2599.2000000000003</v>
      </c>
      <c r="K86" s="64">
        <v>2599.2000000000003</v>
      </c>
    </row>
    <row r="87" spans="1:11" ht="15.75" customHeight="1">
      <c r="A87" s="62" t="s">
        <v>91</v>
      </c>
      <c r="B87" s="63" t="s">
        <v>48</v>
      </c>
      <c r="C87" s="62" t="s">
        <v>601</v>
      </c>
      <c r="D87" s="64">
        <v>3339</v>
      </c>
      <c r="E87" s="64">
        <v>3339</v>
      </c>
      <c r="F87" s="64">
        <v>3339</v>
      </c>
      <c r="G87" s="64">
        <v>3339</v>
      </c>
      <c r="H87" s="64">
        <v>3339</v>
      </c>
      <c r="I87" s="64">
        <v>3339</v>
      </c>
      <c r="J87" s="64">
        <v>3339</v>
      </c>
      <c r="K87" s="64">
        <v>3339</v>
      </c>
    </row>
    <row r="88" spans="1:11" ht="15.75" customHeight="1">
      <c r="A88" s="62" t="s">
        <v>45</v>
      </c>
      <c r="B88" s="63" t="s">
        <v>48</v>
      </c>
      <c r="C88" s="62" t="s">
        <v>443</v>
      </c>
      <c r="D88" s="64">
        <v>499.5</v>
      </c>
      <c r="E88" s="64">
        <v>499.5</v>
      </c>
      <c r="F88" s="64">
        <v>499.5</v>
      </c>
      <c r="G88" s="64">
        <v>499.5</v>
      </c>
      <c r="H88" s="64">
        <v>499.5</v>
      </c>
      <c r="I88" s="64">
        <v>499.5</v>
      </c>
      <c r="J88" s="64">
        <v>499.5</v>
      </c>
      <c r="K88" s="64">
        <v>499.5</v>
      </c>
    </row>
    <row r="89" spans="1:11" ht="15.75" customHeight="1">
      <c r="A89" s="62" t="s">
        <v>45</v>
      </c>
      <c r="B89" s="63" t="s">
        <v>48</v>
      </c>
      <c r="C89" s="62" t="s">
        <v>580</v>
      </c>
      <c r="D89" s="64">
        <v>409.5</v>
      </c>
      <c r="E89" s="64">
        <v>409.5</v>
      </c>
      <c r="F89" s="64">
        <v>409.5</v>
      </c>
      <c r="G89" s="64">
        <v>409.5</v>
      </c>
      <c r="H89" s="64">
        <v>409.5</v>
      </c>
      <c r="I89" s="64">
        <v>409.5</v>
      </c>
      <c r="J89" s="64">
        <v>409.5</v>
      </c>
      <c r="K89" s="64">
        <v>409.5</v>
      </c>
    </row>
    <row r="90" spans="1:11" ht="15.75" customHeight="1">
      <c r="A90" s="62" t="s">
        <v>45</v>
      </c>
      <c r="B90" s="63" t="s">
        <v>48</v>
      </c>
      <c r="C90" s="62" t="s">
        <v>506</v>
      </c>
      <c r="D90" s="64">
        <v>439.2</v>
      </c>
      <c r="E90" s="64">
        <v>439.2</v>
      </c>
      <c r="F90" s="64">
        <v>439.2</v>
      </c>
      <c r="G90" s="64">
        <v>439.2</v>
      </c>
      <c r="H90" s="64">
        <v>439.2</v>
      </c>
      <c r="I90" s="64">
        <v>439.2</v>
      </c>
      <c r="J90" s="64">
        <v>439.2</v>
      </c>
      <c r="K90" s="64">
        <v>439.2</v>
      </c>
    </row>
    <row r="91" spans="1:11" ht="15.75" customHeight="1">
      <c r="A91" s="62" t="s">
        <v>66</v>
      </c>
      <c r="B91" s="63" t="s">
        <v>48</v>
      </c>
      <c r="C91" s="62" t="s">
        <v>371</v>
      </c>
      <c r="D91" s="64">
        <v>259.2</v>
      </c>
      <c r="E91" s="64">
        <v>259.2</v>
      </c>
      <c r="F91" s="64">
        <v>259.2</v>
      </c>
      <c r="G91" s="64">
        <v>259.2</v>
      </c>
      <c r="H91" s="64">
        <v>259.2</v>
      </c>
      <c r="I91" s="64">
        <v>259.2</v>
      </c>
      <c r="J91" s="64">
        <v>259.2</v>
      </c>
      <c r="K91" s="64">
        <v>259.2</v>
      </c>
    </row>
    <row r="92" spans="1:11" ht="15.75" customHeight="1">
      <c r="A92" s="62" t="s">
        <v>45</v>
      </c>
      <c r="B92" s="63" t="s">
        <v>48</v>
      </c>
      <c r="C92" s="62" t="s">
        <v>581</v>
      </c>
      <c r="D92" s="64">
        <v>279</v>
      </c>
      <c r="E92" s="64">
        <v>279</v>
      </c>
      <c r="F92" s="64">
        <v>279</v>
      </c>
      <c r="G92" s="64">
        <v>279</v>
      </c>
      <c r="H92" s="64">
        <v>279</v>
      </c>
      <c r="I92" s="64">
        <v>279</v>
      </c>
      <c r="J92" s="64">
        <v>279</v>
      </c>
      <c r="K92" s="64">
        <v>279</v>
      </c>
    </row>
    <row r="93" spans="1:11" ht="15.75" customHeight="1">
      <c r="A93" s="62" t="s">
        <v>45</v>
      </c>
      <c r="B93" s="63" t="s">
        <v>48</v>
      </c>
      <c r="C93" s="62" t="s">
        <v>586</v>
      </c>
      <c r="D93" s="64">
        <v>549</v>
      </c>
      <c r="E93" s="64">
        <v>549</v>
      </c>
      <c r="F93" s="64">
        <v>549</v>
      </c>
      <c r="G93" s="64">
        <v>549</v>
      </c>
      <c r="H93" s="64">
        <v>549</v>
      </c>
      <c r="I93" s="64">
        <v>549</v>
      </c>
      <c r="J93" s="64">
        <v>549</v>
      </c>
      <c r="K93" s="64">
        <v>549</v>
      </c>
    </row>
    <row r="94" spans="1:11" ht="15.75" customHeight="1">
      <c r="A94" s="62" t="s">
        <v>83</v>
      </c>
      <c r="B94" s="63" t="s">
        <v>48</v>
      </c>
      <c r="C94" s="62" t="s">
        <v>602</v>
      </c>
      <c r="D94" s="64">
        <v>739.80000000000007</v>
      </c>
      <c r="E94" s="64">
        <v>739.80000000000007</v>
      </c>
      <c r="F94" s="64">
        <v>739.80000000000007</v>
      </c>
      <c r="G94" s="64">
        <v>739.80000000000007</v>
      </c>
      <c r="H94" s="64">
        <v>739.80000000000007</v>
      </c>
      <c r="I94" s="64">
        <v>739.80000000000007</v>
      </c>
      <c r="J94" s="64">
        <v>739.80000000000007</v>
      </c>
      <c r="K94" s="64">
        <v>739.80000000000007</v>
      </c>
    </row>
    <row r="95" spans="1:11" ht="15.75" customHeight="1">
      <c r="A95" s="62" t="s">
        <v>45</v>
      </c>
      <c r="B95" s="63" t="s">
        <v>48</v>
      </c>
      <c r="C95" s="62" t="s">
        <v>509</v>
      </c>
      <c r="D95" s="64">
        <v>329.40000000000003</v>
      </c>
      <c r="E95" s="64">
        <v>329.40000000000003</v>
      </c>
      <c r="F95" s="64">
        <v>329.40000000000003</v>
      </c>
      <c r="G95" s="64">
        <v>329.40000000000003</v>
      </c>
      <c r="H95" s="64">
        <v>329.40000000000003</v>
      </c>
      <c r="I95" s="64">
        <v>329.40000000000003</v>
      </c>
      <c r="J95" s="64">
        <v>329.40000000000003</v>
      </c>
      <c r="K95" s="64">
        <v>329.40000000000003</v>
      </c>
    </row>
    <row r="96" spans="1:11" ht="15.75" customHeight="1">
      <c r="A96" s="62" t="s">
        <v>91</v>
      </c>
      <c r="B96" s="63" t="s">
        <v>48</v>
      </c>
      <c r="C96" s="62" t="s">
        <v>537</v>
      </c>
      <c r="D96" s="64">
        <v>2999.7000000000003</v>
      </c>
      <c r="E96" s="64">
        <v>2999.7000000000003</v>
      </c>
      <c r="F96" s="64">
        <v>2999.7000000000003</v>
      </c>
      <c r="G96" s="64">
        <v>2999.7000000000003</v>
      </c>
      <c r="H96" s="64">
        <v>2999.7000000000003</v>
      </c>
      <c r="I96" s="64">
        <v>2999.7000000000003</v>
      </c>
      <c r="J96" s="64">
        <v>2999.7000000000003</v>
      </c>
      <c r="K96" s="64">
        <v>2999.7000000000003</v>
      </c>
    </row>
    <row r="97" spans="1:11" ht="15.75" customHeight="1">
      <c r="A97" s="62" t="s">
        <v>91</v>
      </c>
      <c r="B97" s="63" t="s">
        <v>48</v>
      </c>
      <c r="C97" s="62" t="s">
        <v>538</v>
      </c>
      <c r="D97" s="64">
        <v>3299.4</v>
      </c>
      <c r="E97" s="64">
        <v>3299.4</v>
      </c>
      <c r="F97" s="64">
        <v>3299.4</v>
      </c>
      <c r="G97" s="64">
        <v>3299.4</v>
      </c>
      <c r="H97" s="64">
        <v>3299.4</v>
      </c>
      <c r="I97" s="64">
        <v>3299.4</v>
      </c>
      <c r="J97" s="64">
        <v>3299.4</v>
      </c>
      <c r="K97" s="64">
        <v>3299.4</v>
      </c>
    </row>
    <row r="98" spans="1:11" ht="15.75" customHeight="1">
      <c r="A98" s="62" t="s">
        <v>91</v>
      </c>
      <c r="B98" s="63" t="s">
        <v>48</v>
      </c>
      <c r="C98" s="62" t="s">
        <v>548</v>
      </c>
      <c r="D98" s="64">
        <v>3789</v>
      </c>
      <c r="E98" s="64">
        <v>3789</v>
      </c>
      <c r="F98" s="64">
        <v>3789</v>
      </c>
      <c r="G98" s="64">
        <v>3789</v>
      </c>
      <c r="H98" s="64">
        <v>3789</v>
      </c>
      <c r="I98" s="64">
        <v>3789</v>
      </c>
      <c r="J98" s="64">
        <v>3789</v>
      </c>
      <c r="K98" s="64">
        <v>3789</v>
      </c>
    </row>
    <row r="99" spans="1:11" ht="15.75" customHeight="1">
      <c r="A99" s="62" t="s">
        <v>45</v>
      </c>
      <c r="B99" s="63" t="s">
        <v>48</v>
      </c>
      <c r="C99" s="62" t="s">
        <v>588</v>
      </c>
      <c r="D99" s="64">
        <v>289.8</v>
      </c>
      <c r="E99" s="64">
        <v>289.8</v>
      </c>
      <c r="F99" s="64">
        <v>289.8</v>
      </c>
      <c r="G99" s="64">
        <v>289.8</v>
      </c>
      <c r="H99" s="64">
        <v>289.8</v>
      </c>
      <c r="I99" s="64">
        <v>289.8</v>
      </c>
      <c r="J99" s="64">
        <v>289.8</v>
      </c>
      <c r="K99" s="64">
        <v>289.8</v>
      </c>
    </row>
    <row r="100" spans="1:11" ht="15.75" customHeight="1">
      <c r="A100" s="62" t="s">
        <v>45</v>
      </c>
      <c r="B100" s="63" t="s">
        <v>48</v>
      </c>
      <c r="C100" s="62" t="s">
        <v>549</v>
      </c>
      <c r="D100" s="64">
        <v>299.7</v>
      </c>
      <c r="E100" s="64">
        <v>299.7</v>
      </c>
      <c r="F100" s="64">
        <v>299.7</v>
      </c>
      <c r="G100" s="64">
        <v>299.7</v>
      </c>
      <c r="H100" s="64">
        <v>299.7</v>
      </c>
      <c r="I100" s="64">
        <v>299.7</v>
      </c>
      <c r="J100" s="64">
        <v>299.7</v>
      </c>
      <c r="K100" s="64">
        <v>299.7</v>
      </c>
    </row>
    <row r="101" spans="1:11" ht="15.75" customHeight="1">
      <c r="A101" s="62" t="s">
        <v>66</v>
      </c>
      <c r="B101" s="63" t="s">
        <v>48</v>
      </c>
      <c r="C101" s="62" t="s">
        <v>562</v>
      </c>
      <c r="D101" s="64">
        <v>299.7</v>
      </c>
      <c r="E101" s="64">
        <v>299.7</v>
      </c>
      <c r="F101" s="64">
        <v>299.7</v>
      </c>
      <c r="G101" s="64">
        <v>299.7</v>
      </c>
      <c r="H101" s="64">
        <v>299.7</v>
      </c>
      <c r="I101" s="64">
        <v>299.7</v>
      </c>
      <c r="J101" s="64">
        <v>299.7</v>
      </c>
      <c r="K101" s="64">
        <v>299.7</v>
      </c>
    </row>
    <row r="102" spans="1:11" ht="15.75" customHeight="1">
      <c r="A102" s="62" t="s">
        <v>91</v>
      </c>
      <c r="B102" s="63" t="s">
        <v>48</v>
      </c>
      <c r="C102" s="62" t="s">
        <v>611</v>
      </c>
      <c r="D102" s="64">
        <v>1439.1000000000001</v>
      </c>
      <c r="E102" s="64">
        <v>1439.1000000000001</v>
      </c>
      <c r="F102" s="64">
        <v>1439.1000000000001</v>
      </c>
      <c r="G102" s="64">
        <v>1439.1000000000001</v>
      </c>
      <c r="H102" s="64">
        <v>1439.1000000000001</v>
      </c>
      <c r="I102" s="64">
        <v>1439.1000000000001</v>
      </c>
      <c r="J102" s="64">
        <v>1439.1000000000001</v>
      </c>
      <c r="K102" s="64">
        <v>1439.1000000000001</v>
      </c>
    </row>
    <row r="103" spans="1:11" ht="15.75" customHeight="1">
      <c r="A103" s="62" t="s">
        <v>91</v>
      </c>
      <c r="B103" s="63" t="s">
        <v>48</v>
      </c>
      <c r="C103" s="62" t="s">
        <v>569</v>
      </c>
      <c r="D103" s="64">
        <v>4299.3</v>
      </c>
      <c r="E103" s="64">
        <v>4299.3</v>
      </c>
      <c r="F103" s="64">
        <v>4299.3</v>
      </c>
      <c r="G103" s="64">
        <v>4299.3</v>
      </c>
      <c r="H103" s="64">
        <v>4299.3</v>
      </c>
      <c r="I103" s="64">
        <v>4299.3</v>
      </c>
      <c r="J103" s="64">
        <v>4299.3</v>
      </c>
      <c r="K103" s="64">
        <v>4299.3</v>
      </c>
    </row>
    <row r="104" spans="1:11" ht="15.75" customHeight="1">
      <c r="A104" s="62" t="s">
        <v>91</v>
      </c>
      <c r="B104" s="63" t="s">
        <v>48</v>
      </c>
      <c r="C104" s="62" t="s">
        <v>478</v>
      </c>
      <c r="D104" s="64">
        <v>6379.2</v>
      </c>
      <c r="E104" s="64">
        <v>6379.2</v>
      </c>
      <c r="F104" s="64">
        <v>6379.2</v>
      </c>
      <c r="G104" s="64">
        <v>6379.2</v>
      </c>
      <c r="H104" s="64">
        <v>6379.2</v>
      </c>
      <c r="I104" s="64">
        <v>6379.2</v>
      </c>
      <c r="J104" s="64">
        <v>6379.2</v>
      </c>
      <c r="K104" s="64">
        <v>6379.2</v>
      </c>
    </row>
    <row r="105" spans="1:11" ht="15.75" customHeight="1">
      <c r="A105" s="62" t="s">
        <v>83</v>
      </c>
      <c r="B105" s="63" t="s">
        <v>48</v>
      </c>
      <c r="C105" s="62" t="s">
        <v>612</v>
      </c>
      <c r="D105" s="64">
        <v>569.70000000000005</v>
      </c>
      <c r="E105" s="64">
        <v>569.70000000000005</v>
      </c>
      <c r="F105" s="64">
        <v>569.70000000000005</v>
      </c>
      <c r="G105" s="64">
        <v>569.70000000000005</v>
      </c>
      <c r="H105" s="64">
        <v>569.70000000000005</v>
      </c>
      <c r="I105" s="64">
        <v>569.70000000000005</v>
      </c>
      <c r="J105" s="64">
        <v>569.70000000000005</v>
      </c>
      <c r="K105" s="64">
        <v>569.70000000000005</v>
      </c>
    </row>
    <row r="106" spans="1:11" ht="15.75" customHeight="1">
      <c r="A106" s="62" t="s">
        <v>66</v>
      </c>
      <c r="B106" s="63" t="s">
        <v>48</v>
      </c>
      <c r="C106" s="62" t="s">
        <v>596</v>
      </c>
      <c r="D106" s="64">
        <v>299.7</v>
      </c>
      <c r="E106" s="64">
        <v>299.7</v>
      </c>
      <c r="F106" s="64">
        <v>299.7</v>
      </c>
      <c r="G106" s="64">
        <v>299.7</v>
      </c>
      <c r="H106" s="64">
        <v>299.7</v>
      </c>
      <c r="I106" s="64">
        <v>299.7</v>
      </c>
      <c r="J106" s="64">
        <v>299.7</v>
      </c>
      <c r="K106" s="64">
        <v>299.7</v>
      </c>
    </row>
    <row r="107" spans="1:11" ht="15.75" customHeight="1">
      <c r="A107" s="62" t="s">
        <v>83</v>
      </c>
      <c r="B107" s="63" t="s">
        <v>48</v>
      </c>
      <c r="C107" s="62" t="s">
        <v>589</v>
      </c>
      <c r="D107" s="64">
        <v>1799.1000000000001</v>
      </c>
      <c r="E107" s="64">
        <v>1799.1000000000001</v>
      </c>
      <c r="F107" s="64">
        <v>1799.1000000000001</v>
      </c>
      <c r="G107" s="64">
        <v>1799.1000000000001</v>
      </c>
      <c r="H107" s="64">
        <v>1799.1000000000001</v>
      </c>
      <c r="I107" s="64">
        <v>1799.1000000000001</v>
      </c>
      <c r="J107" s="64">
        <v>1799.1000000000001</v>
      </c>
      <c r="K107" s="64">
        <v>1799.1000000000001</v>
      </c>
    </row>
    <row r="108" spans="1:11" ht="15.75" customHeight="1">
      <c r="A108" s="62" t="s">
        <v>91</v>
      </c>
      <c r="B108" s="63" t="s">
        <v>48</v>
      </c>
      <c r="C108" s="62" t="s">
        <v>613</v>
      </c>
      <c r="D108" s="64">
        <v>1999.8</v>
      </c>
      <c r="E108" s="64">
        <v>1999.8</v>
      </c>
      <c r="F108" s="64">
        <v>1999.8</v>
      </c>
      <c r="G108" s="64">
        <v>1999.8</v>
      </c>
      <c r="H108" s="64">
        <v>1999.8</v>
      </c>
      <c r="I108" s="64">
        <v>1999.8</v>
      </c>
      <c r="J108" s="64">
        <v>1999.8</v>
      </c>
      <c r="K108" s="64">
        <v>1999.8</v>
      </c>
    </row>
    <row r="109" spans="1:11" ht="15.75" customHeight="1">
      <c r="A109" s="62" t="s">
        <v>83</v>
      </c>
      <c r="B109" s="63" t="s">
        <v>48</v>
      </c>
      <c r="C109" s="62" t="s">
        <v>619</v>
      </c>
      <c r="D109" s="64">
        <v>479.7</v>
      </c>
      <c r="E109" s="64">
        <v>479.7</v>
      </c>
      <c r="F109" s="64">
        <v>479.7</v>
      </c>
      <c r="G109" s="64">
        <v>479.7</v>
      </c>
      <c r="H109" s="64">
        <v>479.7</v>
      </c>
      <c r="I109" s="64">
        <v>479.7</v>
      </c>
      <c r="J109" s="64">
        <v>479.7</v>
      </c>
      <c r="K109" s="64">
        <v>479.7</v>
      </c>
    </row>
    <row r="110" spans="1:11" ht="15.75" customHeight="1">
      <c r="A110" s="62" t="s">
        <v>83</v>
      </c>
      <c r="B110" s="63" t="s">
        <v>48</v>
      </c>
      <c r="C110" s="62" t="s">
        <v>620</v>
      </c>
      <c r="D110" s="64">
        <v>499.5</v>
      </c>
      <c r="E110" s="64">
        <v>499.5</v>
      </c>
      <c r="F110" s="64">
        <v>499.5</v>
      </c>
      <c r="G110" s="64">
        <v>499.5</v>
      </c>
      <c r="H110" s="64">
        <v>499.5</v>
      </c>
      <c r="I110" s="64">
        <v>499.5</v>
      </c>
      <c r="J110" s="64">
        <v>499.5</v>
      </c>
      <c r="K110" s="64">
        <v>499.5</v>
      </c>
    </row>
    <row r="111" spans="1:11" ht="15.75" customHeight="1">
      <c r="A111" s="62" t="s">
        <v>91</v>
      </c>
      <c r="B111" s="63" t="s">
        <v>48</v>
      </c>
      <c r="C111" s="62" t="s">
        <v>628</v>
      </c>
      <c r="D111" s="64">
        <v>1299.6000000000001</v>
      </c>
      <c r="E111" s="64">
        <v>1299.6000000000001</v>
      </c>
      <c r="F111" s="64">
        <v>1299.6000000000001</v>
      </c>
      <c r="G111" s="64">
        <v>1299.6000000000001</v>
      </c>
      <c r="H111" s="64">
        <v>1299.6000000000001</v>
      </c>
      <c r="I111" s="64">
        <v>1299.6000000000001</v>
      </c>
      <c r="J111" s="64">
        <v>1299.6000000000001</v>
      </c>
      <c r="K111" s="64">
        <v>1299.6000000000001</v>
      </c>
    </row>
    <row r="112" spans="1:11" ht="15.75" customHeight="1">
      <c r="A112" s="62" t="s">
        <v>91</v>
      </c>
      <c r="B112" s="63" t="s">
        <v>48</v>
      </c>
      <c r="C112" s="62" t="s">
        <v>630</v>
      </c>
      <c r="D112" s="64">
        <v>2379.6</v>
      </c>
      <c r="E112" s="64">
        <v>2379.6</v>
      </c>
      <c r="F112" s="64">
        <v>2379.6</v>
      </c>
      <c r="G112" s="64">
        <v>2379.6</v>
      </c>
      <c r="H112" s="64">
        <v>2379.6</v>
      </c>
      <c r="I112" s="64">
        <v>2379.6</v>
      </c>
      <c r="J112" s="64">
        <v>2379.6</v>
      </c>
      <c r="K112" s="64">
        <v>2379.6</v>
      </c>
    </row>
    <row r="113" spans="1:11" ht="15.75" customHeight="1">
      <c r="A113" s="62" t="s">
        <v>83</v>
      </c>
      <c r="B113" s="63" t="s">
        <v>48</v>
      </c>
      <c r="C113" s="62" t="s">
        <v>634</v>
      </c>
      <c r="D113" s="64">
        <v>559.80000000000007</v>
      </c>
      <c r="E113" s="64">
        <v>559.80000000000007</v>
      </c>
      <c r="F113" s="64">
        <v>559.80000000000007</v>
      </c>
      <c r="G113" s="64">
        <v>559.80000000000007</v>
      </c>
      <c r="H113" s="64">
        <v>559.80000000000007</v>
      </c>
      <c r="I113" s="64">
        <v>559.80000000000007</v>
      </c>
      <c r="J113" s="64">
        <v>559.80000000000007</v>
      </c>
      <c r="K113" s="64">
        <v>559.80000000000007</v>
      </c>
    </row>
    <row r="114" spans="1:11" ht="15.75" customHeight="1">
      <c r="A114" s="62" t="s">
        <v>83</v>
      </c>
      <c r="B114" s="63" t="s">
        <v>48</v>
      </c>
      <c r="C114" s="62" t="s">
        <v>635</v>
      </c>
      <c r="D114" s="64">
        <v>579.6</v>
      </c>
      <c r="E114" s="64">
        <v>579.6</v>
      </c>
      <c r="F114" s="64">
        <v>579.6</v>
      </c>
      <c r="G114" s="64">
        <v>579.6</v>
      </c>
      <c r="H114" s="64">
        <v>579.6</v>
      </c>
      <c r="I114" s="64">
        <v>579.6</v>
      </c>
      <c r="J114" s="64">
        <v>579.6</v>
      </c>
      <c r="K114" s="64">
        <v>579.6</v>
      </c>
    </row>
    <row r="115" spans="1:11" ht="15.75" customHeight="1">
      <c r="A115" s="62" t="s">
        <v>83</v>
      </c>
      <c r="B115" s="63" t="s">
        <v>48</v>
      </c>
      <c r="C115" s="62" t="s">
        <v>641</v>
      </c>
      <c r="D115" s="64">
        <v>879.30000000000007</v>
      </c>
      <c r="E115" s="64">
        <v>879.30000000000007</v>
      </c>
      <c r="F115" s="64">
        <v>879.30000000000007</v>
      </c>
      <c r="G115" s="64">
        <v>879.30000000000007</v>
      </c>
      <c r="H115" s="64">
        <v>879.30000000000007</v>
      </c>
      <c r="I115" s="64">
        <v>879.30000000000007</v>
      </c>
      <c r="J115" s="64">
        <v>879.30000000000007</v>
      </c>
      <c r="K115" s="64">
        <v>879.30000000000007</v>
      </c>
    </row>
    <row r="116" spans="1:11" ht="15.75" customHeight="1">
      <c r="A116" s="62" t="s">
        <v>45</v>
      </c>
      <c r="B116" s="63" t="s">
        <v>48</v>
      </c>
      <c r="C116" s="62" t="s">
        <v>646</v>
      </c>
      <c r="D116" s="64">
        <v>489.6</v>
      </c>
      <c r="E116" s="64">
        <v>489.6</v>
      </c>
      <c r="F116" s="64">
        <v>489.6</v>
      </c>
      <c r="G116" s="64">
        <v>489.6</v>
      </c>
      <c r="H116" s="64">
        <v>489.6</v>
      </c>
      <c r="I116" s="64">
        <v>489.6</v>
      </c>
      <c r="J116" s="64">
        <v>489.6</v>
      </c>
      <c r="K116" s="64">
        <v>489.6</v>
      </c>
    </row>
    <row r="117" spans="1:11" ht="15.75" customHeight="1">
      <c r="A117" s="62" t="s">
        <v>83</v>
      </c>
      <c r="B117" s="63" t="s">
        <v>649</v>
      </c>
      <c r="C117" s="62" t="s">
        <v>653</v>
      </c>
      <c r="D117" s="64">
        <v>519.30000000000007</v>
      </c>
      <c r="E117" s="64">
        <v>519.30000000000007</v>
      </c>
      <c r="F117" s="64">
        <v>519.30000000000007</v>
      </c>
      <c r="G117" s="64">
        <v>519.30000000000007</v>
      </c>
      <c r="H117" s="64">
        <v>519.30000000000007</v>
      </c>
      <c r="I117" s="64">
        <v>519.30000000000007</v>
      </c>
      <c r="J117" s="64">
        <v>519.30000000000007</v>
      </c>
      <c r="K117" s="64">
        <v>519.30000000000007</v>
      </c>
    </row>
    <row r="118" spans="1:11" ht="15.75" customHeight="1">
      <c r="A118" s="62" t="s">
        <v>91</v>
      </c>
      <c r="B118" s="63" t="s">
        <v>48</v>
      </c>
      <c r="C118" s="62" t="s">
        <v>655</v>
      </c>
      <c r="D118" s="64">
        <v>4319.1000000000004</v>
      </c>
      <c r="E118" s="64">
        <v>4319.1000000000004</v>
      </c>
      <c r="F118" s="64">
        <v>4319.1000000000004</v>
      </c>
      <c r="G118" s="64">
        <v>4319.1000000000004</v>
      </c>
      <c r="H118" s="64">
        <v>4319.1000000000004</v>
      </c>
      <c r="I118" s="64">
        <v>4319.1000000000004</v>
      </c>
      <c r="J118" s="64">
        <v>4319.1000000000004</v>
      </c>
      <c r="K118" s="64">
        <v>4319.1000000000004</v>
      </c>
    </row>
    <row r="119" spans="1:11" ht="15.75" customHeight="1">
      <c r="A119" s="62" t="s">
        <v>91</v>
      </c>
      <c r="B119" s="63" t="s">
        <v>48</v>
      </c>
      <c r="C119" s="62" t="s">
        <v>664</v>
      </c>
      <c r="D119" s="64">
        <v>6619.5</v>
      </c>
      <c r="E119" s="64">
        <v>6619.5</v>
      </c>
      <c r="F119" s="64">
        <v>6619.5</v>
      </c>
      <c r="G119" s="64">
        <v>6619.5</v>
      </c>
      <c r="H119" s="64">
        <v>6619.5</v>
      </c>
      <c r="I119" s="64">
        <v>6619.5</v>
      </c>
      <c r="J119" s="64">
        <v>6619.5</v>
      </c>
      <c r="K119" s="64">
        <v>6619.5</v>
      </c>
    </row>
    <row r="120" spans="1:11" ht="15.75" customHeight="1">
      <c r="A120" s="62" t="s">
        <v>91</v>
      </c>
      <c r="B120" s="63" t="s">
        <v>941</v>
      </c>
      <c r="C120" s="62" t="s">
        <v>666</v>
      </c>
      <c r="D120" s="64">
        <v>809.1</v>
      </c>
      <c r="E120" s="64">
        <v>809.1</v>
      </c>
      <c r="F120" s="64">
        <v>809.1</v>
      </c>
      <c r="G120" s="64">
        <v>809.1</v>
      </c>
      <c r="H120" s="64">
        <v>809.1</v>
      </c>
      <c r="I120" s="64">
        <v>809.1</v>
      </c>
      <c r="J120" s="64">
        <v>809.1</v>
      </c>
      <c r="K120" s="64">
        <v>809.1</v>
      </c>
    </row>
    <row r="121" spans="1:11" ht="15.75" customHeight="1">
      <c r="A121" s="62" t="s">
        <v>91</v>
      </c>
      <c r="B121" s="63" t="s">
        <v>941</v>
      </c>
      <c r="C121" s="62" t="s">
        <v>672</v>
      </c>
      <c r="D121" s="64">
        <v>1209.6000000000001</v>
      </c>
      <c r="E121" s="64">
        <v>1209.6000000000001</v>
      </c>
      <c r="F121" s="64">
        <v>1209.6000000000001</v>
      </c>
      <c r="G121" s="64">
        <v>1209.6000000000001</v>
      </c>
      <c r="H121" s="64">
        <v>1209.6000000000001</v>
      </c>
      <c r="I121" s="64">
        <v>1209.6000000000001</v>
      </c>
      <c r="J121" s="64">
        <v>1209.6000000000001</v>
      </c>
      <c r="K121" s="64">
        <v>1209.6000000000001</v>
      </c>
    </row>
    <row r="122" spans="1:11" ht="15.75" customHeight="1">
      <c r="A122" s="62" t="s">
        <v>91</v>
      </c>
      <c r="B122" s="63" t="s">
        <v>941</v>
      </c>
      <c r="C122" s="62" t="s">
        <v>674</v>
      </c>
      <c r="D122" s="64">
        <v>1019.7</v>
      </c>
      <c r="E122" s="64">
        <v>1019.7</v>
      </c>
      <c r="F122" s="64">
        <v>1019.7</v>
      </c>
      <c r="G122" s="64">
        <v>1019.7</v>
      </c>
      <c r="H122" s="64">
        <v>1019.7</v>
      </c>
      <c r="I122" s="64">
        <v>1019.7</v>
      </c>
      <c r="J122" s="64">
        <v>1019.7</v>
      </c>
      <c r="K122" s="64">
        <v>1019.7</v>
      </c>
    </row>
    <row r="123" spans="1:11" ht="15.75" customHeight="1">
      <c r="A123" s="62" t="s">
        <v>91</v>
      </c>
      <c r="B123" s="63" t="s">
        <v>941</v>
      </c>
      <c r="C123" s="62" t="s">
        <v>675</v>
      </c>
      <c r="D123" s="64">
        <v>1729.8</v>
      </c>
      <c r="E123" s="64">
        <v>1729.8</v>
      </c>
      <c r="F123" s="64">
        <v>1729.8</v>
      </c>
      <c r="G123" s="64">
        <v>1729.8</v>
      </c>
      <c r="H123" s="64">
        <v>1729.8</v>
      </c>
      <c r="I123" s="64">
        <v>1729.8</v>
      </c>
      <c r="J123" s="64">
        <v>1729.8</v>
      </c>
      <c r="K123" s="64">
        <v>1729.8</v>
      </c>
    </row>
    <row r="124" spans="1:11" ht="15.75" customHeight="1">
      <c r="A124" s="62" t="s">
        <v>91</v>
      </c>
      <c r="B124" s="63" t="s">
        <v>941</v>
      </c>
      <c r="C124" s="62" t="s">
        <v>676</v>
      </c>
      <c r="D124" s="64">
        <v>1849.5</v>
      </c>
      <c r="E124" s="64">
        <v>1849.5</v>
      </c>
      <c r="F124" s="64">
        <v>1849.5</v>
      </c>
      <c r="G124" s="64">
        <v>1849.5</v>
      </c>
      <c r="H124" s="64">
        <v>1849.5</v>
      </c>
      <c r="I124" s="64">
        <v>1849.5</v>
      </c>
      <c r="J124" s="64">
        <v>1849.5</v>
      </c>
      <c r="K124" s="64">
        <v>1849.5</v>
      </c>
    </row>
    <row r="125" spans="1:11" ht="15.75" customHeight="1">
      <c r="A125" s="62" t="s">
        <v>91</v>
      </c>
      <c r="B125" s="63" t="s">
        <v>941</v>
      </c>
      <c r="C125" s="62" t="s">
        <v>679</v>
      </c>
      <c r="D125" s="64">
        <v>2019.6000000000001</v>
      </c>
      <c r="E125" s="64">
        <v>2019.6000000000001</v>
      </c>
      <c r="F125" s="64">
        <v>2019.6000000000001</v>
      </c>
      <c r="G125" s="64">
        <v>2019.6000000000001</v>
      </c>
      <c r="H125" s="64">
        <v>2019.6000000000001</v>
      </c>
      <c r="I125" s="64">
        <v>2019.6000000000001</v>
      </c>
      <c r="J125" s="64">
        <v>2019.6000000000001</v>
      </c>
      <c r="K125" s="64">
        <v>2019.6000000000001</v>
      </c>
    </row>
    <row r="126" spans="1:11" ht="15.75" customHeight="1">
      <c r="A126" s="62" t="s">
        <v>91</v>
      </c>
      <c r="B126" s="63" t="s">
        <v>941</v>
      </c>
      <c r="C126" s="62" t="s">
        <v>686</v>
      </c>
      <c r="D126" s="64">
        <v>1499.4</v>
      </c>
      <c r="E126" s="64">
        <v>1499.4</v>
      </c>
      <c r="F126" s="64">
        <v>1499.4</v>
      </c>
      <c r="G126" s="64">
        <v>1499.4</v>
      </c>
      <c r="H126" s="64">
        <v>1499.4</v>
      </c>
      <c r="I126" s="64">
        <v>1499.4</v>
      </c>
      <c r="J126" s="64">
        <v>1499.4</v>
      </c>
      <c r="K126" s="64">
        <v>1499.4</v>
      </c>
    </row>
    <row r="127" spans="1:11" ht="15.75" customHeight="1">
      <c r="A127" s="62" t="s">
        <v>91</v>
      </c>
      <c r="B127" s="63" t="s">
        <v>941</v>
      </c>
      <c r="C127" s="62" t="s">
        <v>687</v>
      </c>
      <c r="D127" s="64">
        <v>1789.2</v>
      </c>
      <c r="E127" s="64">
        <v>1789.2</v>
      </c>
      <c r="F127" s="64">
        <v>1789.2</v>
      </c>
      <c r="G127" s="64">
        <v>1789.2</v>
      </c>
      <c r="H127" s="64">
        <v>1789.2</v>
      </c>
      <c r="I127" s="64">
        <v>1789.2</v>
      </c>
      <c r="J127" s="64">
        <v>1789.2</v>
      </c>
      <c r="K127" s="64">
        <v>1789.2</v>
      </c>
    </row>
    <row r="128" spans="1:11" ht="15.75" customHeight="1">
      <c r="A128" s="62" t="s">
        <v>91</v>
      </c>
      <c r="B128" s="63" t="s">
        <v>941</v>
      </c>
      <c r="C128" s="62" t="s">
        <v>689</v>
      </c>
      <c r="D128" s="64">
        <v>1669.5</v>
      </c>
      <c r="E128" s="64">
        <v>1669.5</v>
      </c>
      <c r="F128" s="64">
        <v>1669.5</v>
      </c>
      <c r="G128" s="64">
        <v>1669.5</v>
      </c>
      <c r="H128" s="64">
        <v>1669.5</v>
      </c>
      <c r="I128" s="64">
        <v>1669.5</v>
      </c>
      <c r="J128" s="64">
        <v>1669.5</v>
      </c>
      <c r="K128" s="64">
        <v>1669.5</v>
      </c>
    </row>
    <row r="129" spans="1:11" ht="15.75" customHeight="1">
      <c r="A129" s="62" t="s">
        <v>91</v>
      </c>
      <c r="B129" s="63" t="s">
        <v>941</v>
      </c>
      <c r="C129" s="62" t="s">
        <v>695</v>
      </c>
      <c r="D129" s="64">
        <v>1959.3</v>
      </c>
      <c r="E129" s="64">
        <v>1959.3</v>
      </c>
      <c r="F129" s="64">
        <v>1959.3</v>
      </c>
      <c r="G129" s="64">
        <v>1959.3</v>
      </c>
      <c r="H129" s="64">
        <v>1959.3</v>
      </c>
      <c r="I129" s="64">
        <v>1959.3</v>
      </c>
      <c r="J129" s="64">
        <v>1959.3</v>
      </c>
      <c r="K129" s="64">
        <v>1959.3</v>
      </c>
    </row>
    <row r="130" spans="1:11" ht="15.75" customHeight="1">
      <c r="A130" s="62" t="s">
        <v>91</v>
      </c>
      <c r="B130" s="63" t="s">
        <v>941</v>
      </c>
      <c r="C130" s="62" t="s">
        <v>696</v>
      </c>
      <c r="D130" s="64">
        <v>2129.4</v>
      </c>
      <c r="E130" s="64">
        <v>2129.4</v>
      </c>
      <c r="F130" s="64">
        <v>2129.4</v>
      </c>
      <c r="G130" s="64">
        <v>2129.4</v>
      </c>
      <c r="H130" s="64">
        <v>2129.4</v>
      </c>
      <c r="I130" s="64">
        <v>2129.4</v>
      </c>
      <c r="J130" s="64">
        <v>2129.4</v>
      </c>
      <c r="K130" s="64">
        <v>2129.4</v>
      </c>
    </row>
    <row r="131" spans="1:11" ht="15.75" customHeight="1">
      <c r="A131" s="62" t="s">
        <v>91</v>
      </c>
      <c r="B131" s="63" t="s">
        <v>941</v>
      </c>
      <c r="C131" s="62" t="s">
        <v>702</v>
      </c>
      <c r="D131" s="64">
        <v>2299.5</v>
      </c>
      <c r="E131" s="64">
        <v>2299.5</v>
      </c>
      <c r="F131" s="64">
        <v>2299.5</v>
      </c>
      <c r="G131" s="64">
        <v>2299.5</v>
      </c>
      <c r="H131" s="64">
        <v>2299.5</v>
      </c>
      <c r="I131" s="64">
        <v>2299.5</v>
      </c>
      <c r="J131" s="64">
        <v>2299.5</v>
      </c>
      <c r="K131" s="64">
        <v>2299.5</v>
      </c>
    </row>
    <row r="132" spans="1:11" ht="15.75" customHeight="1">
      <c r="A132" s="62" t="s">
        <v>91</v>
      </c>
      <c r="B132" s="63" t="s">
        <v>941</v>
      </c>
      <c r="C132" s="62" t="s">
        <v>705</v>
      </c>
      <c r="D132" s="64">
        <v>2479.5</v>
      </c>
      <c r="E132" s="64">
        <v>2479.5</v>
      </c>
      <c r="F132" s="64">
        <v>2479.5</v>
      </c>
      <c r="G132" s="64">
        <v>2479.5</v>
      </c>
      <c r="H132" s="64">
        <v>2479.5</v>
      </c>
      <c r="I132" s="64">
        <v>2479.5</v>
      </c>
      <c r="J132" s="64">
        <v>2479.5</v>
      </c>
      <c r="K132" s="64">
        <v>2479.5</v>
      </c>
    </row>
    <row r="133" spans="1:11" ht="15.75" customHeight="1">
      <c r="A133" s="62" t="s">
        <v>91</v>
      </c>
      <c r="B133" s="63" t="s">
        <v>941</v>
      </c>
      <c r="C133" s="62" t="s">
        <v>707</v>
      </c>
      <c r="D133" s="64">
        <v>459</v>
      </c>
      <c r="E133" s="64">
        <v>459</v>
      </c>
      <c r="F133" s="64">
        <v>459</v>
      </c>
      <c r="G133" s="64">
        <v>459</v>
      </c>
      <c r="H133" s="64">
        <v>459</v>
      </c>
      <c r="I133" s="64">
        <v>459</v>
      </c>
      <c r="J133" s="64">
        <v>459</v>
      </c>
      <c r="K133" s="64">
        <v>459</v>
      </c>
    </row>
    <row r="134" spans="1:11" ht="15.75" customHeight="1">
      <c r="A134" s="62" t="s">
        <v>91</v>
      </c>
      <c r="B134" s="63" t="s">
        <v>941</v>
      </c>
      <c r="C134" s="62" t="s">
        <v>715</v>
      </c>
      <c r="D134" s="64">
        <v>1849.5</v>
      </c>
      <c r="E134" s="64">
        <v>1849.5</v>
      </c>
      <c r="F134" s="64">
        <v>1849.5</v>
      </c>
      <c r="G134" s="64">
        <v>1849.5</v>
      </c>
      <c r="H134" s="64">
        <v>1849.5</v>
      </c>
      <c r="I134" s="64">
        <v>1849.5</v>
      </c>
      <c r="J134" s="64">
        <v>1849.5</v>
      </c>
      <c r="K134" s="64">
        <v>1849.5</v>
      </c>
    </row>
    <row r="135" spans="1:11" ht="15.75" customHeight="1">
      <c r="A135" s="62" t="s">
        <v>91</v>
      </c>
      <c r="B135" s="63" t="s">
        <v>649</v>
      </c>
      <c r="C135" s="62" t="s">
        <v>717</v>
      </c>
      <c r="D135" s="64">
        <v>599.4</v>
      </c>
      <c r="E135" s="64">
        <v>599.4</v>
      </c>
      <c r="F135" s="64">
        <v>599.4</v>
      </c>
      <c r="G135" s="64">
        <v>599.4</v>
      </c>
      <c r="H135" s="64">
        <v>599.4</v>
      </c>
      <c r="I135" s="64">
        <v>599.4</v>
      </c>
      <c r="J135" s="64">
        <v>599.4</v>
      </c>
      <c r="K135" s="64">
        <v>599.4</v>
      </c>
    </row>
    <row r="136" spans="1:11" ht="15.75" customHeight="1">
      <c r="A136" s="62" t="s">
        <v>45</v>
      </c>
      <c r="B136" s="63" t="s">
        <v>48</v>
      </c>
      <c r="C136" s="62" t="s">
        <v>724</v>
      </c>
      <c r="D136" s="64">
        <v>499.5</v>
      </c>
      <c r="E136" s="64">
        <v>499.5</v>
      </c>
      <c r="F136" s="64">
        <v>499.5</v>
      </c>
      <c r="G136" s="64">
        <v>499.5</v>
      </c>
      <c r="H136" s="64">
        <v>499.5</v>
      </c>
      <c r="I136" s="64">
        <v>499.5</v>
      </c>
      <c r="J136" s="64">
        <v>499.5</v>
      </c>
      <c r="K136" s="64">
        <v>499.5</v>
      </c>
    </row>
    <row r="137" spans="1:11" ht="15.75" customHeight="1">
      <c r="A137" s="62" t="s">
        <v>45</v>
      </c>
      <c r="B137" s="63" t="s">
        <v>48</v>
      </c>
      <c r="C137" s="62" t="s">
        <v>725</v>
      </c>
      <c r="D137" s="64">
        <v>549</v>
      </c>
      <c r="E137" s="64">
        <v>549</v>
      </c>
      <c r="F137" s="64">
        <v>549</v>
      </c>
      <c r="G137" s="64">
        <v>549</v>
      </c>
      <c r="H137" s="64">
        <v>549</v>
      </c>
      <c r="I137" s="64">
        <v>549</v>
      </c>
      <c r="J137" s="64">
        <v>549</v>
      </c>
      <c r="K137" s="64">
        <v>549</v>
      </c>
    </row>
    <row r="138" spans="1:11" ht="15.75" customHeight="1">
      <c r="A138" s="62" t="s">
        <v>83</v>
      </c>
      <c r="B138" s="63" t="s">
        <v>48</v>
      </c>
      <c r="C138" s="62" t="s">
        <v>731</v>
      </c>
      <c r="D138" s="64">
        <v>699.30000000000007</v>
      </c>
      <c r="E138" s="64">
        <v>699.30000000000007</v>
      </c>
      <c r="F138" s="64">
        <v>699.30000000000007</v>
      </c>
      <c r="G138" s="64">
        <v>699.30000000000007</v>
      </c>
      <c r="H138" s="64">
        <v>699.30000000000007</v>
      </c>
      <c r="I138" s="64">
        <v>699.30000000000007</v>
      </c>
      <c r="J138" s="64">
        <v>699.30000000000007</v>
      </c>
      <c r="K138" s="64">
        <v>699.30000000000007</v>
      </c>
    </row>
    <row r="139" spans="1:11" ht="15.75" customHeight="1">
      <c r="A139" s="62" t="s">
        <v>91</v>
      </c>
      <c r="B139" s="63" t="s">
        <v>48</v>
      </c>
      <c r="C139" s="62" t="s">
        <v>734</v>
      </c>
      <c r="D139" s="64">
        <v>4229.1000000000004</v>
      </c>
      <c r="E139" s="64">
        <v>4229.1000000000004</v>
      </c>
      <c r="F139" s="64">
        <v>4229.1000000000004</v>
      </c>
      <c r="G139" s="64">
        <v>4229.1000000000004</v>
      </c>
      <c r="H139" s="64">
        <v>4229.1000000000004</v>
      </c>
      <c r="I139" s="64">
        <v>4229.1000000000004</v>
      </c>
      <c r="J139" s="64">
        <v>4229.1000000000004</v>
      </c>
      <c r="K139" s="64">
        <v>4229.1000000000004</v>
      </c>
    </row>
    <row r="140" spans="1:11" ht="15.75" customHeight="1">
      <c r="A140" s="62" t="s">
        <v>91</v>
      </c>
      <c r="B140" s="63" t="s">
        <v>941</v>
      </c>
      <c r="C140" s="62" t="s">
        <v>738</v>
      </c>
      <c r="D140" s="64">
        <v>499.5</v>
      </c>
      <c r="E140" s="64">
        <v>499.5</v>
      </c>
      <c r="F140" s="64">
        <v>499.5</v>
      </c>
      <c r="G140" s="64">
        <v>499.5</v>
      </c>
      <c r="H140" s="64">
        <v>499.5</v>
      </c>
      <c r="I140" s="64">
        <v>499.5</v>
      </c>
      <c r="J140" s="64">
        <v>499.5</v>
      </c>
      <c r="K140" s="64">
        <v>499.5</v>
      </c>
    </row>
    <row r="141" spans="1:11" ht="15.75" customHeight="1">
      <c r="A141" s="62" t="s">
        <v>91</v>
      </c>
      <c r="B141" s="63" t="s">
        <v>941</v>
      </c>
      <c r="C141" s="62" t="s">
        <v>740</v>
      </c>
      <c r="D141" s="64">
        <v>399.6</v>
      </c>
      <c r="E141" s="64">
        <v>399.6</v>
      </c>
      <c r="F141" s="64">
        <v>399.6</v>
      </c>
      <c r="G141" s="64">
        <v>399.6</v>
      </c>
      <c r="H141" s="64">
        <v>399.6</v>
      </c>
      <c r="I141" s="64">
        <v>399.6</v>
      </c>
      <c r="J141" s="64">
        <v>399.6</v>
      </c>
      <c r="K141" s="64">
        <v>399.6</v>
      </c>
    </row>
    <row r="142" spans="1:11" ht="15.75" customHeight="1">
      <c r="A142" s="62" t="s">
        <v>83</v>
      </c>
      <c r="B142" s="63" t="s">
        <v>48</v>
      </c>
      <c r="C142" s="62" t="s">
        <v>745</v>
      </c>
      <c r="D142" s="64">
        <v>889.2</v>
      </c>
      <c r="E142" s="64">
        <v>889.2</v>
      </c>
      <c r="F142" s="64">
        <v>889.2</v>
      </c>
      <c r="G142" s="64">
        <v>889.2</v>
      </c>
      <c r="H142" s="64">
        <v>889.2</v>
      </c>
      <c r="I142" s="64">
        <v>889.2</v>
      </c>
      <c r="J142" s="64">
        <v>889.2</v>
      </c>
      <c r="K142" s="64">
        <v>889.2</v>
      </c>
    </row>
    <row r="143" spans="1:11" ht="15.75" customHeight="1">
      <c r="A143" s="62" t="s">
        <v>83</v>
      </c>
      <c r="B143" s="63" t="s">
        <v>48</v>
      </c>
      <c r="C143" s="62" t="s">
        <v>746</v>
      </c>
      <c r="D143" s="64">
        <v>1392.3</v>
      </c>
      <c r="E143" s="64">
        <v>1392.3</v>
      </c>
      <c r="F143" s="64">
        <v>1392.3</v>
      </c>
      <c r="G143" s="64">
        <v>1392.3</v>
      </c>
      <c r="H143" s="64">
        <v>1392.3</v>
      </c>
      <c r="I143" s="64">
        <v>1392.3</v>
      </c>
      <c r="J143" s="64">
        <v>1392.3</v>
      </c>
      <c r="K143" s="64">
        <v>1392.3</v>
      </c>
    </row>
    <row r="144" spans="1:11" ht="15.75" customHeight="1">
      <c r="A144" s="62" t="s">
        <v>91</v>
      </c>
      <c r="B144" s="63" t="s">
        <v>48</v>
      </c>
      <c r="C144" s="62" t="s">
        <v>750</v>
      </c>
      <c r="D144" s="64">
        <v>2229.3000000000002</v>
      </c>
      <c r="E144" s="64">
        <v>2229.3000000000002</v>
      </c>
      <c r="F144" s="64">
        <v>2229.3000000000002</v>
      </c>
      <c r="G144" s="64">
        <v>2229.3000000000002</v>
      </c>
      <c r="H144" s="64">
        <v>2229.3000000000002</v>
      </c>
      <c r="I144" s="64">
        <v>2229.3000000000002</v>
      </c>
      <c r="J144" s="64">
        <v>2229.3000000000002</v>
      </c>
      <c r="K144" s="64">
        <v>2229.3000000000002</v>
      </c>
    </row>
    <row r="145" spans="1:11" ht="15.75" customHeight="1">
      <c r="A145" s="62" t="s">
        <v>66</v>
      </c>
      <c r="B145" s="63" t="s">
        <v>48</v>
      </c>
      <c r="C145" s="62" t="s">
        <v>751</v>
      </c>
      <c r="D145" s="64">
        <v>179.1</v>
      </c>
      <c r="E145" s="64">
        <v>179.1</v>
      </c>
      <c r="F145" s="64">
        <v>179.1</v>
      </c>
      <c r="G145" s="64">
        <v>179.1</v>
      </c>
      <c r="H145" s="64">
        <v>179.1</v>
      </c>
      <c r="I145" s="64">
        <v>179.1</v>
      </c>
      <c r="J145" s="64">
        <v>179.1</v>
      </c>
      <c r="K145" s="64">
        <v>179.1</v>
      </c>
    </row>
    <row r="146" spans="1:11" ht="15.75" customHeight="1">
      <c r="A146" s="62" t="s">
        <v>45</v>
      </c>
      <c r="B146" s="63" t="s">
        <v>48</v>
      </c>
      <c r="C146" s="62" t="s">
        <v>758</v>
      </c>
      <c r="D146" s="64">
        <v>329.40000000000003</v>
      </c>
      <c r="E146" s="64">
        <v>329.40000000000003</v>
      </c>
      <c r="F146" s="64">
        <v>329.40000000000003</v>
      </c>
      <c r="G146" s="64">
        <v>329.40000000000003</v>
      </c>
      <c r="H146" s="64">
        <v>329.40000000000003</v>
      </c>
      <c r="I146" s="64">
        <v>329.40000000000003</v>
      </c>
      <c r="J146" s="64">
        <v>329.40000000000003</v>
      </c>
      <c r="K146" s="64">
        <v>329.40000000000003</v>
      </c>
    </row>
    <row r="147" spans="1:11" ht="15.75" customHeight="1">
      <c r="A147" s="62" t="s">
        <v>83</v>
      </c>
      <c r="B147" s="63" t="s">
        <v>48</v>
      </c>
      <c r="C147" s="62" t="s">
        <v>759</v>
      </c>
      <c r="D147" s="64">
        <v>999</v>
      </c>
      <c r="E147" s="64">
        <v>999</v>
      </c>
      <c r="F147" s="64">
        <v>999</v>
      </c>
      <c r="G147" s="64">
        <v>999</v>
      </c>
      <c r="H147" s="64">
        <v>999</v>
      </c>
      <c r="I147" s="64">
        <v>999</v>
      </c>
      <c r="J147" s="64">
        <v>999</v>
      </c>
      <c r="K147" s="64">
        <v>999</v>
      </c>
    </row>
    <row r="148" spans="1:11" ht="15.75" customHeight="1">
      <c r="A148" s="62" t="s">
        <v>66</v>
      </c>
      <c r="B148" s="63" t="s">
        <v>48</v>
      </c>
      <c r="C148" s="62" t="s">
        <v>763</v>
      </c>
      <c r="D148" s="64">
        <v>299.7</v>
      </c>
      <c r="E148" s="64">
        <v>299.7</v>
      </c>
      <c r="F148" s="64">
        <v>299.7</v>
      </c>
      <c r="G148" s="64">
        <v>299.7</v>
      </c>
      <c r="H148" s="64">
        <v>299.7</v>
      </c>
      <c r="I148" s="64">
        <v>299.7</v>
      </c>
      <c r="J148" s="64">
        <v>299.7</v>
      </c>
      <c r="K148" s="64">
        <v>299.7</v>
      </c>
    </row>
    <row r="149" spans="1:11" ht="15.75" customHeight="1">
      <c r="A149" s="62" t="s">
        <v>45</v>
      </c>
      <c r="B149" s="63" t="s">
        <v>48</v>
      </c>
      <c r="C149" s="62" t="s">
        <v>765</v>
      </c>
      <c r="D149" s="64">
        <v>379.8</v>
      </c>
      <c r="E149" s="64">
        <v>379.8</v>
      </c>
      <c r="F149" s="64">
        <v>379.8</v>
      </c>
      <c r="G149" s="64">
        <v>379.8</v>
      </c>
      <c r="H149" s="64">
        <v>379.8</v>
      </c>
      <c r="I149" s="64">
        <v>379.8</v>
      </c>
      <c r="J149" s="64">
        <v>379.8</v>
      </c>
      <c r="K149" s="64">
        <v>379.8</v>
      </c>
    </row>
    <row r="150" spans="1:11" ht="15.75" customHeight="1">
      <c r="A150" s="62" t="s">
        <v>83</v>
      </c>
      <c r="B150" s="63" t="s">
        <v>48</v>
      </c>
      <c r="C150" s="62" t="s">
        <v>769</v>
      </c>
      <c r="D150" s="64">
        <v>709.2</v>
      </c>
      <c r="E150" s="64">
        <v>709.2</v>
      </c>
      <c r="F150" s="64">
        <v>709.2</v>
      </c>
      <c r="G150" s="64">
        <v>709.2</v>
      </c>
      <c r="H150" s="64">
        <v>709.2</v>
      </c>
      <c r="I150" s="64">
        <v>709.2</v>
      </c>
      <c r="J150" s="64">
        <v>709.2</v>
      </c>
      <c r="K150" s="64">
        <v>709.2</v>
      </c>
    </row>
    <row r="151" spans="1:11" ht="15.75" customHeight="1">
      <c r="A151" s="62" t="s">
        <v>45</v>
      </c>
      <c r="B151" s="63" t="s">
        <v>48</v>
      </c>
      <c r="C151" s="62" t="s">
        <v>772</v>
      </c>
      <c r="D151" s="64">
        <v>499.5</v>
      </c>
      <c r="E151" s="64">
        <v>499.5</v>
      </c>
      <c r="F151" s="64">
        <v>499.5</v>
      </c>
      <c r="G151" s="64">
        <v>499.5</v>
      </c>
      <c r="H151" s="64">
        <v>499.5</v>
      </c>
      <c r="I151" s="64">
        <v>499.5</v>
      </c>
      <c r="J151" s="64">
        <v>499.5</v>
      </c>
      <c r="K151" s="64">
        <v>499.5</v>
      </c>
    </row>
    <row r="152" spans="1:11" ht="15.75" customHeight="1">
      <c r="A152" s="62" t="s">
        <v>91</v>
      </c>
      <c r="B152" s="63" t="s">
        <v>48</v>
      </c>
      <c r="C152" s="62" t="s">
        <v>773</v>
      </c>
      <c r="D152" s="64">
        <v>1299.6000000000001</v>
      </c>
      <c r="E152" s="64">
        <v>1299.6000000000001</v>
      </c>
      <c r="F152" s="64">
        <v>1299.6000000000001</v>
      </c>
      <c r="G152" s="64">
        <v>1299.6000000000001</v>
      </c>
      <c r="H152" s="64">
        <v>1299.6000000000001</v>
      </c>
      <c r="I152" s="64">
        <v>1299.6000000000001</v>
      </c>
      <c r="J152" s="64">
        <v>1299.6000000000001</v>
      </c>
      <c r="K152" s="64">
        <v>1299.6000000000001</v>
      </c>
    </row>
    <row r="153" spans="1:11" ht="15.75" customHeight="1">
      <c r="A153" s="62" t="s">
        <v>45</v>
      </c>
      <c r="B153" s="63" t="s">
        <v>48</v>
      </c>
      <c r="C153" s="62" t="s">
        <v>774</v>
      </c>
      <c r="D153" s="64">
        <v>529.20000000000005</v>
      </c>
      <c r="E153" s="64">
        <v>529.20000000000005</v>
      </c>
      <c r="F153" s="64">
        <v>529.20000000000005</v>
      </c>
      <c r="G153" s="64">
        <v>529.20000000000005</v>
      </c>
      <c r="H153" s="64">
        <v>529.20000000000005</v>
      </c>
      <c r="I153" s="64">
        <v>529.20000000000005</v>
      </c>
      <c r="J153" s="64">
        <v>529.20000000000005</v>
      </c>
      <c r="K153" s="64">
        <v>529.20000000000005</v>
      </c>
    </row>
    <row r="154" spans="1:11" ht="15.75" customHeight="1">
      <c r="A154" s="62" t="s">
        <v>66</v>
      </c>
      <c r="B154" s="63" t="s">
        <v>48</v>
      </c>
      <c r="C154" s="62" t="s">
        <v>775</v>
      </c>
      <c r="D154" s="64">
        <v>259.2</v>
      </c>
      <c r="E154" s="64">
        <v>259.2</v>
      </c>
      <c r="F154" s="64">
        <v>259.2</v>
      </c>
      <c r="G154" s="64">
        <v>259.2</v>
      </c>
      <c r="H154" s="64">
        <v>259.2</v>
      </c>
      <c r="I154" s="64">
        <v>259.2</v>
      </c>
      <c r="J154" s="64">
        <v>259.2</v>
      </c>
      <c r="K154" s="64">
        <v>259.2</v>
      </c>
    </row>
    <row r="155" spans="1:11" ht="15.75" customHeight="1">
      <c r="A155" s="62" t="s">
        <v>45</v>
      </c>
      <c r="B155" s="63" t="s">
        <v>48</v>
      </c>
      <c r="C155" s="62" t="s">
        <v>776</v>
      </c>
      <c r="D155" s="64">
        <v>329.40000000000003</v>
      </c>
      <c r="E155" s="64">
        <v>329.40000000000003</v>
      </c>
      <c r="F155" s="64">
        <v>329.40000000000003</v>
      </c>
      <c r="G155" s="64">
        <v>329.40000000000003</v>
      </c>
      <c r="H155" s="64">
        <v>329.40000000000003</v>
      </c>
      <c r="I155" s="64">
        <v>329.40000000000003</v>
      </c>
      <c r="J155" s="64">
        <v>329.40000000000003</v>
      </c>
      <c r="K155" s="64">
        <v>329.40000000000003</v>
      </c>
    </row>
    <row r="156" spans="1:11" ht="15.75" customHeight="1">
      <c r="A156" s="62" t="s">
        <v>91</v>
      </c>
      <c r="B156" s="63" t="s">
        <v>48</v>
      </c>
      <c r="C156" s="62" t="s">
        <v>777</v>
      </c>
      <c r="D156" s="64">
        <v>1409.4</v>
      </c>
      <c r="E156" s="64">
        <v>1409.4</v>
      </c>
      <c r="F156" s="64">
        <v>1409.4</v>
      </c>
      <c r="G156" s="64">
        <v>1409.4</v>
      </c>
      <c r="H156" s="64">
        <v>1409.4</v>
      </c>
      <c r="I156" s="64">
        <v>1409.4</v>
      </c>
      <c r="J156" s="64">
        <v>1409.4</v>
      </c>
      <c r="K156" s="64">
        <v>1409.4</v>
      </c>
    </row>
    <row r="157" spans="1:11" ht="15.75" customHeight="1">
      <c r="A157" s="62" t="s">
        <v>91</v>
      </c>
      <c r="B157" s="63" t="s">
        <v>48</v>
      </c>
      <c r="C157" s="62" t="s">
        <v>778</v>
      </c>
      <c r="D157" s="64">
        <v>3249</v>
      </c>
      <c r="E157" s="64">
        <v>3249</v>
      </c>
      <c r="F157" s="64">
        <v>3249</v>
      </c>
      <c r="G157" s="64">
        <v>3249</v>
      </c>
      <c r="H157" s="64">
        <v>3249</v>
      </c>
      <c r="I157" s="64">
        <v>3249</v>
      </c>
      <c r="J157" s="64">
        <v>3249</v>
      </c>
      <c r="K157" s="64">
        <v>3249</v>
      </c>
    </row>
    <row r="158" spans="1:11" ht="15.75" customHeight="1">
      <c r="A158" s="62" t="s">
        <v>45</v>
      </c>
      <c r="B158" s="63" t="s">
        <v>48</v>
      </c>
      <c r="C158" s="62" t="s">
        <v>780</v>
      </c>
      <c r="D158" s="64">
        <v>349.2</v>
      </c>
      <c r="E158" s="64">
        <v>349.2</v>
      </c>
      <c r="F158" s="64">
        <v>349.2</v>
      </c>
      <c r="G158" s="64">
        <v>349.2</v>
      </c>
      <c r="H158" s="64">
        <v>349.2</v>
      </c>
      <c r="I158" s="64">
        <v>349.2</v>
      </c>
      <c r="J158" s="64">
        <v>349.2</v>
      </c>
      <c r="K158" s="64">
        <v>349.2</v>
      </c>
    </row>
    <row r="159" spans="1:11" ht="15.75" customHeight="1">
      <c r="A159" s="62" t="s">
        <v>91</v>
      </c>
      <c r="B159" s="63" t="s">
        <v>48</v>
      </c>
      <c r="C159" s="62" t="s">
        <v>781</v>
      </c>
      <c r="D159" s="64">
        <v>3499.2000000000003</v>
      </c>
      <c r="E159" s="64">
        <v>3499.2000000000003</v>
      </c>
      <c r="F159" s="64">
        <v>3499.2000000000003</v>
      </c>
      <c r="G159" s="64">
        <v>3499.2000000000003</v>
      </c>
      <c r="H159" s="64">
        <v>3499.2000000000003</v>
      </c>
      <c r="I159" s="64">
        <v>3499.2000000000003</v>
      </c>
      <c r="J159" s="64">
        <v>3499.2000000000003</v>
      </c>
      <c r="K159" s="64">
        <v>3499.2000000000003</v>
      </c>
    </row>
    <row r="160" spans="1:11" ht="15.75" customHeight="1">
      <c r="A160" s="62" t="s">
        <v>91</v>
      </c>
      <c r="B160" s="63" t="s">
        <v>48</v>
      </c>
      <c r="C160" s="62" t="s">
        <v>782</v>
      </c>
      <c r="D160" s="64">
        <v>2999.7000000000003</v>
      </c>
      <c r="E160" s="64">
        <v>2999.7000000000003</v>
      </c>
      <c r="F160" s="64">
        <v>2999.7000000000003</v>
      </c>
      <c r="G160" s="64">
        <v>2999.7000000000003</v>
      </c>
      <c r="H160" s="64">
        <v>2999.7000000000003</v>
      </c>
      <c r="I160" s="64">
        <v>2999.7000000000003</v>
      </c>
      <c r="J160" s="64">
        <v>2999.7000000000003</v>
      </c>
      <c r="K160" s="64">
        <v>2999.7000000000003</v>
      </c>
    </row>
    <row r="161" spans="1:11" ht="15.75" customHeight="1">
      <c r="A161" s="62" t="s">
        <v>91</v>
      </c>
      <c r="B161" s="63" t="s">
        <v>48</v>
      </c>
      <c r="C161" s="62" t="s">
        <v>783</v>
      </c>
      <c r="D161" s="64">
        <v>959.4</v>
      </c>
      <c r="E161" s="64">
        <v>959.4</v>
      </c>
      <c r="F161" s="64">
        <v>959.4</v>
      </c>
      <c r="G161" s="64">
        <v>959.4</v>
      </c>
      <c r="H161" s="64">
        <v>959.4</v>
      </c>
      <c r="I161" s="64">
        <v>959.4</v>
      </c>
      <c r="J161" s="64">
        <v>959.4</v>
      </c>
      <c r="K161" s="64">
        <v>959.4</v>
      </c>
    </row>
    <row r="162" spans="1:11" ht="15.75" customHeight="1">
      <c r="A162" s="62" t="s">
        <v>91</v>
      </c>
      <c r="B162" s="63" t="s">
        <v>48</v>
      </c>
      <c r="C162" s="62" t="s">
        <v>784</v>
      </c>
      <c r="D162" s="64">
        <v>1048.5</v>
      </c>
      <c r="E162" s="64">
        <v>1048.5</v>
      </c>
      <c r="F162" s="64">
        <v>1048.5</v>
      </c>
      <c r="G162" s="64">
        <v>1048.5</v>
      </c>
      <c r="H162" s="64">
        <v>1048.5</v>
      </c>
      <c r="I162" s="64">
        <v>1048.5</v>
      </c>
      <c r="J162" s="64">
        <v>1048.5</v>
      </c>
      <c r="K162" s="64">
        <v>1048.5</v>
      </c>
    </row>
    <row r="163" spans="1:11" ht="15.75" customHeight="1">
      <c r="A163" s="62" t="s">
        <v>45</v>
      </c>
      <c r="B163" s="63" t="s">
        <v>48</v>
      </c>
      <c r="C163" s="62" t="s">
        <v>785</v>
      </c>
      <c r="D163" s="64">
        <v>279</v>
      </c>
      <c r="E163" s="64">
        <v>279</v>
      </c>
      <c r="F163" s="64">
        <v>279</v>
      </c>
      <c r="G163" s="64">
        <v>279</v>
      </c>
      <c r="H163" s="64">
        <v>279</v>
      </c>
      <c r="I163" s="64">
        <v>279</v>
      </c>
      <c r="J163" s="64">
        <v>279</v>
      </c>
      <c r="K163" s="64">
        <v>279</v>
      </c>
    </row>
    <row r="164" spans="1:11" ht="15.75" customHeight="1">
      <c r="A164" s="62" t="s">
        <v>66</v>
      </c>
      <c r="B164" s="63" t="s">
        <v>48</v>
      </c>
      <c r="C164" s="62" t="s">
        <v>786</v>
      </c>
      <c r="D164" s="64">
        <v>299.7</v>
      </c>
      <c r="E164" s="64">
        <v>299.7</v>
      </c>
      <c r="F164" s="64">
        <v>299.7</v>
      </c>
      <c r="G164" s="64">
        <v>299.7</v>
      </c>
      <c r="H164" s="64">
        <v>299.7</v>
      </c>
      <c r="I164" s="64">
        <v>299.7</v>
      </c>
      <c r="J164" s="64">
        <v>299.7</v>
      </c>
      <c r="K164" s="64">
        <v>299.7</v>
      </c>
    </row>
    <row r="165" spans="1:11" ht="15.75" customHeight="1">
      <c r="A165" s="62" t="s">
        <v>91</v>
      </c>
      <c r="B165" s="63" t="s">
        <v>48</v>
      </c>
      <c r="C165" s="62" t="s">
        <v>787</v>
      </c>
      <c r="D165" s="64">
        <v>1279.8</v>
      </c>
      <c r="E165" s="64">
        <v>1279.8</v>
      </c>
      <c r="F165" s="64">
        <v>1279.8</v>
      </c>
      <c r="G165" s="64">
        <v>1279.8</v>
      </c>
      <c r="H165" s="64">
        <v>1279.8</v>
      </c>
      <c r="I165" s="64">
        <v>1279.8</v>
      </c>
      <c r="J165" s="64">
        <v>1279.8</v>
      </c>
      <c r="K165" s="64">
        <v>1279.8</v>
      </c>
    </row>
    <row r="166" spans="1:11" ht="15.75" customHeight="1">
      <c r="A166" s="62" t="s">
        <v>45</v>
      </c>
      <c r="B166" s="63" t="s">
        <v>48</v>
      </c>
      <c r="C166" s="62" t="s">
        <v>788</v>
      </c>
      <c r="D166" s="64">
        <v>499.5</v>
      </c>
      <c r="E166" s="64">
        <v>499.5</v>
      </c>
      <c r="F166" s="64">
        <v>499.5</v>
      </c>
      <c r="G166" s="64">
        <v>499.5</v>
      </c>
      <c r="H166" s="64">
        <v>499.5</v>
      </c>
      <c r="I166" s="64">
        <v>499.5</v>
      </c>
      <c r="J166" s="64">
        <v>499.5</v>
      </c>
      <c r="K166" s="64">
        <v>499.5</v>
      </c>
    </row>
    <row r="167" spans="1:11" ht="15.75" customHeight="1">
      <c r="A167" s="62" t="s">
        <v>91</v>
      </c>
      <c r="B167" s="63" t="s">
        <v>48</v>
      </c>
      <c r="C167" s="62" t="s">
        <v>789</v>
      </c>
      <c r="D167" s="64">
        <v>799.2</v>
      </c>
      <c r="E167" s="64">
        <v>799.2</v>
      </c>
      <c r="F167" s="64">
        <v>799.2</v>
      </c>
      <c r="G167" s="64">
        <v>799.2</v>
      </c>
      <c r="H167" s="64">
        <v>799.2</v>
      </c>
      <c r="I167" s="64">
        <v>799.2</v>
      </c>
      <c r="J167" s="64">
        <v>799.2</v>
      </c>
      <c r="K167" s="64">
        <v>799.2</v>
      </c>
    </row>
    <row r="168" spans="1:11" ht="15.75" customHeight="1">
      <c r="A168" s="62" t="s">
        <v>91</v>
      </c>
      <c r="B168" s="63" t="s">
        <v>941</v>
      </c>
      <c r="C168" s="62" t="s">
        <v>790</v>
      </c>
      <c r="D168" s="64">
        <v>499.5</v>
      </c>
      <c r="E168" s="64">
        <v>499.5</v>
      </c>
      <c r="F168" s="64">
        <v>499.5</v>
      </c>
      <c r="G168" s="64">
        <v>499.5</v>
      </c>
      <c r="H168" s="64">
        <v>499.5</v>
      </c>
      <c r="I168" s="64">
        <v>499.5</v>
      </c>
      <c r="J168" s="64">
        <v>499.5</v>
      </c>
      <c r="K168" s="64">
        <v>499.5</v>
      </c>
    </row>
    <row r="169" spans="1:11" ht="15.75" customHeight="1">
      <c r="A169" s="62" t="s">
        <v>91</v>
      </c>
      <c r="B169" s="63" t="s">
        <v>941</v>
      </c>
      <c r="C169" s="62" t="s">
        <v>791</v>
      </c>
      <c r="D169" s="64">
        <v>899.1</v>
      </c>
      <c r="E169" s="64">
        <v>899.1</v>
      </c>
      <c r="F169" s="64">
        <v>899.1</v>
      </c>
      <c r="G169" s="64">
        <v>899.1</v>
      </c>
      <c r="H169" s="64">
        <v>899.1</v>
      </c>
      <c r="I169" s="64">
        <v>899.1</v>
      </c>
      <c r="J169" s="64">
        <v>899.1</v>
      </c>
      <c r="K169" s="64">
        <v>899.1</v>
      </c>
    </row>
    <row r="170" spans="1:11" ht="15.75" customHeight="1">
      <c r="A170" s="62" t="s">
        <v>83</v>
      </c>
      <c r="B170" s="63" t="s">
        <v>941</v>
      </c>
      <c r="C170" s="62" t="s">
        <v>792</v>
      </c>
      <c r="D170" s="64">
        <v>499.5</v>
      </c>
      <c r="E170" s="64">
        <v>499.5</v>
      </c>
      <c r="F170" s="64">
        <v>499.5</v>
      </c>
      <c r="G170" s="64">
        <v>499.5</v>
      </c>
      <c r="H170" s="64">
        <v>499.5</v>
      </c>
      <c r="I170" s="64">
        <v>499.5</v>
      </c>
      <c r="J170" s="64">
        <v>499.5</v>
      </c>
      <c r="K170" s="64">
        <v>499.5</v>
      </c>
    </row>
    <row r="171" spans="1:11" ht="15.75" customHeight="1">
      <c r="A171" s="62" t="s">
        <v>83</v>
      </c>
      <c r="B171" s="63" t="s">
        <v>48</v>
      </c>
      <c r="C171" s="62" t="s">
        <v>793</v>
      </c>
      <c r="D171" s="64">
        <v>1199.7</v>
      </c>
      <c r="E171" s="64">
        <v>1199.7</v>
      </c>
      <c r="F171" s="64">
        <v>1199.7</v>
      </c>
      <c r="G171" s="64">
        <v>1199.7</v>
      </c>
      <c r="H171" s="64">
        <v>1199.7</v>
      </c>
      <c r="I171" s="64">
        <v>1199.7</v>
      </c>
      <c r="J171" s="64">
        <v>1199.7</v>
      </c>
      <c r="K171" s="64">
        <v>1199.7</v>
      </c>
    </row>
    <row r="172" spans="1:11" ht="15.75" customHeight="1">
      <c r="A172" s="62" t="s">
        <v>91</v>
      </c>
      <c r="B172" s="63" t="s">
        <v>649</v>
      </c>
      <c r="C172" s="62" t="s">
        <v>794</v>
      </c>
      <c r="D172" s="64">
        <v>3029.4</v>
      </c>
      <c r="E172" s="64">
        <v>3029.4</v>
      </c>
      <c r="F172" s="64">
        <v>3029.4</v>
      </c>
      <c r="G172" s="64">
        <v>3029.4</v>
      </c>
      <c r="H172" s="64">
        <v>3029.4</v>
      </c>
      <c r="I172" s="64">
        <v>3029.4</v>
      </c>
      <c r="J172" s="64">
        <v>3029.4</v>
      </c>
      <c r="K172" s="64">
        <v>3029.4</v>
      </c>
    </row>
    <row r="173" spans="1:11" ht="15.75" customHeight="1">
      <c r="A173" s="62" t="s">
        <v>83</v>
      </c>
      <c r="B173" s="63" t="s">
        <v>48</v>
      </c>
      <c r="C173" s="62" t="s">
        <v>795</v>
      </c>
      <c r="D173" s="64">
        <v>1019.7</v>
      </c>
      <c r="E173" s="64">
        <v>1019.7</v>
      </c>
      <c r="F173" s="64">
        <v>1019.7</v>
      </c>
      <c r="G173" s="64">
        <v>1019.7</v>
      </c>
      <c r="H173" s="64">
        <v>1019.7</v>
      </c>
      <c r="I173" s="64">
        <v>1019.7</v>
      </c>
      <c r="J173" s="64">
        <v>1019.7</v>
      </c>
      <c r="K173" s="64">
        <v>1019.7</v>
      </c>
    </row>
    <row r="174" spans="1:11" ht="15.75" customHeight="1">
      <c r="A174" s="62" t="s">
        <v>91</v>
      </c>
      <c r="B174" s="63" t="s">
        <v>48</v>
      </c>
      <c r="C174" s="62" t="s">
        <v>796</v>
      </c>
      <c r="D174" s="64">
        <v>999</v>
      </c>
      <c r="E174" s="64">
        <v>999</v>
      </c>
      <c r="F174" s="64">
        <v>999</v>
      </c>
      <c r="G174" s="64">
        <v>999</v>
      </c>
      <c r="H174" s="64">
        <v>999</v>
      </c>
      <c r="I174" s="64">
        <v>999</v>
      </c>
      <c r="J174" s="64">
        <v>999</v>
      </c>
      <c r="K174" s="64">
        <v>999</v>
      </c>
    </row>
    <row r="175" spans="1:11" ht="15.75" customHeight="1">
      <c r="A175" s="62" t="s">
        <v>91</v>
      </c>
      <c r="B175" s="63" t="s">
        <v>48</v>
      </c>
      <c r="C175" s="62" t="s">
        <v>800</v>
      </c>
      <c r="D175" s="64">
        <v>3099.6</v>
      </c>
      <c r="E175" s="64">
        <v>3099.6</v>
      </c>
      <c r="F175" s="64">
        <v>3099.6</v>
      </c>
      <c r="G175" s="64">
        <v>3099.6</v>
      </c>
      <c r="H175" s="64">
        <v>3099.6</v>
      </c>
      <c r="I175" s="64">
        <v>3099.6</v>
      </c>
      <c r="J175" s="64">
        <v>3099.6</v>
      </c>
      <c r="K175" s="64">
        <v>3099.6</v>
      </c>
    </row>
    <row r="176" spans="1:11" ht="15.75" customHeight="1">
      <c r="A176" s="62" t="s">
        <v>83</v>
      </c>
      <c r="B176" s="63" t="s">
        <v>48</v>
      </c>
      <c r="C176" s="62" t="s">
        <v>801</v>
      </c>
      <c r="D176" s="64">
        <v>639</v>
      </c>
      <c r="E176" s="64">
        <v>639</v>
      </c>
      <c r="F176" s="64">
        <v>639</v>
      </c>
      <c r="G176" s="64">
        <v>639</v>
      </c>
      <c r="H176" s="64">
        <v>639</v>
      </c>
      <c r="I176" s="64">
        <v>639</v>
      </c>
      <c r="J176" s="64">
        <v>639</v>
      </c>
      <c r="K176" s="64">
        <v>639</v>
      </c>
    </row>
    <row r="177" spans="1:11" ht="15.75" customHeight="1">
      <c r="A177" s="62" t="s">
        <v>45</v>
      </c>
      <c r="B177" s="63" t="s">
        <v>48</v>
      </c>
      <c r="C177" s="62" t="s">
        <v>802</v>
      </c>
      <c r="D177" s="64">
        <v>339.3</v>
      </c>
      <c r="E177" s="64">
        <v>339.3</v>
      </c>
      <c r="F177" s="64">
        <v>339.3</v>
      </c>
      <c r="G177" s="64">
        <v>339.3</v>
      </c>
      <c r="H177" s="64">
        <v>339.3</v>
      </c>
      <c r="I177" s="64">
        <v>339.3</v>
      </c>
      <c r="J177" s="64">
        <v>339.3</v>
      </c>
      <c r="K177" s="64">
        <v>339.3</v>
      </c>
    </row>
    <row r="178" spans="1:11" ht="15.75" customHeight="1">
      <c r="A178" s="62" t="s">
        <v>45</v>
      </c>
      <c r="B178" s="63" t="s">
        <v>48</v>
      </c>
      <c r="C178" s="62" t="s">
        <v>803</v>
      </c>
      <c r="D178" s="64">
        <v>519.30000000000007</v>
      </c>
      <c r="E178" s="64">
        <v>519.30000000000007</v>
      </c>
      <c r="F178" s="64">
        <v>519.30000000000007</v>
      </c>
      <c r="G178" s="64">
        <v>519.30000000000007</v>
      </c>
      <c r="H178" s="64">
        <v>519.30000000000007</v>
      </c>
      <c r="I178" s="64">
        <v>519.30000000000007</v>
      </c>
      <c r="J178" s="64">
        <v>519.30000000000007</v>
      </c>
      <c r="K178" s="64">
        <v>519.30000000000007</v>
      </c>
    </row>
    <row r="179" spans="1:11" ht="15.75" customHeight="1">
      <c r="A179" s="62" t="s">
        <v>45</v>
      </c>
      <c r="B179" s="63" t="s">
        <v>48</v>
      </c>
      <c r="C179" s="62" t="s">
        <v>804</v>
      </c>
      <c r="D179" s="64">
        <v>269.10000000000002</v>
      </c>
      <c r="E179" s="64">
        <v>269.10000000000002</v>
      </c>
      <c r="F179" s="64">
        <v>269.10000000000002</v>
      </c>
      <c r="G179" s="64">
        <v>269.10000000000002</v>
      </c>
      <c r="H179" s="64">
        <v>269.10000000000002</v>
      </c>
      <c r="I179" s="64">
        <v>269.10000000000002</v>
      </c>
      <c r="J179" s="64">
        <v>269.10000000000002</v>
      </c>
      <c r="K179" s="64">
        <v>269.10000000000002</v>
      </c>
    </row>
    <row r="180" spans="1:11" ht="15.75" customHeight="1">
      <c r="A180" s="62" t="s">
        <v>83</v>
      </c>
      <c r="B180" s="63" t="s">
        <v>48</v>
      </c>
      <c r="C180" s="62" t="s">
        <v>805</v>
      </c>
      <c r="D180" s="64">
        <v>599.4</v>
      </c>
      <c r="E180" s="64">
        <v>599.4</v>
      </c>
      <c r="F180" s="64">
        <v>599.4</v>
      </c>
      <c r="G180" s="64">
        <v>599.4</v>
      </c>
      <c r="H180" s="64">
        <v>599.4</v>
      </c>
      <c r="I180" s="64">
        <v>599.4</v>
      </c>
      <c r="J180" s="64">
        <v>599.4</v>
      </c>
      <c r="K180" s="64">
        <v>599.4</v>
      </c>
    </row>
    <row r="181" spans="1:11" ht="15.75" customHeight="1">
      <c r="A181" s="62" t="s">
        <v>45</v>
      </c>
      <c r="B181" s="63" t="s">
        <v>48</v>
      </c>
      <c r="C181" s="62" t="s">
        <v>806</v>
      </c>
      <c r="D181" s="64">
        <v>229.5</v>
      </c>
      <c r="E181" s="64">
        <v>229.5</v>
      </c>
      <c r="F181" s="64">
        <v>229.5</v>
      </c>
      <c r="G181" s="64">
        <v>229.5</v>
      </c>
      <c r="H181" s="64">
        <v>229.5</v>
      </c>
      <c r="I181" s="64">
        <v>229.5</v>
      </c>
      <c r="J181" s="64">
        <v>229.5</v>
      </c>
      <c r="K181" s="64">
        <v>229.5</v>
      </c>
    </row>
    <row r="182" spans="1:11" ht="15.75" customHeight="1">
      <c r="A182" s="62" t="s">
        <v>45</v>
      </c>
      <c r="B182" s="63" t="s">
        <v>48</v>
      </c>
      <c r="C182" s="62" t="s">
        <v>807</v>
      </c>
      <c r="D182" s="64">
        <v>339.3</v>
      </c>
      <c r="E182" s="64">
        <v>339.3</v>
      </c>
      <c r="F182" s="64">
        <v>339.3</v>
      </c>
      <c r="G182" s="64">
        <v>339.3</v>
      </c>
      <c r="H182" s="64">
        <v>339.3</v>
      </c>
      <c r="I182" s="64">
        <v>339.3</v>
      </c>
      <c r="J182" s="64">
        <v>339.3</v>
      </c>
      <c r="K182" s="64">
        <v>339.3</v>
      </c>
    </row>
    <row r="183" spans="1:11" ht="15.75" customHeight="1">
      <c r="A183" s="62" t="s">
        <v>91</v>
      </c>
      <c r="B183" s="63" t="s">
        <v>48</v>
      </c>
      <c r="C183" s="62" t="s">
        <v>808</v>
      </c>
      <c r="D183" s="64">
        <v>2149.2000000000003</v>
      </c>
      <c r="E183" s="64">
        <v>2149.2000000000003</v>
      </c>
      <c r="F183" s="64">
        <v>2149.2000000000003</v>
      </c>
      <c r="G183" s="64">
        <v>2149.2000000000003</v>
      </c>
      <c r="H183" s="64">
        <v>2149.2000000000003</v>
      </c>
      <c r="I183" s="64">
        <v>2149.2000000000003</v>
      </c>
      <c r="J183" s="64">
        <v>2149.2000000000003</v>
      </c>
      <c r="K183" s="64">
        <v>2149.2000000000003</v>
      </c>
    </row>
    <row r="184" spans="1:11" ht="15.75" customHeight="1">
      <c r="A184" s="62" t="s">
        <v>91</v>
      </c>
      <c r="B184" s="63" t="s">
        <v>48</v>
      </c>
      <c r="C184" s="62" t="s">
        <v>809</v>
      </c>
      <c r="D184" s="64">
        <v>2248.2000000000003</v>
      </c>
      <c r="E184" s="64">
        <v>2248.2000000000003</v>
      </c>
      <c r="F184" s="64">
        <v>2248.2000000000003</v>
      </c>
      <c r="G184" s="64">
        <v>2248.2000000000003</v>
      </c>
      <c r="H184" s="64">
        <v>2248.2000000000003</v>
      </c>
      <c r="I184" s="64">
        <v>2248.2000000000003</v>
      </c>
      <c r="J184" s="64">
        <v>2248.2000000000003</v>
      </c>
      <c r="K184" s="64">
        <v>2248.2000000000003</v>
      </c>
    </row>
    <row r="185" spans="1:11" ht="15.75" customHeight="1">
      <c r="A185" s="62" t="s">
        <v>45</v>
      </c>
      <c r="B185" s="63" t="s">
        <v>48</v>
      </c>
      <c r="C185" s="62" t="s">
        <v>810</v>
      </c>
      <c r="D185" s="64">
        <v>569.70000000000005</v>
      </c>
      <c r="E185" s="64">
        <v>569.70000000000005</v>
      </c>
      <c r="F185" s="64">
        <v>569.70000000000005</v>
      </c>
      <c r="G185" s="64">
        <v>569.70000000000005</v>
      </c>
      <c r="H185" s="64">
        <v>569.70000000000005</v>
      </c>
      <c r="I185" s="64">
        <v>569.70000000000005</v>
      </c>
      <c r="J185" s="64">
        <v>569.70000000000005</v>
      </c>
      <c r="K185" s="64">
        <v>569.70000000000005</v>
      </c>
    </row>
    <row r="186" spans="1:11" ht="15.75" customHeight="1">
      <c r="A186" s="62" t="s">
        <v>45</v>
      </c>
      <c r="B186" s="63" t="s">
        <v>48</v>
      </c>
      <c r="C186" s="62" t="s">
        <v>811</v>
      </c>
      <c r="D186" s="64">
        <v>349.2</v>
      </c>
      <c r="E186" s="64">
        <v>349.2</v>
      </c>
      <c r="F186" s="64">
        <v>349.2</v>
      </c>
      <c r="G186" s="64">
        <v>349.2</v>
      </c>
      <c r="H186" s="64">
        <v>349.2</v>
      </c>
      <c r="I186" s="64">
        <v>349.2</v>
      </c>
      <c r="J186" s="64">
        <v>349.2</v>
      </c>
      <c r="K186" s="64">
        <v>349.2</v>
      </c>
    </row>
    <row r="187" spans="1:11" ht="15.75" customHeight="1">
      <c r="A187" s="62" t="s">
        <v>83</v>
      </c>
      <c r="B187" s="63" t="s">
        <v>48</v>
      </c>
      <c r="C187" s="62" t="s">
        <v>812</v>
      </c>
      <c r="D187" s="64">
        <v>609.30000000000007</v>
      </c>
      <c r="E187" s="64">
        <v>609.30000000000007</v>
      </c>
      <c r="F187" s="64">
        <v>609.30000000000007</v>
      </c>
      <c r="G187" s="64">
        <v>609.30000000000007</v>
      </c>
      <c r="H187" s="64">
        <v>609.30000000000007</v>
      </c>
      <c r="I187" s="64">
        <v>609.30000000000007</v>
      </c>
      <c r="J187" s="64">
        <v>609.30000000000007</v>
      </c>
      <c r="K187" s="64">
        <v>609.30000000000007</v>
      </c>
    </row>
    <row r="188" spans="1:11" ht="15.75" customHeight="1">
      <c r="A188" s="62" t="s">
        <v>91</v>
      </c>
      <c r="B188" s="63" t="s">
        <v>48</v>
      </c>
      <c r="C188" s="62" t="s">
        <v>813</v>
      </c>
      <c r="D188" s="64">
        <v>2649.6</v>
      </c>
      <c r="E188" s="64">
        <v>2649.6</v>
      </c>
      <c r="F188" s="64">
        <v>2649.6</v>
      </c>
      <c r="G188" s="64">
        <v>2649.6</v>
      </c>
      <c r="H188" s="64">
        <v>2649.6</v>
      </c>
      <c r="I188" s="64">
        <v>2649.6</v>
      </c>
      <c r="J188" s="64">
        <v>2649.6</v>
      </c>
      <c r="K188" s="64">
        <v>2649.6</v>
      </c>
    </row>
    <row r="189" spans="1:11" ht="15.75" customHeight="1">
      <c r="A189" s="62" t="s">
        <v>91</v>
      </c>
      <c r="B189" s="63" t="s">
        <v>48</v>
      </c>
      <c r="C189" s="62" t="s">
        <v>814</v>
      </c>
      <c r="D189" s="64">
        <v>2748.6</v>
      </c>
      <c r="E189" s="64">
        <v>2748.6</v>
      </c>
      <c r="F189" s="64">
        <v>2748.6</v>
      </c>
      <c r="G189" s="64">
        <v>2748.6</v>
      </c>
      <c r="H189" s="64">
        <v>2748.6</v>
      </c>
      <c r="I189" s="64">
        <v>2748.6</v>
      </c>
      <c r="J189" s="64">
        <v>2748.6</v>
      </c>
      <c r="K189" s="64">
        <v>2748.6</v>
      </c>
    </row>
    <row r="190" spans="1:11" ht="15.75" customHeight="1">
      <c r="A190" s="62" t="s">
        <v>91</v>
      </c>
      <c r="B190" s="63" t="s">
        <v>48</v>
      </c>
      <c r="C190" s="62" t="s">
        <v>815</v>
      </c>
      <c r="D190" s="64">
        <v>2369.7000000000003</v>
      </c>
      <c r="E190" s="64">
        <v>2369.7000000000003</v>
      </c>
      <c r="F190" s="64">
        <v>2369.7000000000003</v>
      </c>
      <c r="G190" s="64">
        <v>2369.7000000000003</v>
      </c>
      <c r="H190" s="64">
        <v>2369.7000000000003</v>
      </c>
      <c r="I190" s="64">
        <v>2369.7000000000003</v>
      </c>
      <c r="J190" s="64">
        <v>2369.7000000000003</v>
      </c>
      <c r="K190" s="64">
        <v>2369.7000000000003</v>
      </c>
    </row>
    <row r="191" spans="1:11" ht="15.75" customHeight="1">
      <c r="A191" s="62" t="s">
        <v>91</v>
      </c>
      <c r="B191" s="63" t="s">
        <v>48</v>
      </c>
      <c r="C191" s="62" t="s">
        <v>816</v>
      </c>
      <c r="D191" s="64">
        <v>2468.7000000000003</v>
      </c>
      <c r="E191" s="64">
        <v>2468.7000000000003</v>
      </c>
      <c r="F191" s="64">
        <v>2468.7000000000003</v>
      </c>
      <c r="G191" s="64">
        <v>2468.7000000000003</v>
      </c>
      <c r="H191" s="64">
        <v>2468.7000000000003</v>
      </c>
      <c r="I191" s="64">
        <v>2468.7000000000003</v>
      </c>
      <c r="J191" s="64">
        <v>2468.7000000000003</v>
      </c>
      <c r="K191" s="64">
        <v>2468.7000000000003</v>
      </c>
    </row>
    <row r="192" spans="1:11" ht="15.75" customHeight="1">
      <c r="A192" s="62" t="s">
        <v>83</v>
      </c>
      <c r="B192" s="63" t="s">
        <v>48</v>
      </c>
      <c r="C192" s="62" t="s">
        <v>817</v>
      </c>
      <c r="D192" s="64">
        <v>819</v>
      </c>
      <c r="E192" s="64">
        <v>819</v>
      </c>
      <c r="F192" s="64">
        <v>819</v>
      </c>
      <c r="G192" s="64">
        <v>819</v>
      </c>
      <c r="H192" s="64">
        <v>819</v>
      </c>
      <c r="I192" s="64">
        <v>819</v>
      </c>
      <c r="J192" s="64">
        <v>819</v>
      </c>
      <c r="K192" s="64">
        <v>819</v>
      </c>
    </row>
    <row r="193" spans="1:11" ht="15.75" customHeight="1">
      <c r="A193" s="62" t="s">
        <v>91</v>
      </c>
      <c r="B193" s="63" t="s">
        <v>649</v>
      </c>
      <c r="C193" s="62" t="s">
        <v>818</v>
      </c>
      <c r="D193" s="64">
        <v>2999.7000000000003</v>
      </c>
      <c r="E193" s="64">
        <v>2999.7000000000003</v>
      </c>
      <c r="F193" s="64">
        <v>2999.7000000000003</v>
      </c>
      <c r="G193" s="64">
        <v>2999.7000000000003</v>
      </c>
      <c r="H193" s="64">
        <v>2999.7000000000003</v>
      </c>
      <c r="I193" s="64">
        <v>2999.7000000000003</v>
      </c>
      <c r="J193" s="64">
        <v>2999.7000000000003</v>
      </c>
      <c r="K193" s="64">
        <v>2999.7000000000003</v>
      </c>
    </row>
    <row r="194" spans="1:11" ht="15.75" customHeight="1">
      <c r="A194" s="62" t="s">
        <v>66</v>
      </c>
      <c r="B194" s="63" t="s">
        <v>48</v>
      </c>
      <c r="C194" s="62" t="s">
        <v>819</v>
      </c>
      <c r="D194" s="64">
        <v>359.1</v>
      </c>
      <c r="E194" s="64">
        <v>359.1</v>
      </c>
      <c r="F194" s="64">
        <v>359.1</v>
      </c>
      <c r="G194" s="64">
        <v>359.1</v>
      </c>
      <c r="H194" s="64">
        <v>359.1</v>
      </c>
      <c r="I194" s="64">
        <v>359.1</v>
      </c>
      <c r="J194" s="64">
        <v>359.1</v>
      </c>
      <c r="K194" s="64">
        <v>359.1</v>
      </c>
    </row>
    <row r="195" spans="1:11" ht="15.75" customHeight="1">
      <c r="A195" s="62" t="s">
        <v>66</v>
      </c>
      <c r="B195" s="63" t="s">
        <v>48</v>
      </c>
      <c r="C195" s="62" t="s">
        <v>820</v>
      </c>
      <c r="D195" s="64">
        <v>279</v>
      </c>
      <c r="E195" s="64">
        <v>279</v>
      </c>
      <c r="F195" s="64">
        <v>279</v>
      </c>
      <c r="G195" s="64">
        <v>279</v>
      </c>
      <c r="H195" s="64">
        <v>279</v>
      </c>
      <c r="I195" s="64">
        <v>279</v>
      </c>
      <c r="J195" s="64">
        <v>279</v>
      </c>
      <c r="K195" s="64">
        <v>279</v>
      </c>
    </row>
    <row r="196" spans="1:11" ht="15.75" customHeight="1">
      <c r="A196" s="62" t="s">
        <v>45</v>
      </c>
      <c r="B196" s="63" t="s">
        <v>48</v>
      </c>
      <c r="C196" s="62" t="s">
        <v>821</v>
      </c>
      <c r="D196" s="64">
        <v>379.8</v>
      </c>
      <c r="E196" s="64">
        <v>379.8</v>
      </c>
      <c r="F196" s="64">
        <v>379.8</v>
      </c>
      <c r="G196" s="64">
        <v>379.8</v>
      </c>
      <c r="H196" s="64">
        <v>379.8</v>
      </c>
      <c r="I196" s="64">
        <v>379.8</v>
      </c>
      <c r="J196" s="64">
        <v>379.8</v>
      </c>
      <c r="K196" s="64">
        <v>379.8</v>
      </c>
    </row>
    <row r="197" spans="1:11" ht="15.75" customHeight="1">
      <c r="A197" s="62" t="s">
        <v>45</v>
      </c>
      <c r="B197" s="63" t="s">
        <v>48</v>
      </c>
      <c r="C197" s="62" t="s">
        <v>822</v>
      </c>
      <c r="D197" s="64">
        <v>499.5</v>
      </c>
      <c r="E197" s="64">
        <v>499.5</v>
      </c>
      <c r="F197" s="64">
        <v>499.5</v>
      </c>
      <c r="G197" s="64">
        <v>499.5</v>
      </c>
      <c r="H197" s="64">
        <v>499.5</v>
      </c>
      <c r="I197" s="64">
        <v>499.5</v>
      </c>
      <c r="J197" s="64">
        <v>499.5</v>
      </c>
      <c r="K197" s="64">
        <v>499.5</v>
      </c>
    </row>
    <row r="198" spans="1:11" ht="15.75" customHeight="1">
      <c r="A198" s="62" t="s">
        <v>45</v>
      </c>
      <c r="B198" s="63" t="s">
        <v>48</v>
      </c>
      <c r="C198" s="62" t="s">
        <v>823</v>
      </c>
      <c r="D198" s="64">
        <v>409.5</v>
      </c>
      <c r="E198" s="64">
        <v>409.5</v>
      </c>
      <c r="F198" s="64">
        <v>409.5</v>
      </c>
      <c r="G198" s="64">
        <v>409.5</v>
      </c>
      <c r="H198" s="64">
        <v>409.5</v>
      </c>
      <c r="I198" s="64">
        <v>409.5</v>
      </c>
      <c r="J198" s="64">
        <v>409.5</v>
      </c>
      <c r="K198" s="64">
        <v>409.5</v>
      </c>
    </row>
    <row r="199" spans="1:11" ht="15.75" customHeight="1">
      <c r="A199" s="62" t="s">
        <v>45</v>
      </c>
      <c r="B199" s="63" t="s">
        <v>48</v>
      </c>
      <c r="C199" s="62" t="s">
        <v>824</v>
      </c>
      <c r="D199" s="64">
        <v>679.5</v>
      </c>
      <c r="E199" s="64">
        <v>679.5</v>
      </c>
      <c r="F199" s="64">
        <v>679.5</v>
      </c>
      <c r="G199" s="64">
        <v>679.5</v>
      </c>
      <c r="H199" s="64">
        <v>679.5</v>
      </c>
      <c r="I199" s="64">
        <v>679.5</v>
      </c>
      <c r="J199" s="64">
        <v>679.5</v>
      </c>
      <c r="K199" s="64">
        <v>679.5</v>
      </c>
    </row>
    <row r="200" spans="1:11" ht="15.75" customHeight="1">
      <c r="A200" s="62" t="s">
        <v>45</v>
      </c>
      <c r="B200" s="63" t="s">
        <v>48</v>
      </c>
      <c r="C200" s="62" t="s">
        <v>825</v>
      </c>
      <c r="D200" s="64">
        <v>399.6</v>
      </c>
      <c r="E200" s="64">
        <v>399.6</v>
      </c>
      <c r="F200" s="64">
        <v>399.6</v>
      </c>
      <c r="G200" s="64">
        <v>399.6</v>
      </c>
      <c r="H200" s="64">
        <v>399.6</v>
      </c>
      <c r="I200" s="64">
        <v>399.6</v>
      </c>
      <c r="J200" s="64">
        <v>399.6</v>
      </c>
      <c r="K200" s="64">
        <v>399.6</v>
      </c>
    </row>
    <row r="201" spans="1:11" ht="15.75" customHeight="1">
      <c r="A201" s="62" t="s">
        <v>91</v>
      </c>
      <c r="B201" s="63" t="s">
        <v>48</v>
      </c>
      <c r="C201" s="62" t="s">
        <v>826</v>
      </c>
      <c r="D201" s="64">
        <v>2388.6</v>
      </c>
      <c r="E201" s="64">
        <v>2388.6</v>
      </c>
      <c r="F201" s="64">
        <v>2388.6</v>
      </c>
      <c r="G201" s="64">
        <v>2388.6</v>
      </c>
      <c r="H201" s="64">
        <v>2388.6</v>
      </c>
      <c r="I201" s="64">
        <v>2388.6</v>
      </c>
      <c r="J201" s="64">
        <v>2388.6</v>
      </c>
      <c r="K201" s="64">
        <v>2388.6</v>
      </c>
    </row>
    <row r="202" spans="1:11" ht="15.75" customHeight="1">
      <c r="A202" s="62" t="s">
        <v>91</v>
      </c>
      <c r="B202" s="63" t="s">
        <v>48</v>
      </c>
      <c r="C202" s="62" t="s">
        <v>827</v>
      </c>
      <c r="D202" s="64">
        <v>2499.3000000000002</v>
      </c>
      <c r="E202" s="64">
        <v>2499.3000000000002</v>
      </c>
      <c r="F202" s="64">
        <v>2499.3000000000002</v>
      </c>
      <c r="G202" s="64">
        <v>2499.3000000000002</v>
      </c>
      <c r="H202" s="64">
        <v>2499.3000000000002</v>
      </c>
      <c r="I202" s="64">
        <v>2499.3000000000002</v>
      </c>
      <c r="J202" s="64">
        <v>2499.3000000000002</v>
      </c>
      <c r="K202" s="64">
        <v>2499.3000000000002</v>
      </c>
    </row>
    <row r="203" spans="1:11" ht="15.75" customHeight="1">
      <c r="A203" s="62" t="s">
        <v>91</v>
      </c>
      <c r="B203" s="63" t="s">
        <v>48</v>
      </c>
      <c r="C203" s="62" t="s">
        <v>828</v>
      </c>
      <c r="D203" s="64">
        <v>2999.7000000000003</v>
      </c>
      <c r="E203" s="64">
        <v>2999.7000000000003</v>
      </c>
      <c r="F203" s="64">
        <v>2999.7000000000003</v>
      </c>
      <c r="G203" s="64">
        <v>2999.7000000000003</v>
      </c>
      <c r="H203" s="64">
        <v>2999.7000000000003</v>
      </c>
      <c r="I203" s="64">
        <v>2999.7000000000003</v>
      </c>
      <c r="J203" s="64">
        <v>2999.7000000000003</v>
      </c>
      <c r="K203" s="64">
        <v>2999.7000000000003</v>
      </c>
    </row>
    <row r="204" spans="1:11" ht="15.75" customHeight="1">
      <c r="A204" s="62" t="s">
        <v>91</v>
      </c>
      <c r="B204" s="63" t="s">
        <v>48</v>
      </c>
      <c r="C204" s="62" t="s">
        <v>829</v>
      </c>
      <c r="D204" s="64">
        <v>3019.5</v>
      </c>
      <c r="E204" s="64">
        <v>3019.5</v>
      </c>
      <c r="F204" s="64">
        <v>3019.5</v>
      </c>
      <c r="G204" s="64">
        <v>3019.5</v>
      </c>
      <c r="H204" s="64">
        <v>3019.5</v>
      </c>
      <c r="I204" s="64">
        <v>3019.5</v>
      </c>
      <c r="J204" s="64">
        <v>3019.5</v>
      </c>
      <c r="K204" s="64">
        <v>3019.5</v>
      </c>
    </row>
    <row r="205" spans="1:11" ht="15.75" customHeight="1">
      <c r="A205" s="62" t="s">
        <v>91</v>
      </c>
      <c r="B205" s="63" t="s">
        <v>48</v>
      </c>
      <c r="C205" s="62" t="s">
        <v>830</v>
      </c>
      <c r="D205" s="64">
        <v>3009.6</v>
      </c>
      <c r="E205" s="64">
        <v>3009.6</v>
      </c>
      <c r="F205" s="64">
        <v>3009.6</v>
      </c>
      <c r="G205" s="64">
        <v>3009.6</v>
      </c>
      <c r="H205" s="64">
        <v>3009.6</v>
      </c>
      <c r="I205" s="64">
        <v>3009.6</v>
      </c>
      <c r="J205" s="64">
        <v>3009.6</v>
      </c>
      <c r="K205" s="64">
        <v>3009.6</v>
      </c>
    </row>
    <row r="206" spans="1:11" ht="15.75" customHeight="1">
      <c r="A206" s="62" t="s">
        <v>91</v>
      </c>
      <c r="B206" s="63" t="s">
        <v>48</v>
      </c>
      <c r="C206" s="62" t="s">
        <v>831</v>
      </c>
      <c r="D206" s="64">
        <v>3039.3</v>
      </c>
      <c r="E206" s="64">
        <v>3039.3</v>
      </c>
      <c r="F206" s="64">
        <v>3039.3</v>
      </c>
      <c r="G206" s="64">
        <v>3039.3</v>
      </c>
      <c r="H206" s="64">
        <v>3039.3</v>
      </c>
      <c r="I206" s="64">
        <v>3039.3</v>
      </c>
      <c r="J206" s="64">
        <v>3039.3</v>
      </c>
      <c r="K206" s="64">
        <v>3039.3</v>
      </c>
    </row>
    <row r="207" spans="1:11" ht="15.75" customHeight="1">
      <c r="A207" s="62" t="s">
        <v>91</v>
      </c>
      <c r="B207" s="63" t="s">
        <v>48</v>
      </c>
      <c r="C207" s="62" t="s">
        <v>832</v>
      </c>
      <c r="D207" s="64">
        <v>3089.7000000000003</v>
      </c>
      <c r="E207" s="64">
        <v>3089.7000000000003</v>
      </c>
      <c r="F207" s="64">
        <v>3089.7000000000003</v>
      </c>
      <c r="G207" s="64">
        <v>3089.7000000000003</v>
      </c>
      <c r="H207" s="64">
        <v>3089.7000000000003</v>
      </c>
      <c r="I207" s="64">
        <v>3089.7000000000003</v>
      </c>
      <c r="J207" s="64">
        <v>3089.7000000000003</v>
      </c>
      <c r="K207" s="64">
        <v>3089.7000000000003</v>
      </c>
    </row>
    <row r="208" spans="1:11" ht="15.75" customHeight="1">
      <c r="A208" s="62" t="s">
        <v>91</v>
      </c>
      <c r="B208" s="63" t="s">
        <v>48</v>
      </c>
      <c r="C208" s="62" t="s">
        <v>833</v>
      </c>
      <c r="D208" s="64">
        <v>3349.8</v>
      </c>
      <c r="E208" s="64">
        <v>3349.8</v>
      </c>
      <c r="F208" s="64">
        <v>3349.8</v>
      </c>
      <c r="G208" s="64">
        <v>3349.8</v>
      </c>
      <c r="H208" s="64">
        <v>3349.8</v>
      </c>
      <c r="I208" s="64">
        <v>3349.8</v>
      </c>
      <c r="J208" s="64">
        <v>3349.8</v>
      </c>
      <c r="K208" s="64">
        <v>3349.8</v>
      </c>
    </row>
    <row r="209" spans="1:11" ht="15.75" customHeight="1">
      <c r="A209" s="62" t="s">
        <v>91</v>
      </c>
      <c r="B209" s="63" t="s">
        <v>48</v>
      </c>
      <c r="C209" s="62" t="s">
        <v>834</v>
      </c>
      <c r="D209" s="64">
        <v>5689.8</v>
      </c>
      <c r="E209" s="64">
        <v>5689.8</v>
      </c>
      <c r="F209" s="64">
        <v>5689.8</v>
      </c>
      <c r="G209" s="64">
        <v>5689.8</v>
      </c>
      <c r="H209" s="64">
        <v>5689.8</v>
      </c>
      <c r="I209" s="64">
        <v>5689.8</v>
      </c>
      <c r="J209" s="64">
        <v>5689.8</v>
      </c>
      <c r="K209" s="64">
        <v>5689.8</v>
      </c>
    </row>
    <row r="210" spans="1:11" ht="15.75" customHeight="1">
      <c r="A210" s="62" t="s">
        <v>835</v>
      </c>
      <c r="B210" s="63" t="s">
        <v>48</v>
      </c>
      <c r="C210" s="62" t="s">
        <v>836</v>
      </c>
      <c r="D210" s="64">
        <v>1929.6000000000001</v>
      </c>
      <c r="E210" s="64">
        <v>1929.6000000000001</v>
      </c>
      <c r="F210" s="64">
        <v>1929.6000000000001</v>
      </c>
      <c r="G210" s="64">
        <v>1929.6000000000001</v>
      </c>
      <c r="H210" s="64">
        <v>1929.6000000000001</v>
      </c>
      <c r="I210" s="64">
        <v>1929.6000000000001</v>
      </c>
      <c r="J210" s="64">
        <v>1929.6000000000001</v>
      </c>
      <c r="K210" s="64">
        <v>1929.6000000000001</v>
      </c>
    </row>
    <row r="211" spans="1:11" ht="15.75" customHeight="1">
      <c r="A211" s="62" t="s">
        <v>83</v>
      </c>
      <c r="B211" s="63" t="s">
        <v>48</v>
      </c>
      <c r="C211" s="62" t="s">
        <v>837</v>
      </c>
      <c r="D211" s="64">
        <v>999</v>
      </c>
      <c r="E211" s="64">
        <v>999</v>
      </c>
      <c r="F211" s="64">
        <v>999</v>
      </c>
      <c r="G211" s="64">
        <v>999</v>
      </c>
      <c r="H211" s="64">
        <v>999</v>
      </c>
      <c r="I211" s="64">
        <v>999</v>
      </c>
      <c r="J211" s="64">
        <v>999</v>
      </c>
      <c r="K211" s="64">
        <v>999</v>
      </c>
    </row>
    <row r="212" spans="1:11" ht="15.75" customHeight="1">
      <c r="A212" s="62" t="s">
        <v>91</v>
      </c>
      <c r="B212" s="63" t="s">
        <v>48</v>
      </c>
      <c r="C212" s="62" t="s">
        <v>838</v>
      </c>
      <c r="D212" s="64">
        <v>3899.7000000000003</v>
      </c>
      <c r="E212" s="64">
        <v>3899.7000000000003</v>
      </c>
      <c r="F212" s="64">
        <v>3899.7000000000003</v>
      </c>
      <c r="G212" s="64">
        <v>3899.7000000000003</v>
      </c>
      <c r="H212" s="64">
        <v>3899.7000000000003</v>
      </c>
      <c r="I212" s="64">
        <v>3899.7000000000003</v>
      </c>
      <c r="J212" s="64">
        <v>3899.7000000000003</v>
      </c>
      <c r="K212" s="64">
        <v>3899.7000000000003</v>
      </c>
    </row>
    <row r="213" spans="1:11" ht="15.75" customHeight="1">
      <c r="A213" s="62" t="s">
        <v>83</v>
      </c>
      <c r="B213" s="63" t="s">
        <v>48</v>
      </c>
      <c r="C213" s="62" t="s">
        <v>293</v>
      </c>
      <c r="D213" s="64">
        <v>1109.7</v>
      </c>
      <c r="E213" s="64">
        <v>1109.7</v>
      </c>
      <c r="F213" s="64">
        <v>1109.7</v>
      </c>
      <c r="G213" s="64">
        <v>1109.7</v>
      </c>
      <c r="H213" s="64">
        <v>1109.7</v>
      </c>
      <c r="I213" s="64">
        <v>1109.7</v>
      </c>
      <c r="J213" s="64">
        <v>1109.7</v>
      </c>
      <c r="K213" s="64">
        <v>1109.7</v>
      </c>
    </row>
    <row r="214" spans="1:11" ht="15.75" customHeight="1">
      <c r="A214" s="62" t="s">
        <v>83</v>
      </c>
      <c r="B214" s="63" t="s">
        <v>1217</v>
      </c>
      <c r="C214" s="62" t="s">
        <v>839</v>
      </c>
      <c r="D214" s="64">
        <v>549</v>
      </c>
      <c r="E214" s="64">
        <v>549</v>
      </c>
      <c r="F214" s="64">
        <v>549</v>
      </c>
      <c r="G214" s="64">
        <v>549</v>
      </c>
      <c r="H214" s="64">
        <v>549</v>
      </c>
      <c r="I214" s="64">
        <v>549</v>
      </c>
      <c r="J214" s="64">
        <v>549</v>
      </c>
      <c r="K214" s="64">
        <v>549</v>
      </c>
    </row>
    <row r="215" spans="1:11" ht="15.75" customHeight="1">
      <c r="A215" s="62" t="s">
        <v>83</v>
      </c>
      <c r="B215" s="63" t="s">
        <v>1217</v>
      </c>
      <c r="C215" s="62" t="s">
        <v>840</v>
      </c>
      <c r="D215" s="64">
        <v>389.7</v>
      </c>
      <c r="E215" s="64">
        <v>389.7</v>
      </c>
      <c r="F215" s="64">
        <v>389.7</v>
      </c>
      <c r="G215" s="64">
        <v>389.7</v>
      </c>
      <c r="H215" s="64">
        <v>389.7</v>
      </c>
      <c r="I215" s="64">
        <v>389.7</v>
      </c>
      <c r="J215" s="64">
        <v>389.7</v>
      </c>
      <c r="K215" s="64">
        <v>389.7</v>
      </c>
    </row>
    <row r="216" spans="1:11" ht="15.75" customHeight="1">
      <c r="A216" s="62" t="s">
        <v>45</v>
      </c>
      <c r="B216" s="63" t="s">
        <v>48</v>
      </c>
      <c r="C216" s="62" t="s">
        <v>841</v>
      </c>
      <c r="D216" s="64">
        <v>129.6</v>
      </c>
      <c r="E216" s="64">
        <v>129.6</v>
      </c>
      <c r="F216" s="64">
        <v>129.6</v>
      </c>
      <c r="G216" s="64">
        <v>129.6</v>
      </c>
      <c r="H216" s="64">
        <v>129.6</v>
      </c>
      <c r="I216" s="64">
        <v>129.6</v>
      </c>
      <c r="J216" s="64">
        <v>129.6</v>
      </c>
      <c r="K216" s="64">
        <v>129.6</v>
      </c>
    </row>
    <row r="217" spans="1:11" ht="15.75" customHeight="1">
      <c r="A217" s="62" t="s">
        <v>45</v>
      </c>
      <c r="B217" s="63" t="s">
        <v>48</v>
      </c>
      <c r="C217" s="62" t="s">
        <v>842</v>
      </c>
      <c r="D217" s="64">
        <v>1059.3</v>
      </c>
      <c r="E217" s="64">
        <v>1059.3</v>
      </c>
      <c r="F217" s="64">
        <v>1059.3</v>
      </c>
      <c r="G217" s="64">
        <v>1059.3</v>
      </c>
      <c r="H217" s="64">
        <v>1059.3</v>
      </c>
      <c r="I217" s="64">
        <v>1059.3</v>
      </c>
      <c r="J217" s="64">
        <v>1059.3</v>
      </c>
      <c r="K217" s="64">
        <v>1059.3</v>
      </c>
    </row>
    <row r="218" spans="1:11" ht="15.75" customHeight="1">
      <c r="A218" s="62" t="s">
        <v>83</v>
      </c>
      <c r="B218" s="63" t="s">
        <v>48</v>
      </c>
      <c r="C218" s="62" t="s">
        <v>843</v>
      </c>
      <c r="D218" s="64">
        <v>699.30000000000007</v>
      </c>
      <c r="E218" s="64">
        <v>699.30000000000007</v>
      </c>
      <c r="F218" s="64">
        <v>699.30000000000007</v>
      </c>
      <c r="G218" s="64">
        <v>699.30000000000007</v>
      </c>
      <c r="H218" s="64">
        <v>699.30000000000007</v>
      </c>
      <c r="I218" s="64">
        <v>699.30000000000007</v>
      </c>
      <c r="J218" s="64">
        <v>699.30000000000007</v>
      </c>
      <c r="K218" s="64">
        <v>699.30000000000007</v>
      </c>
    </row>
    <row r="219" spans="1:11" ht="15.75" customHeight="1">
      <c r="A219" s="62" t="s">
        <v>83</v>
      </c>
      <c r="B219" s="63" t="s">
        <v>48</v>
      </c>
      <c r="C219" s="62" t="s">
        <v>844</v>
      </c>
      <c r="D219" s="64">
        <v>699.30000000000007</v>
      </c>
      <c r="E219" s="64">
        <v>699.30000000000007</v>
      </c>
      <c r="F219" s="64">
        <v>699.30000000000007</v>
      </c>
      <c r="G219" s="64">
        <v>699.30000000000007</v>
      </c>
      <c r="H219" s="64">
        <v>699.30000000000007</v>
      </c>
      <c r="I219" s="64">
        <v>699.30000000000007</v>
      </c>
      <c r="J219" s="64">
        <v>699.30000000000007</v>
      </c>
      <c r="K219" s="64">
        <v>699.30000000000007</v>
      </c>
    </row>
    <row r="220" spans="1:11" ht="15.75" customHeight="1">
      <c r="A220" s="62" t="s">
        <v>83</v>
      </c>
      <c r="B220" s="63" t="s">
        <v>48</v>
      </c>
      <c r="C220" s="62" t="s">
        <v>845</v>
      </c>
      <c r="D220" s="64">
        <v>699.30000000000007</v>
      </c>
      <c r="E220" s="64">
        <v>699.30000000000007</v>
      </c>
      <c r="F220" s="64">
        <v>699.30000000000007</v>
      </c>
      <c r="G220" s="64">
        <v>699.30000000000007</v>
      </c>
      <c r="H220" s="64">
        <v>699.30000000000007</v>
      </c>
      <c r="I220" s="64">
        <v>699.30000000000007</v>
      </c>
      <c r="J220" s="64">
        <v>699.30000000000007</v>
      </c>
      <c r="K220" s="64">
        <v>699.30000000000007</v>
      </c>
    </row>
    <row r="221" spans="1:11" ht="15.75" customHeight="1">
      <c r="A221" s="62" t="s">
        <v>91</v>
      </c>
      <c r="B221" s="63" t="s">
        <v>48</v>
      </c>
      <c r="C221" s="62" t="s">
        <v>846</v>
      </c>
      <c r="D221" s="64">
        <v>2599.2000000000003</v>
      </c>
      <c r="E221" s="64">
        <v>2599.2000000000003</v>
      </c>
      <c r="F221" s="64">
        <v>2599.2000000000003</v>
      </c>
      <c r="G221" s="64">
        <v>2599.2000000000003</v>
      </c>
      <c r="H221" s="64">
        <v>2599.2000000000003</v>
      </c>
      <c r="I221" s="64">
        <v>2599.2000000000003</v>
      </c>
      <c r="J221" s="64">
        <v>2599.2000000000003</v>
      </c>
      <c r="K221" s="64">
        <v>2599.2000000000003</v>
      </c>
    </row>
    <row r="222" spans="1:11" ht="15.75" customHeight="1">
      <c r="A222" s="62" t="s">
        <v>91</v>
      </c>
      <c r="B222" s="63" t="s">
        <v>48</v>
      </c>
      <c r="C222" s="62" t="s">
        <v>847</v>
      </c>
      <c r="D222" s="64">
        <v>1459.8</v>
      </c>
      <c r="E222" s="64">
        <v>1459.8</v>
      </c>
      <c r="F222" s="64">
        <v>1459.8</v>
      </c>
      <c r="G222" s="64">
        <v>1459.8</v>
      </c>
      <c r="H222" s="64">
        <v>1459.8</v>
      </c>
      <c r="I222" s="64">
        <v>1459.8</v>
      </c>
      <c r="J222" s="64">
        <v>1459.8</v>
      </c>
      <c r="K222" s="64">
        <v>1459.8</v>
      </c>
    </row>
    <row r="223" spans="1:11" ht="15.75" customHeight="1">
      <c r="A223" s="62" t="s">
        <v>83</v>
      </c>
      <c r="B223" s="63" t="s">
        <v>48</v>
      </c>
      <c r="C223" s="62" t="s">
        <v>848</v>
      </c>
      <c r="D223" s="64">
        <v>459</v>
      </c>
      <c r="E223" s="64">
        <v>459</v>
      </c>
      <c r="F223" s="64">
        <v>459</v>
      </c>
      <c r="G223" s="64">
        <v>459</v>
      </c>
      <c r="H223" s="64">
        <v>459</v>
      </c>
      <c r="I223" s="64">
        <v>459</v>
      </c>
      <c r="J223" s="64">
        <v>459</v>
      </c>
      <c r="K223" s="64">
        <v>459</v>
      </c>
    </row>
    <row r="224" spans="1:11" ht="15.75" customHeight="1">
      <c r="A224" s="62" t="s">
        <v>91</v>
      </c>
      <c r="B224" s="63" t="s">
        <v>1217</v>
      </c>
      <c r="C224" s="62" t="s">
        <v>849</v>
      </c>
      <c r="D224" s="64">
        <v>359.1</v>
      </c>
      <c r="E224" s="64">
        <v>359.1</v>
      </c>
      <c r="F224" s="64">
        <v>359.1</v>
      </c>
      <c r="G224" s="64">
        <v>359.1</v>
      </c>
      <c r="H224" s="64">
        <v>359.1</v>
      </c>
      <c r="I224" s="64">
        <v>359.1</v>
      </c>
      <c r="J224" s="64">
        <v>359.1</v>
      </c>
      <c r="K224" s="64">
        <v>359.1</v>
      </c>
    </row>
    <row r="225" spans="1:11" ht="15.75" customHeight="1">
      <c r="A225" s="62" t="s">
        <v>45</v>
      </c>
      <c r="B225" s="63" t="s">
        <v>1217</v>
      </c>
      <c r="C225" s="62" t="s">
        <v>850</v>
      </c>
      <c r="D225" s="64">
        <v>549</v>
      </c>
      <c r="E225" s="64">
        <v>549</v>
      </c>
      <c r="F225" s="64">
        <v>549</v>
      </c>
      <c r="G225" s="64">
        <v>549</v>
      </c>
      <c r="H225" s="64">
        <v>549</v>
      </c>
      <c r="I225" s="64">
        <v>549</v>
      </c>
      <c r="J225" s="64">
        <v>549</v>
      </c>
      <c r="K225" s="64">
        <v>549</v>
      </c>
    </row>
    <row r="226" spans="1:11" ht="15.75" customHeight="1">
      <c r="A226" s="62" t="s">
        <v>91</v>
      </c>
      <c r="B226" s="63" t="s">
        <v>48</v>
      </c>
      <c r="C226" s="62" t="s">
        <v>851</v>
      </c>
      <c r="D226" s="64">
        <v>1959.3</v>
      </c>
      <c r="E226" s="64">
        <v>1959.3</v>
      </c>
      <c r="F226" s="64">
        <v>1959.3</v>
      </c>
      <c r="G226" s="64">
        <v>1959.3</v>
      </c>
      <c r="H226" s="64">
        <v>1959.3</v>
      </c>
      <c r="I226" s="64">
        <v>1959.3</v>
      </c>
      <c r="J226" s="64">
        <v>1959.3</v>
      </c>
      <c r="K226" s="64">
        <v>1959.3</v>
      </c>
    </row>
    <row r="227" spans="1:11" ht="15.75" customHeight="1">
      <c r="A227" s="62" t="s">
        <v>45</v>
      </c>
      <c r="B227" s="63" t="s">
        <v>48</v>
      </c>
      <c r="C227" s="62" t="s">
        <v>852</v>
      </c>
      <c r="D227" s="64">
        <v>589.5</v>
      </c>
      <c r="E227" s="64">
        <v>589.5</v>
      </c>
      <c r="F227" s="64">
        <v>589.5</v>
      </c>
      <c r="G227" s="64">
        <v>589.5</v>
      </c>
      <c r="H227" s="64">
        <v>589.5</v>
      </c>
      <c r="I227" s="64">
        <v>589.5</v>
      </c>
      <c r="J227" s="64">
        <v>589.5</v>
      </c>
      <c r="K227" s="64">
        <v>589.5</v>
      </c>
    </row>
    <row r="228" spans="1:11" ht="15.75" customHeight="1">
      <c r="A228" s="62" t="s">
        <v>45</v>
      </c>
      <c r="B228" s="63" t="s">
        <v>48</v>
      </c>
      <c r="C228" s="62" t="s">
        <v>853</v>
      </c>
      <c r="D228" s="64">
        <v>959.4</v>
      </c>
      <c r="E228" s="64">
        <v>959.4</v>
      </c>
      <c r="F228" s="64">
        <v>959.4</v>
      </c>
      <c r="G228" s="64">
        <v>959.4</v>
      </c>
      <c r="H228" s="64">
        <v>959.4</v>
      </c>
      <c r="I228" s="64">
        <v>959.4</v>
      </c>
      <c r="J228" s="64">
        <v>959.4</v>
      </c>
      <c r="K228" s="64">
        <v>959.4</v>
      </c>
    </row>
    <row r="229" spans="1:11" ht="15.75" customHeight="1">
      <c r="A229" s="62" t="s">
        <v>91</v>
      </c>
      <c r="B229" s="63" t="s">
        <v>48</v>
      </c>
      <c r="C229" s="62" t="s">
        <v>854</v>
      </c>
      <c r="D229" s="64">
        <v>1999.8</v>
      </c>
      <c r="E229" s="64">
        <v>1999.8</v>
      </c>
      <c r="F229" s="64">
        <v>1999.8</v>
      </c>
      <c r="G229" s="64">
        <v>1999.8</v>
      </c>
      <c r="H229" s="64">
        <v>1999.8</v>
      </c>
      <c r="I229" s="64">
        <v>1999.8</v>
      </c>
      <c r="J229" s="64">
        <v>1999.8</v>
      </c>
      <c r="K229" s="64">
        <v>1999.8</v>
      </c>
    </row>
    <row r="230" spans="1:11" ht="15.75" customHeight="1">
      <c r="A230" s="62" t="s">
        <v>835</v>
      </c>
      <c r="B230" s="63" t="s">
        <v>48</v>
      </c>
      <c r="C230" s="62" t="s">
        <v>855</v>
      </c>
      <c r="D230" s="64">
        <v>2029.5</v>
      </c>
      <c r="E230" s="64">
        <v>2029.5</v>
      </c>
      <c r="F230" s="64">
        <v>2029.5</v>
      </c>
      <c r="G230" s="64">
        <v>2029.5</v>
      </c>
      <c r="H230" s="64">
        <v>2029.5</v>
      </c>
      <c r="I230" s="64">
        <v>2029.5</v>
      </c>
      <c r="J230" s="64">
        <v>2029.5</v>
      </c>
      <c r="K230" s="64">
        <v>2029.5</v>
      </c>
    </row>
    <row r="231" spans="1:11" ht="15.75" customHeight="1">
      <c r="A231" s="62" t="s">
        <v>91</v>
      </c>
      <c r="B231" s="63" t="s">
        <v>48</v>
      </c>
      <c r="C231" s="62" t="s">
        <v>856</v>
      </c>
      <c r="D231" s="64">
        <v>2359.8000000000002</v>
      </c>
      <c r="E231" s="64">
        <v>2359.8000000000002</v>
      </c>
      <c r="F231" s="64">
        <v>2359.8000000000002</v>
      </c>
      <c r="G231" s="64">
        <v>2359.8000000000002</v>
      </c>
      <c r="H231" s="64">
        <v>2359.8000000000002</v>
      </c>
      <c r="I231" s="64">
        <v>2359.8000000000002</v>
      </c>
      <c r="J231" s="64">
        <v>2359.8000000000002</v>
      </c>
      <c r="K231" s="64">
        <v>2359.8000000000002</v>
      </c>
    </row>
    <row r="232" spans="1:11" ht="15.75" customHeight="1">
      <c r="A232" s="62" t="s">
        <v>91</v>
      </c>
      <c r="B232" s="63" t="s">
        <v>48</v>
      </c>
      <c r="C232" s="62" t="s">
        <v>858</v>
      </c>
      <c r="D232" s="64">
        <v>7319.7</v>
      </c>
      <c r="E232" s="64">
        <v>7319.7</v>
      </c>
      <c r="F232" s="64">
        <v>7319.7</v>
      </c>
      <c r="G232" s="64">
        <v>7319.7</v>
      </c>
      <c r="H232" s="64">
        <v>7319.7</v>
      </c>
      <c r="I232" s="64">
        <v>7319.7</v>
      </c>
      <c r="J232" s="64">
        <v>7319.7</v>
      </c>
      <c r="K232" s="64">
        <v>7319.7</v>
      </c>
    </row>
    <row r="233" spans="1:11" ht="15.75" customHeight="1">
      <c r="A233" s="62" t="s">
        <v>66</v>
      </c>
      <c r="B233" s="63" t="s">
        <v>48</v>
      </c>
      <c r="C233" s="62" t="s">
        <v>859</v>
      </c>
      <c r="D233" s="64">
        <v>349.2</v>
      </c>
      <c r="E233" s="64">
        <v>349.2</v>
      </c>
      <c r="F233" s="64">
        <v>349.2</v>
      </c>
      <c r="G233" s="64">
        <v>349.2</v>
      </c>
      <c r="H233" s="64">
        <v>349.2</v>
      </c>
      <c r="I233" s="64">
        <v>349.2</v>
      </c>
      <c r="J233" s="64">
        <v>349.2</v>
      </c>
      <c r="K233" s="64">
        <v>349.2</v>
      </c>
    </row>
    <row r="234" spans="1:11" ht="15.75" customHeight="1">
      <c r="A234" s="62" t="s">
        <v>91</v>
      </c>
      <c r="B234" s="63" t="s">
        <v>48</v>
      </c>
      <c r="C234" s="62" t="s">
        <v>860</v>
      </c>
      <c r="D234" s="64">
        <v>4349.7</v>
      </c>
      <c r="E234" s="64">
        <v>4349.7</v>
      </c>
      <c r="F234" s="64">
        <v>4349.7</v>
      </c>
      <c r="G234" s="64">
        <v>4349.7</v>
      </c>
      <c r="H234" s="64">
        <v>4349.7</v>
      </c>
      <c r="I234" s="64">
        <v>4349.7</v>
      </c>
      <c r="J234" s="64">
        <v>4349.7</v>
      </c>
      <c r="K234" s="64">
        <v>4349.7</v>
      </c>
    </row>
    <row r="235" spans="1:11" ht="15.75" customHeight="1">
      <c r="A235" s="62" t="s">
        <v>91</v>
      </c>
      <c r="B235" s="63" t="s">
        <v>48</v>
      </c>
      <c r="C235" s="62" t="s">
        <v>861</v>
      </c>
      <c r="D235" s="64">
        <v>5869.8</v>
      </c>
      <c r="E235" s="64">
        <v>5869.8</v>
      </c>
      <c r="F235" s="64">
        <v>5869.8</v>
      </c>
      <c r="G235" s="64">
        <v>5869.8</v>
      </c>
      <c r="H235" s="64">
        <v>5869.8</v>
      </c>
      <c r="I235" s="64">
        <v>5869.8</v>
      </c>
      <c r="J235" s="64">
        <v>5869.8</v>
      </c>
      <c r="K235" s="64">
        <v>5869.8</v>
      </c>
    </row>
    <row r="236" spans="1:11" ht="15.75" customHeight="1">
      <c r="A236" s="62" t="s">
        <v>91</v>
      </c>
      <c r="B236" s="63" t="s">
        <v>48</v>
      </c>
      <c r="C236" s="62" t="s">
        <v>862</v>
      </c>
      <c r="D236" s="64">
        <v>3149.1</v>
      </c>
      <c r="E236" s="64">
        <v>3149.1</v>
      </c>
      <c r="F236" s="64">
        <v>3149.1</v>
      </c>
      <c r="G236" s="64">
        <v>3149.1</v>
      </c>
      <c r="H236" s="64">
        <v>3149.1</v>
      </c>
      <c r="I236" s="64">
        <v>3149.1</v>
      </c>
      <c r="J236" s="64">
        <v>3149.1</v>
      </c>
      <c r="K236" s="64">
        <v>3149.1</v>
      </c>
    </row>
    <row r="237" spans="1:11" ht="15.75" customHeight="1">
      <c r="A237" s="62" t="s">
        <v>45</v>
      </c>
      <c r="B237" s="63" t="s">
        <v>48</v>
      </c>
      <c r="C237" s="62" t="s">
        <v>867</v>
      </c>
      <c r="D237" s="64">
        <v>999</v>
      </c>
      <c r="E237" s="64">
        <v>999</v>
      </c>
      <c r="F237" s="64">
        <v>999</v>
      </c>
      <c r="G237" s="64">
        <v>999</v>
      </c>
      <c r="H237" s="64">
        <v>999</v>
      </c>
      <c r="I237" s="64">
        <v>999</v>
      </c>
      <c r="J237" s="64">
        <v>999</v>
      </c>
      <c r="K237" s="64">
        <v>999</v>
      </c>
    </row>
    <row r="238" spans="1:11" ht="15.75" customHeight="1">
      <c r="A238" s="62" t="s">
        <v>45</v>
      </c>
      <c r="B238" s="63" t="s">
        <v>1217</v>
      </c>
      <c r="C238" s="62" t="s">
        <v>871</v>
      </c>
      <c r="D238" s="64">
        <v>349.2</v>
      </c>
      <c r="E238" s="64">
        <v>349.2</v>
      </c>
      <c r="F238" s="64">
        <v>349.2</v>
      </c>
      <c r="G238" s="64">
        <v>349.2</v>
      </c>
      <c r="H238" s="64">
        <v>349.2</v>
      </c>
      <c r="I238" s="64">
        <v>349.2</v>
      </c>
      <c r="J238" s="64">
        <v>349.2</v>
      </c>
      <c r="K238" s="64">
        <v>349.2</v>
      </c>
    </row>
    <row r="239" spans="1:11" ht="15.75" customHeight="1">
      <c r="A239" s="62" t="s">
        <v>91</v>
      </c>
      <c r="B239" s="63" t="s">
        <v>48</v>
      </c>
      <c r="C239" s="62" t="s">
        <v>873</v>
      </c>
      <c r="D239" s="64">
        <v>4978.8</v>
      </c>
      <c r="E239" s="64">
        <v>4978.8</v>
      </c>
      <c r="F239" s="64">
        <v>4978.8</v>
      </c>
      <c r="G239" s="64">
        <v>4978.8</v>
      </c>
      <c r="H239" s="64">
        <v>4978.8</v>
      </c>
      <c r="I239" s="64">
        <v>4978.8</v>
      </c>
      <c r="J239" s="64">
        <v>4978.8</v>
      </c>
      <c r="K239" s="64">
        <v>4978.8</v>
      </c>
    </row>
    <row r="240" spans="1:11" ht="15.75" customHeight="1">
      <c r="A240" s="62" t="s">
        <v>91</v>
      </c>
      <c r="B240" s="63" t="s">
        <v>48</v>
      </c>
      <c r="C240" s="62" t="s">
        <v>874</v>
      </c>
      <c r="D240" s="64">
        <v>1799.1000000000001</v>
      </c>
      <c r="E240" s="64">
        <v>1799.1000000000001</v>
      </c>
      <c r="F240" s="64">
        <v>1799.1000000000001</v>
      </c>
      <c r="G240" s="64">
        <v>1799.1000000000001</v>
      </c>
      <c r="H240" s="64">
        <v>1799.1000000000001</v>
      </c>
      <c r="I240" s="64">
        <v>1799.1000000000001</v>
      </c>
      <c r="J240" s="64">
        <v>1799.1000000000001</v>
      </c>
      <c r="K240" s="64">
        <v>1799.1000000000001</v>
      </c>
    </row>
    <row r="241" spans="1:11" ht="15.75" customHeight="1">
      <c r="A241" s="62" t="s">
        <v>45</v>
      </c>
      <c r="B241" s="63" t="s">
        <v>48</v>
      </c>
      <c r="C241" s="62" t="s">
        <v>875</v>
      </c>
      <c r="D241" s="64">
        <v>1019.7</v>
      </c>
      <c r="E241" s="64">
        <v>1019.7</v>
      </c>
      <c r="F241" s="64">
        <v>1019.7</v>
      </c>
      <c r="G241" s="64">
        <v>1019.7</v>
      </c>
      <c r="H241" s="64">
        <v>1019.7</v>
      </c>
      <c r="I241" s="64">
        <v>1019.7</v>
      </c>
      <c r="J241" s="64">
        <v>1019.7</v>
      </c>
      <c r="K241" s="64">
        <v>1019.7</v>
      </c>
    </row>
    <row r="242" spans="1:11" ht="15.75" customHeight="1">
      <c r="A242" s="62" t="s">
        <v>83</v>
      </c>
      <c r="B242" s="63" t="s">
        <v>48</v>
      </c>
      <c r="C242" s="62" t="s">
        <v>876</v>
      </c>
      <c r="D242" s="64">
        <v>1209.6000000000001</v>
      </c>
      <c r="E242" s="64">
        <v>1209.6000000000001</v>
      </c>
      <c r="F242" s="64">
        <v>1209.6000000000001</v>
      </c>
      <c r="G242" s="64">
        <v>1209.6000000000001</v>
      </c>
      <c r="H242" s="64">
        <v>1209.6000000000001</v>
      </c>
      <c r="I242" s="64">
        <v>1209.6000000000001</v>
      </c>
      <c r="J242" s="64">
        <v>1209.6000000000001</v>
      </c>
      <c r="K242" s="64">
        <v>1209.6000000000001</v>
      </c>
    </row>
    <row r="243" spans="1:11" ht="15.75" customHeight="1">
      <c r="A243" s="62" t="s">
        <v>45</v>
      </c>
      <c r="B243" s="63" t="s">
        <v>48</v>
      </c>
      <c r="C243" s="62" t="s">
        <v>877</v>
      </c>
      <c r="D243" s="64">
        <v>769.5</v>
      </c>
      <c r="E243" s="64">
        <v>769.5</v>
      </c>
      <c r="F243" s="64">
        <v>769.5</v>
      </c>
      <c r="G243" s="64">
        <v>769.5</v>
      </c>
      <c r="H243" s="64">
        <v>769.5</v>
      </c>
      <c r="I243" s="64">
        <v>769.5</v>
      </c>
      <c r="J243" s="64">
        <v>769.5</v>
      </c>
      <c r="K243" s="64">
        <v>769.5</v>
      </c>
    </row>
    <row r="244" spans="1:11" ht="15.75" customHeight="1">
      <c r="A244" s="62" t="s">
        <v>45</v>
      </c>
      <c r="B244" s="63" t="s">
        <v>48</v>
      </c>
      <c r="C244" s="62" t="s">
        <v>878</v>
      </c>
      <c r="D244" s="64">
        <v>769.5</v>
      </c>
      <c r="E244" s="64">
        <v>769.5</v>
      </c>
      <c r="F244" s="64">
        <v>769.5</v>
      </c>
      <c r="G244" s="64">
        <v>769.5</v>
      </c>
      <c r="H244" s="64">
        <v>769.5</v>
      </c>
      <c r="I244" s="64">
        <v>769.5</v>
      </c>
      <c r="J244" s="64">
        <v>769.5</v>
      </c>
      <c r="K244" s="64">
        <v>769.5</v>
      </c>
    </row>
    <row r="245" spans="1:11" ht="15.75" customHeight="1">
      <c r="A245" s="62" t="s">
        <v>45</v>
      </c>
      <c r="B245" s="63" t="s">
        <v>48</v>
      </c>
      <c r="C245" s="62" t="s">
        <v>879</v>
      </c>
      <c r="D245" s="64">
        <v>729</v>
      </c>
      <c r="E245" s="64">
        <v>729</v>
      </c>
      <c r="F245" s="64">
        <v>729</v>
      </c>
      <c r="G245" s="64">
        <v>729</v>
      </c>
      <c r="H245" s="64">
        <v>729</v>
      </c>
      <c r="I245" s="64">
        <v>729</v>
      </c>
      <c r="J245" s="64">
        <v>729</v>
      </c>
      <c r="K245" s="64">
        <v>729</v>
      </c>
    </row>
    <row r="246" spans="1:11" ht="15.75" customHeight="1">
      <c r="A246" s="62" t="s">
        <v>45</v>
      </c>
      <c r="B246" s="63" t="s">
        <v>48</v>
      </c>
      <c r="C246" s="62" t="s">
        <v>880</v>
      </c>
      <c r="D246" s="64">
        <v>729</v>
      </c>
      <c r="E246" s="64">
        <v>729</v>
      </c>
      <c r="F246" s="64">
        <v>729</v>
      </c>
      <c r="G246" s="64">
        <v>729</v>
      </c>
      <c r="H246" s="64">
        <v>729</v>
      </c>
      <c r="I246" s="64">
        <v>729</v>
      </c>
      <c r="J246" s="64">
        <v>729</v>
      </c>
      <c r="K246" s="64">
        <v>729</v>
      </c>
    </row>
    <row r="247" spans="1:11" ht="15.75" customHeight="1">
      <c r="A247" s="62" t="s">
        <v>45</v>
      </c>
      <c r="B247" s="63" t="s">
        <v>48</v>
      </c>
      <c r="C247" s="62" t="s">
        <v>881</v>
      </c>
      <c r="D247" s="64">
        <v>729</v>
      </c>
      <c r="E247" s="64">
        <v>729</v>
      </c>
      <c r="F247" s="64">
        <v>729</v>
      </c>
      <c r="G247" s="64">
        <v>729</v>
      </c>
      <c r="H247" s="64">
        <v>729</v>
      </c>
      <c r="I247" s="64">
        <v>729</v>
      </c>
      <c r="J247" s="64">
        <v>729</v>
      </c>
      <c r="K247" s="64">
        <v>729</v>
      </c>
    </row>
    <row r="248" spans="1:11" ht="15.75" customHeight="1">
      <c r="A248" s="62" t="s">
        <v>45</v>
      </c>
      <c r="B248" s="63" t="s">
        <v>48</v>
      </c>
      <c r="C248" s="62" t="s">
        <v>882</v>
      </c>
      <c r="D248" s="64">
        <v>659.7</v>
      </c>
      <c r="E248" s="64">
        <v>659.7</v>
      </c>
      <c r="F248" s="64">
        <v>659.7</v>
      </c>
      <c r="G248" s="64">
        <v>659.7</v>
      </c>
      <c r="H248" s="64">
        <v>659.7</v>
      </c>
      <c r="I248" s="64">
        <v>659.7</v>
      </c>
      <c r="J248" s="64">
        <v>659.7</v>
      </c>
      <c r="K248" s="64">
        <v>659.7</v>
      </c>
    </row>
    <row r="249" spans="1:11" ht="15.75" customHeight="1">
      <c r="A249" s="62" t="s">
        <v>83</v>
      </c>
      <c r="B249" s="63" t="s">
        <v>48</v>
      </c>
      <c r="C249" s="62" t="s">
        <v>883</v>
      </c>
      <c r="D249" s="64">
        <v>909</v>
      </c>
      <c r="E249" s="64">
        <v>909</v>
      </c>
      <c r="F249" s="64">
        <v>909</v>
      </c>
      <c r="G249" s="64">
        <v>909</v>
      </c>
      <c r="H249" s="64">
        <v>909</v>
      </c>
      <c r="I249" s="64">
        <v>909</v>
      </c>
      <c r="J249" s="64">
        <v>909</v>
      </c>
      <c r="K249" s="64">
        <v>909</v>
      </c>
    </row>
    <row r="250" spans="1:11" ht="15.75" customHeight="1">
      <c r="A250" s="62" t="s">
        <v>45</v>
      </c>
      <c r="B250" s="63" t="s">
        <v>48</v>
      </c>
      <c r="C250" s="62" t="s">
        <v>884</v>
      </c>
      <c r="D250" s="64">
        <v>659.7</v>
      </c>
      <c r="E250" s="64">
        <v>659.7</v>
      </c>
      <c r="F250" s="64">
        <v>659.7</v>
      </c>
      <c r="G250" s="64">
        <v>659.7</v>
      </c>
      <c r="H250" s="64">
        <v>659.7</v>
      </c>
      <c r="I250" s="64">
        <v>659.7</v>
      </c>
      <c r="J250" s="64">
        <v>659.7</v>
      </c>
      <c r="K250" s="64">
        <v>659.7</v>
      </c>
    </row>
    <row r="251" spans="1:11" ht="15.75" customHeight="1">
      <c r="A251" s="62" t="s">
        <v>91</v>
      </c>
      <c r="B251" s="63" t="s">
        <v>48</v>
      </c>
      <c r="C251" s="62" t="s">
        <v>885</v>
      </c>
      <c r="D251" s="64">
        <v>1789.2</v>
      </c>
      <c r="E251" s="64">
        <v>1789.2</v>
      </c>
      <c r="F251" s="64">
        <v>1789.2</v>
      </c>
      <c r="G251" s="64">
        <v>1789.2</v>
      </c>
      <c r="H251" s="64">
        <v>1789.2</v>
      </c>
      <c r="I251" s="64">
        <v>1789.2</v>
      </c>
      <c r="J251" s="64">
        <v>1789.2</v>
      </c>
      <c r="K251" s="64">
        <v>1789.2</v>
      </c>
    </row>
    <row r="252" spans="1:11" ht="15.75" customHeight="1">
      <c r="A252" s="62" t="s">
        <v>91</v>
      </c>
      <c r="B252" s="63" t="s">
        <v>48</v>
      </c>
      <c r="C252" s="62" t="s">
        <v>886</v>
      </c>
      <c r="D252" s="64">
        <v>4019.4</v>
      </c>
      <c r="E252" s="64">
        <v>4019.4</v>
      </c>
      <c r="F252" s="64">
        <v>4019.4</v>
      </c>
      <c r="G252" s="64">
        <v>4019.4</v>
      </c>
      <c r="H252" s="64">
        <v>4019.4</v>
      </c>
      <c r="I252" s="64">
        <v>4019.4</v>
      </c>
      <c r="J252" s="64">
        <v>4019.4</v>
      </c>
      <c r="K252" s="64">
        <v>4019.4</v>
      </c>
    </row>
    <row r="253" spans="1:11" ht="15.75" customHeight="1">
      <c r="A253" s="62" t="s">
        <v>45</v>
      </c>
      <c r="B253" s="63" t="s">
        <v>48</v>
      </c>
      <c r="C253" s="62" t="s">
        <v>887</v>
      </c>
      <c r="D253" s="64">
        <v>719.1</v>
      </c>
      <c r="E253" s="64">
        <v>719.1</v>
      </c>
      <c r="F253" s="64">
        <v>719.1</v>
      </c>
      <c r="G253" s="64">
        <v>719.1</v>
      </c>
      <c r="H253" s="64">
        <v>719.1</v>
      </c>
      <c r="I253" s="64">
        <v>719.1</v>
      </c>
      <c r="J253" s="64">
        <v>719.1</v>
      </c>
      <c r="K253" s="64">
        <v>719.1</v>
      </c>
    </row>
    <row r="254" spans="1:11" ht="15.75" customHeight="1">
      <c r="A254" s="62" t="s">
        <v>45</v>
      </c>
      <c r="B254" s="63" t="s">
        <v>48</v>
      </c>
      <c r="C254" s="62" t="s">
        <v>888</v>
      </c>
      <c r="D254" s="64">
        <v>719.1</v>
      </c>
      <c r="E254" s="64">
        <v>719.1</v>
      </c>
      <c r="F254" s="64">
        <v>719.1</v>
      </c>
      <c r="G254" s="64">
        <v>719.1</v>
      </c>
      <c r="H254" s="64">
        <v>719.1</v>
      </c>
      <c r="I254" s="64">
        <v>719.1</v>
      </c>
      <c r="J254" s="64">
        <v>719.1</v>
      </c>
      <c r="K254" s="64">
        <v>719.1</v>
      </c>
    </row>
    <row r="255" spans="1:11" ht="15.75" customHeight="1">
      <c r="A255" s="62" t="s">
        <v>45</v>
      </c>
      <c r="B255" s="63" t="s">
        <v>48</v>
      </c>
      <c r="C255" s="62" t="s">
        <v>889</v>
      </c>
      <c r="D255" s="64">
        <v>719.1</v>
      </c>
      <c r="E255" s="64">
        <v>719.1</v>
      </c>
      <c r="F255" s="64">
        <v>719.1</v>
      </c>
      <c r="G255" s="64">
        <v>719.1</v>
      </c>
      <c r="H255" s="64">
        <v>719.1</v>
      </c>
      <c r="I255" s="64">
        <v>719.1</v>
      </c>
      <c r="J255" s="64">
        <v>719.1</v>
      </c>
      <c r="K255" s="64">
        <v>719.1</v>
      </c>
    </row>
    <row r="256" spans="1:11" ht="15.75" customHeight="1">
      <c r="A256" s="62" t="s">
        <v>83</v>
      </c>
      <c r="B256" s="63" t="s">
        <v>48</v>
      </c>
      <c r="C256" s="62" t="s">
        <v>890</v>
      </c>
      <c r="D256" s="64">
        <v>1019.7</v>
      </c>
      <c r="E256" s="64">
        <v>1019.7</v>
      </c>
      <c r="F256" s="64">
        <v>1019.7</v>
      </c>
      <c r="G256" s="64">
        <v>1019.7</v>
      </c>
      <c r="H256" s="64">
        <v>1019.7</v>
      </c>
      <c r="I256" s="64">
        <v>1019.7</v>
      </c>
      <c r="J256" s="64">
        <v>1019.7</v>
      </c>
      <c r="K256" s="64">
        <v>1019.7</v>
      </c>
    </row>
    <row r="257" spans="1:11" ht="15.75" customHeight="1">
      <c r="A257" s="62" t="s">
        <v>45</v>
      </c>
      <c r="B257" s="63" t="s">
        <v>48</v>
      </c>
      <c r="C257" s="62" t="s">
        <v>891</v>
      </c>
      <c r="D257" s="64">
        <v>729</v>
      </c>
      <c r="E257" s="64">
        <v>729</v>
      </c>
      <c r="F257" s="64">
        <v>729</v>
      </c>
      <c r="G257" s="64">
        <v>729</v>
      </c>
      <c r="H257" s="64">
        <v>729</v>
      </c>
      <c r="I257" s="64">
        <v>729</v>
      </c>
      <c r="J257" s="64">
        <v>729</v>
      </c>
      <c r="K257" s="64">
        <v>729</v>
      </c>
    </row>
    <row r="258" spans="1:11" ht="15.75" customHeight="1">
      <c r="A258" s="62" t="s">
        <v>45</v>
      </c>
      <c r="B258" s="63" t="s">
        <v>48</v>
      </c>
      <c r="C258" s="62" t="s">
        <v>892</v>
      </c>
      <c r="D258" s="64">
        <v>769.5</v>
      </c>
      <c r="E258" s="64">
        <v>769.5</v>
      </c>
      <c r="F258" s="64">
        <v>769.5</v>
      </c>
      <c r="G258" s="64">
        <v>769.5</v>
      </c>
      <c r="H258" s="64">
        <v>769.5</v>
      </c>
      <c r="I258" s="64">
        <v>769.5</v>
      </c>
      <c r="J258" s="64">
        <v>769.5</v>
      </c>
      <c r="K258" s="64">
        <v>769.5</v>
      </c>
    </row>
    <row r="259" spans="1:11" ht="15.75" customHeight="1">
      <c r="A259" s="62" t="s">
        <v>83</v>
      </c>
      <c r="B259" s="63" t="s">
        <v>48</v>
      </c>
      <c r="C259" s="62" t="s">
        <v>893</v>
      </c>
      <c r="D259" s="64">
        <v>1299.6000000000001</v>
      </c>
      <c r="E259" s="64">
        <v>1299.6000000000001</v>
      </c>
      <c r="F259" s="64">
        <v>1299.6000000000001</v>
      </c>
      <c r="G259" s="64">
        <v>1299.6000000000001</v>
      </c>
      <c r="H259" s="64">
        <v>1299.6000000000001</v>
      </c>
      <c r="I259" s="64">
        <v>1299.6000000000001</v>
      </c>
      <c r="J259" s="64">
        <v>1299.6000000000001</v>
      </c>
      <c r="K259" s="64">
        <v>1299.6000000000001</v>
      </c>
    </row>
    <row r="260" spans="1:11" ht="15.75" customHeight="1">
      <c r="A260" s="62" t="s">
        <v>83</v>
      </c>
      <c r="B260" s="63" t="s">
        <v>48</v>
      </c>
      <c r="C260" s="62" t="s">
        <v>894</v>
      </c>
      <c r="D260" s="64">
        <v>929.7</v>
      </c>
      <c r="E260" s="64">
        <v>929.7</v>
      </c>
      <c r="F260" s="64">
        <v>929.7</v>
      </c>
      <c r="G260" s="64">
        <v>929.7</v>
      </c>
      <c r="H260" s="64">
        <v>929.7</v>
      </c>
      <c r="I260" s="64">
        <v>929.7</v>
      </c>
      <c r="J260" s="64">
        <v>929.7</v>
      </c>
      <c r="K260" s="64">
        <v>929.7</v>
      </c>
    </row>
    <row r="261" spans="1:11" ht="15.75" customHeight="1">
      <c r="A261" s="62" t="s">
        <v>45</v>
      </c>
      <c r="B261" s="63" t="s">
        <v>48</v>
      </c>
      <c r="C261" s="62" t="s">
        <v>896</v>
      </c>
      <c r="D261" s="64">
        <v>769.5</v>
      </c>
      <c r="E261" s="64">
        <v>769.5</v>
      </c>
      <c r="F261" s="64">
        <v>769.5</v>
      </c>
      <c r="G261" s="64">
        <v>769.5</v>
      </c>
      <c r="H261" s="64">
        <v>769.5</v>
      </c>
      <c r="I261" s="64">
        <v>769.5</v>
      </c>
      <c r="J261" s="64">
        <v>769.5</v>
      </c>
      <c r="K261" s="64">
        <v>769.5</v>
      </c>
    </row>
    <row r="262" spans="1:11" ht="15.75" customHeight="1">
      <c r="A262" s="62" t="s">
        <v>45</v>
      </c>
      <c r="B262" s="63" t="s">
        <v>1217</v>
      </c>
      <c r="C262" s="62" t="s">
        <v>898</v>
      </c>
      <c r="D262" s="64">
        <v>319.5</v>
      </c>
      <c r="E262" s="64">
        <v>319.5</v>
      </c>
      <c r="F262" s="64">
        <v>319.5</v>
      </c>
      <c r="G262" s="64">
        <v>319.5</v>
      </c>
      <c r="H262" s="64">
        <v>319.5</v>
      </c>
      <c r="I262" s="64">
        <v>319.5</v>
      </c>
      <c r="J262" s="64">
        <v>319.5</v>
      </c>
      <c r="K262" s="64">
        <v>319.5</v>
      </c>
    </row>
    <row r="263" spans="1:11" ht="15.75" customHeight="1">
      <c r="A263" s="62" t="s">
        <v>91</v>
      </c>
      <c r="B263" s="63" t="s">
        <v>48</v>
      </c>
      <c r="C263" s="62" t="s">
        <v>899</v>
      </c>
      <c r="D263" s="64">
        <v>4799.7</v>
      </c>
      <c r="E263" s="64">
        <v>4799.7</v>
      </c>
      <c r="F263" s="64">
        <v>4799.7</v>
      </c>
      <c r="G263" s="64">
        <v>4799.7</v>
      </c>
      <c r="H263" s="64">
        <v>4799.7</v>
      </c>
      <c r="I263" s="64">
        <v>4799.7</v>
      </c>
      <c r="J263" s="64">
        <v>4799.7</v>
      </c>
      <c r="K263" s="64">
        <v>4799.7</v>
      </c>
    </row>
    <row r="264" spans="1:11" ht="15.75" customHeight="1">
      <c r="A264" s="62" t="s">
        <v>66</v>
      </c>
      <c r="B264" s="63" t="s">
        <v>48</v>
      </c>
      <c r="C264" s="62" t="s">
        <v>909</v>
      </c>
      <c r="D264" s="64">
        <v>369</v>
      </c>
      <c r="E264" s="64">
        <v>369</v>
      </c>
      <c r="F264" s="64">
        <v>369</v>
      </c>
      <c r="G264" s="64">
        <v>369</v>
      </c>
      <c r="H264" s="64">
        <v>369</v>
      </c>
      <c r="I264" s="64">
        <v>369</v>
      </c>
      <c r="J264" s="64">
        <v>369</v>
      </c>
      <c r="K264" s="64">
        <v>369</v>
      </c>
    </row>
    <row r="265" spans="1:11" ht="15.75" customHeight="1">
      <c r="A265" s="62" t="s">
        <v>45</v>
      </c>
      <c r="B265" s="63" t="s">
        <v>48</v>
      </c>
      <c r="C265" s="62" t="s">
        <v>910</v>
      </c>
      <c r="D265" s="64">
        <v>699.30000000000007</v>
      </c>
      <c r="E265" s="64">
        <v>699.30000000000007</v>
      </c>
      <c r="F265" s="64">
        <v>699.30000000000007</v>
      </c>
      <c r="G265" s="64">
        <v>699.30000000000007</v>
      </c>
      <c r="H265" s="64">
        <v>699.30000000000007</v>
      </c>
      <c r="I265" s="64">
        <v>699.30000000000007</v>
      </c>
      <c r="J265" s="64">
        <v>699.30000000000007</v>
      </c>
      <c r="K265" s="64">
        <v>699.30000000000007</v>
      </c>
    </row>
    <row r="266" spans="1:11" ht="15.75" customHeight="1">
      <c r="A266" s="62" t="s">
        <v>91</v>
      </c>
      <c r="B266" s="63" t="s">
        <v>48</v>
      </c>
      <c r="C266" s="62" t="s">
        <v>913</v>
      </c>
      <c r="D266" s="64">
        <v>2199.6</v>
      </c>
      <c r="E266" s="64">
        <v>2199.6</v>
      </c>
      <c r="F266" s="64">
        <v>2199.6</v>
      </c>
      <c r="G266" s="64">
        <v>2199.6</v>
      </c>
      <c r="H266" s="64">
        <v>2199.6</v>
      </c>
      <c r="I266" s="64">
        <v>2199.6</v>
      </c>
      <c r="J266" s="64">
        <v>2199.6</v>
      </c>
      <c r="K266" s="64">
        <v>2199.6</v>
      </c>
    </row>
    <row r="267" spans="1:11" ht="15.75" customHeight="1">
      <c r="A267" s="62" t="s">
        <v>91</v>
      </c>
      <c r="B267" s="63" t="s">
        <v>48</v>
      </c>
      <c r="C267" s="62" t="s">
        <v>914</v>
      </c>
      <c r="D267" s="64">
        <v>2589.3000000000002</v>
      </c>
      <c r="E267" s="64">
        <v>2589.3000000000002</v>
      </c>
      <c r="F267" s="64">
        <v>2589.3000000000002</v>
      </c>
      <c r="G267" s="64">
        <v>2589.3000000000002</v>
      </c>
      <c r="H267" s="64">
        <v>2589.3000000000002</v>
      </c>
      <c r="I267" s="64">
        <v>2589.3000000000002</v>
      </c>
      <c r="J267" s="64">
        <v>2589.3000000000002</v>
      </c>
      <c r="K267" s="64">
        <v>2589.3000000000002</v>
      </c>
    </row>
    <row r="268" spans="1:11" ht="15.75" customHeight="1">
      <c r="A268" s="62" t="s">
        <v>91</v>
      </c>
      <c r="B268" s="63" t="s">
        <v>48</v>
      </c>
      <c r="C268" s="62" t="s">
        <v>915</v>
      </c>
      <c r="D268" s="64">
        <v>2229.3000000000002</v>
      </c>
      <c r="E268" s="64">
        <v>2229.3000000000002</v>
      </c>
      <c r="F268" s="64">
        <v>2229.3000000000002</v>
      </c>
      <c r="G268" s="64">
        <v>2229.3000000000002</v>
      </c>
      <c r="H268" s="64">
        <v>2229.3000000000002</v>
      </c>
      <c r="I268" s="64">
        <v>2229.3000000000002</v>
      </c>
      <c r="J268" s="64">
        <v>2229.3000000000002</v>
      </c>
      <c r="K268" s="64">
        <v>2229.3000000000002</v>
      </c>
    </row>
    <row r="269" spans="1:11" ht="15.75" customHeight="1">
      <c r="A269" s="62" t="s">
        <v>45</v>
      </c>
      <c r="B269" s="63" t="s">
        <v>48</v>
      </c>
      <c r="C269" s="62" t="s">
        <v>918</v>
      </c>
      <c r="D269" s="64">
        <v>799.2</v>
      </c>
      <c r="E269" s="64">
        <v>799.2</v>
      </c>
      <c r="F269" s="64">
        <v>799.2</v>
      </c>
      <c r="G269" s="64">
        <v>799.2</v>
      </c>
      <c r="H269" s="64">
        <v>799.2</v>
      </c>
      <c r="I269" s="64">
        <v>799.2</v>
      </c>
      <c r="J269" s="64">
        <v>799.2</v>
      </c>
      <c r="K269" s="64">
        <v>799.2</v>
      </c>
    </row>
    <row r="270" spans="1:11" ht="15.75" customHeight="1">
      <c r="A270" s="62" t="s">
        <v>91</v>
      </c>
      <c r="B270" s="63" t="s">
        <v>48</v>
      </c>
      <c r="C270" s="62" t="s">
        <v>919</v>
      </c>
      <c r="D270" s="64">
        <v>1909.8</v>
      </c>
      <c r="E270" s="64">
        <v>1909.8</v>
      </c>
      <c r="F270" s="64">
        <v>1909.8</v>
      </c>
      <c r="G270" s="64">
        <v>1909.8</v>
      </c>
      <c r="H270" s="64">
        <v>1909.8</v>
      </c>
      <c r="I270" s="64">
        <v>1909.8</v>
      </c>
      <c r="J270" s="64">
        <v>1909.8</v>
      </c>
      <c r="K270" s="64">
        <v>1909.8</v>
      </c>
    </row>
    <row r="271" spans="1:11" ht="15.75" customHeight="1">
      <c r="A271" s="62" t="s">
        <v>91</v>
      </c>
      <c r="B271" s="63" t="s">
        <v>48</v>
      </c>
      <c r="C271" s="62" t="s">
        <v>920</v>
      </c>
      <c r="D271" s="64">
        <v>2520.9</v>
      </c>
      <c r="E271" s="64">
        <v>2520.9</v>
      </c>
      <c r="F271" s="64">
        <v>2520.9</v>
      </c>
      <c r="G271" s="64">
        <v>2520.9</v>
      </c>
      <c r="H271" s="64">
        <v>2520.9</v>
      </c>
      <c r="I271" s="64">
        <v>2520.9</v>
      </c>
      <c r="J271" s="64">
        <v>2520.9</v>
      </c>
      <c r="K271" s="64">
        <v>2520.9</v>
      </c>
    </row>
    <row r="272" spans="1:11" ht="15.75" customHeight="1">
      <c r="A272" s="62" t="s">
        <v>91</v>
      </c>
      <c r="B272" s="63" t="s">
        <v>48</v>
      </c>
      <c r="C272" s="62" t="s">
        <v>921</v>
      </c>
      <c r="D272" s="64">
        <v>2412.9</v>
      </c>
      <c r="E272" s="64">
        <v>2412.9</v>
      </c>
      <c r="F272" s="64">
        <v>2412.9</v>
      </c>
      <c r="G272" s="64">
        <v>2412.9</v>
      </c>
      <c r="H272" s="64">
        <v>2412.9</v>
      </c>
      <c r="I272" s="64">
        <v>2412.9</v>
      </c>
      <c r="J272" s="64">
        <v>2412.9</v>
      </c>
      <c r="K272" s="64">
        <v>2412.9</v>
      </c>
    </row>
    <row r="273" spans="1:11" ht="15.75" customHeight="1">
      <c r="A273" s="62" t="s">
        <v>91</v>
      </c>
      <c r="B273" s="63" t="s">
        <v>48</v>
      </c>
      <c r="C273" s="62" t="s">
        <v>922</v>
      </c>
      <c r="D273" s="64">
        <v>3608.1</v>
      </c>
      <c r="E273" s="64">
        <v>3608.1</v>
      </c>
      <c r="F273" s="64">
        <v>3608.1</v>
      </c>
      <c r="G273" s="64">
        <v>3608.1</v>
      </c>
      <c r="H273" s="64">
        <v>3608.1</v>
      </c>
      <c r="I273" s="64">
        <v>3608.1</v>
      </c>
      <c r="J273" s="64">
        <v>3608.1</v>
      </c>
      <c r="K273" s="64">
        <v>3608.1</v>
      </c>
    </row>
    <row r="274" spans="1:11" ht="15.75" customHeight="1">
      <c r="A274" s="62" t="s">
        <v>66</v>
      </c>
      <c r="B274" s="63" t="s">
        <v>48</v>
      </c>
      <c r="C274" s="62" t="s">
        <v>410</v>
      </c>
      <c r="D274" s="64">
        <v>139.5</v>
      </c>
      <c r="E274" s="64">
        <v>139.5</v>
      </c>
      <c r="F274" s="64">
        <v>139.5</v>
      </c>
      <c r="G274" s="64">
        <v>139.5</v>
      </c>
      <c r="H274" s="64">
        <v>139.5</v>
      </c>
      <c r="I274" s="64">
        <v>139.5</v>
      </c>
      <c r="J274" s="64">
        <v>139.5</v>
      </c>
      <c r="K274" s="64">
        <v>139.5</v>
      </c>
    </row>
    <row r="275" spans="1:11" ht="15.75" customHeight="1">
      <c r="A275" s="62" t="s">
        <v>211</v>
      </c>
      <c r="B275" s="63" t="s">
        <v>48</v>
      </c>
      <c r="C275" s="62" t="s">
        <v>930</v>
      </c>
      <c r="D275" s="64">
        <v>299.7</v>
      </c>
      <c r="E275" s="64">
        <v>299.7</v>
      </c>
      <c r="F275" s="64">
        <v>299.7</v>
      </c>
      <c r="G275" s="64">
        <v>299.7</v>
      </c>
      <c r="H275" s="64">
        <v>299.7</v>
      </c>
      <c r="I275" s="64">
        <v>299.7</v>
      </c>
      <c r="J275" s="64">
        <v>299.7</v>
      </c>
      <c r="K275" s="64">
        <v>299.7</v>
      </c>
    </row>
    <row r="276" spans="1:11" ht="15.75" customHeight="1">
      <c r="A276" s="62" t="s">
        <v>45</v>
      </c>
      <c r="B276" s="63" t="s">
        <v>48</v>
      </c>
      <c r="C276" s="62" t="s">
        <v>932</v>
      </c>
      <c r="D276" s="64">
        <v>199.8</v>
      </c>
      <c r="E276" s="64">
        <v>199.8</v>
      </c>
      <c r="F276" s="64">
        <v>199.8</v>
      </c>
      <c r="G276" s="64">
        <v>199.8</v>
      </c>
      <c r="H276" s="64">
        <v>199.8</v>
      </c>
      <c r="I276" s="64">
        <v>199.8</v>
      </c>
      <c r="J276" s="64">
        <v>199.8</v>
      </c>
      <c r="K276" s="64">
        <v>199.8</v>
      </c>
    </row>
    <row r="277" spans="1:11" ht="15.75" customHeight="1">
      <c r="A277" s="62" t="s">
        <v>45</v>
      </c>
      <c r="B277" s="63" t="s">
        <v>1217</v>
      </c>
      <c r="C277" s="62" t="s">
        <v>934</v>
      </c>
      <c r="D277" s="64">
        <v>329.40000000000003</v>
      </c>
      <c r="E277" s="64">
        <v>329.40000000000003</v>
      </c>
      <c r="F277" s="64">
        <v>329.40000000000003</v>
      </c>
      <c r="G277" s="64">
        <v>329.40000000000003</v>
      </c>
      <c r="H277" s="64">
        <v>329.40000000000003</v>
      </c>
      <c r="I277" s="64">
        <v>329.40000000000003</v>
      </c>
      <c r="J277" s="64">
        <v>329.40000000000003</v>
      </c>
      <c r="K277" s="64">
        <v>329.40000000000003</v>
      </c>
    </row>
    <row r="278" spans="1:11" ht="15.75" customHeight="1">
      <c r="A278" s="62" t="s">
        <v>66</v>
      </c>
      <c r="B278" s="63" t="s">
        <v>48</v>
      </c>
      <c r="C278" s="62" t="s">
        <v>935</v>
      </c>
      <c r="D278" s="64">
        <v>399.6</v>
      </c>
      <c r="E278" s="64">
        <v>399.6</v>
      </c>
      <c r="F278" s="64">
        <v>399.6</v>
      </c>
      <c r="G278" s="64">
        <v>399.6</v>
      </c>
      <c r="H278" s="64">
        <v>399.6</v>
      </c>
      <c r="I278" s="64">
        <v>399.6</v>
      </c>
      <c r="J278" s="64">
        <v>399.6</v>
      </c>
      <c r="K278" s="64">
        <v>399.6</v>
      </c>
    </row>
    <row r="279" spans="1:11" ht="15.75" customHeight="1">
      <c r="A279" s="62" t="s">
        <v>45</v>
      </c>
      <c r="B279" s="63" t="s">
        <v>48</v>
      </c>
      <c r="C279" s="62" t="s">
        <v>940</v>
      </c>
      <c r="D279" s="64">
        <v>399.6</v>
      </c>
      <c r="E279" s="64">
        <v>399.6</v>
      </c>
      <c r="F279" s="64">
        <v>399.6</v>
      </c>
      <c r="G279" s="64">
        <v>399.6</v>
      </c>
      <c r="H279" s="64">
        <v>399.6</v>
      </c>
      <c r="I279" s="64">
        <v>399.6</v>
      </c>
      <c r="J279" s="64">
        <v>399.6</v>
      </c>
      <c r="K279" s="64">
        <v>399.6</v>
      </c>
    </row>
    <row r="280" spans="1:11" ht="15.75" customHeight="1">
      <c r="A280" s="62" t="s">
        <v>45</v>
      </c>
      <c r="B280" s="63" t="s">
        <v>48</v>
      </c>
      <c r="C280" s="62" t="s">
        <v>942</v>
      </c>
      <c r="D280" s="64">
        <v>559.80000000000007</v>
      </c>
      <c r="E280" s="64">
        <v>559.80000000000007</v>
      </c>
      <c r="F280" s="64">
        <v>559.80000000000007</v>
      </c>
      <c r="G280" s="64">
        <v>559.80000000000007</v>
      </c>
      <c r="H280" s="64">
        <v>559.80000000000007</v>
      </c>
      <c r="I280" s="64">
        <v>559.80000000000007</v>
      </c>
      <c r="J280" s="64">
        <v>559.80000000000007</v>
      </c>
      <c r="K280" s="64">
        <v>559.80000000000007</v>
      </c>
    </row>
    <row r="281" spans="1:11" ht="15.75" customHeight="1">
      <c r="A281" s="62" t="s">
        <v>91</v>
      </c>
      <c r="B281" s="63" t="s">
        <v>48</v>
      </c>
      <c r="C281" s="62" t="s">
        <v>943</v>
      </c>
      <c r="D281" s="64">
        <v>479.7</v>
      </c>
      <c r="E281" s="64">
        <v>479.7</v>
      </c>
      <c r="F281" s="64">
        <v>479.7</v>
      </c>
      <c r="G281" s="64">
        <v>479.7</v>
      </c>
      <c r="H281" s="64">
        <v>479.7</v>
      </c>
      <c r="I281" s="64">
        <v>479.7</v>
      </c>
      <c r="J281" s="64">
        <v>479.7</v>
      </c>
      <c r="K281" s="64">
        <v>479.7</v>
      </c>
    </row>
    <row r="282" spans="1:11" ht="15.75" customHeight="1">
      <c r="A282" s="62" t="s">
        <v>83</v>
      </c>
      <c r="B282" s="63" t="s">
        <v>1217</v>
      </c>
      <c r="C282" s="62" t="s">
        <v>945</v>
      </c>
      <c r="D282" s="64">
        <v>399.6</v>
      </c>
      <c r="E282" s="64">
        <v>399.6</v>
      </c>
      <c r="F282" s="64">
        <v>399.6</v>
      </c>
      <c r="G282" s="64">
        <v>399.6</v>
      </c>
      <c r="H282" s="64">
        <v>399.6</v>
      </c>
      <c r="I282" s="64">
        <v>399.6</v>
      </c>
      <c r="J282" s="64">
        <v>399.6</v>
      </c>
      <c r="K282" s="64">
        <v>399.6</v>
      </c>
    </row>
    <row r="283" spans="1:11" ht="15.75" customHeight="1">
      <c r="A283" s="62" t="s">
        <v>45</v>
      </c>
      <c r="B283" s="63" t="s">
        <v>48</v>
      </c>
      <c r="C283" s="62" t="s">
        <v>359</v>
      </c>
      <c r="D283" s="64">
        <v>399.6</v>
      </c>
      <c r="E283" s="64">
        <v>399.6</v>
      </c>
      <c r="F283" s="64">
        <v>399.6</v>
      </c>
      <c r="G283" s="64">
        <v>399.6</v>
      </c>
      <c r="H283" s="64">
        <v>399.6</v>
      </c>
      <c r="I283" s="64">
        <v>399.6</v>
      </c>
      <c r="J283" s="64">
        <v>399.6</v>
      </c>
      <c r="K283" s="64">
        <v>399.6</v>
      </c>
    </row>
    <row r="284" spans="1:11" ht="15.75" customHeight="1">
      <c r="A284" s="62" t="s">
        <v>45</v>
      </c>
      <c r="B284" s="63" t="s">
        <v>48</v>
      </c>
      <c r="C284" s="62" t="s">
        <v>947</v>
      </c>
      <c r="D284" s="64">
        <v>699.30000000000007</v>
      </c>
      <c r="E284" s="64">
        <v>699.30000000000007</v>
      </c>
      <c r="F284" s="64">
        <v>699.30000000000007</v>
      </c>
      <c r="G284" s="64">
        <v>699.30000000000007</v>
      </c>
      <c r="H284" s="64">
        <v>699.30000000000007</v>
      </c>
      <c r="I284" s="64">
        <v>699.30000000000007</v>
      </c>
      <c r="J284" s="64">
        <v>699.30000000000007</v>
      </c>
      <c r="K284" s="64">
        <v>699.30000000000007</v>
      </c>
    </row>
    <row r="285" spans="1:11" ht="15.75" customHeight="1">
      <c r="A285" s="62" t="s">
        <v>45</v>
      </c>
      <c r="B285" s="63" t="s">
        <v>48</v>
      </c>
      <c r="C285" s="62" t="s">
        <v>948</v>
      </c>
      <c r="D285" s="64">
        <v>439.2</v>
      </c>
      <c r="E285" s="64">
        <v>439.2</v>
      </c>
      <c r="F285" s="64">
        <v>439.2</v>
      </c>
      <c r="G285" s="64">
        <v>439.2</v>
      </c>
      <c r="H285" s="64">
        <v>439.2</v>
      </c>
      <c r="I285" s="64">
        <v>439.2</v>
      </c>
      <c r="J285" s="64">
        <v>439.2</v>
      </c>
      <c r="K285" s="64">
        <v>439.2</v>
      </c>
    </row>
    <row r="286" spans="1:11" ht="15.75" customHeight="1">
      <c r="A286" s="62" t="s">
        <v>45</v>
      </c>
      <c r="B286" s="63" t="s">
        <v>48</v>
      </c>
      <c r="C286" s="62" t="s">
        <v>950</v>
      </c>
      <c r="D286" s="64">
        <v>489.6</v>
      </c>
      <c r="E286" s="64">
        <v>489.6</v>
      </c>
      <c r="F286" s="64">
        <v>489.6</v>
      </c>
      <c r="G286" s="64">
        <v>489.6</v>
      </c>
      <c r="H286" s="64">
        <v>489.6</v>
      </c>
      <c r="I286" s="64">
        <v>489.6</v>
      </c>
      <c r="J286" s="64">
        <v>489.6</v>
      </c>
      <c r="K286" s="64">
        <v>489.6</v>
      </c>
    </row>
    <row r="287" spans="1:11" ht="15.75" customHeight="1">
      <c r="A287" s="62" t="s">
        <v>91</v>
      </c>
      <c r="B287" s="63" t="s">
        <v>48</v>
      </c>
      <c r="C287" s="62" t="s">
        <v>951</v>
      </c>
      <c r="D287" s="64">
        <v>679.5</v>
      </c>
      <c r="E287" s="64">
        <v>679.5</v>
      </c>
      <c r="F287" s="64">
        <v>679.5</v>
      </c>
      <c r="G287" s="64">
        <v>679.5</v>
      </c>
      <c r="H287" s="64">
        <v>679.5</v>
      </c>
      <c r="I287" s="64">
        <v>679.5</v>
      </c>
      <c r="J287" s="64">
        <v>679.5</v>
      </c>
      <c r="K287" s="64">
        <v>679.5</v>
      </c>
    </row>
    <row r="288" spans="1:11" ht="15.75" customHeight="1">
      <c r="A288" s="62" t="s">
        <v>45</v>
      </c>
      <c r="B288" s="63" t="s">
        <v>48</v>
      </c>
      <c r="C288" s="62" t="s">
        <v>954</v>
      </c>
      <c r="D288" s="64">
        <v>899.1</v>
      </c>
      <c r="E288" s="64">
        <v>899.1</v>
      </c>
      <c r="F288" s="64">
        <v>899.1</v>
      </c>
      <c r="G288" s="64">
        <v>899.1</v>
      </c>
      <c r="H288" s="64">
        <v>899.1</v>
      </c>
      <c r="I288" s="64">
        <v>899.1</v>
      </c>
      <c r="J288" s="64">
        <v>899.1</v>
      </c>
      <c r="K288" s="64">
        <v>899.1</v>
      </c>
    </row>
    <row r="289" spans="1:11" ht="15.75" customHeight="1">
      <c r="A289" s="62" t="s">
        <v>83</v>
      </c>
      <c r="B289" s="63" t="s">
        <v>48</v>
      </c>
      <c r="C289" s="62" t="s">
        <v>956</v>
      </c>
      <c r="D289" s="64">
        <v>869.4</v>
      </c>
      <c r="E289" s="64">
        <v>869.4</v>
      </c>
      <c r="F289" s="64">
        <v>869.4</v>
      </c>
      <c r="G289" s="64">
        <v>869.4</v>
      </c>
      <c r="H289" s="64">
        <v>869.4</v>
      </c>
      <c r="I289" s="64">
        <v>869.4</v>
      </c>
      <c r="J289" s="64">
        <v>869.4</v>
      </c>
      <c r="K289" s="64">
        <v>869.4</v>
      </c>
    </row>
    <row r="290" spans="1:11" ht="15.75" customHeight="1">
      <c r="A290" s="62" t="s">
        <v>83</v>
      </c>
      <c r="B290" s="63" t="s">
        <v>48</v>
      </c>
      <c r="C290" s="62" t="s">
        <v>958</v>
      </c>
      <c r="D290" s="64">
        <v>749.7</v>
      </c>
      <c r="E290" s="64">
        <v>749.7</v>
      </c>
      <c r="F290" s="64">
        <v>749.7</v>
      </c>
      <c r="G290" s="64">
        <v>749.7</v>
      </c>
      <c r="H290" s="64">
        <v>749.7</v>
      </c>
      <c r="I290" s="64">
        <v>749.7</v>
      </c>
      <c r="J290" s="64">
        <v>749.7</v>
      </c>
      <c r="K290" s="64">
        <v>749.7</v>
      </c>
    </row>
    <row r="291" spans="1:11" ht="15.75" customHeight="1">
      <c r="A291" s="62" t="s">
        <v>83</v>
      </c>
      <c r="B291" s="63" t="s">
        <v>48</v>
      </c>
      <c r="C291" s="62" t="s">
        <v>962</v>
      </c>
      <c r="D291" s="64">
        <v>1309.5</v>
      </c>
      <c r="E291" s="64">
        <v>1309.5</v>
      </c>
      <c r="F291" s="64">
        <v>1309.5</v>
      </c>
      <c r="G291" s="64">
        <v>1309.5</v>
      </c>
      <c r="H291" s="64">
        <v>1309.5</v>
      </c>
      <c r="I291" s="64">
        <v>1309.5</v>
      </c>
      <c r="J291" s="64">
        <v>1309.5</v>
      </c>
      <c r="K291" s="64">
        <v>1309.5</v>
      </c>
    </row>
    <row r="292" spans="1:11" ht="15.75" customHeight="1">
      <c r="A292" s="62" t="s">
        <v>835</v>
      </c>
      <c r="B292" s="63" t="s">
        <v>48</v>
      </c>
      <c r="C292" s="62" t="s">
        <v>966</v>
      </c>
      <c r="D292" s="64">
        <v>1969.2</v>
      </c>
      <c r="E292" s="64">
        <v>1969.2</v>
      </c>
      <c r="F292" s="64">
        <v>1969.2</v>
      </c>
      <c r="G292" s="64">
        <v>1969.2</v>
      </c>
      <c r="H292" s="64">
        <v>1969.2</v>
      </c>
      <c r="I292" s="64">
        <v>1969.2</v>
      </c>
      <c r="J292" s="64">
        <v>1969.2</v>
      </c>
      <c r="K292" s="64">
        <v>1969.2</v>
      </c>
    </row>
    <row r="293" spans="1:11" ht="15.75" customHeight="1">
      <c r="A293" s="62" t="s">
        <v>91</v>
      </c>
      <c r="B293" s="63" t="s">
        <v>48</v>
      </c>
      <c r="C293" s="62" t="s">
        <v>968</v>
      </c>
      <c r="D293" s="64">
        <v>2269.8000000000002</v>
      </c>
      <c r="E293" s="64">
        <v>2269.8000000000002</v>
      </c>
      <c r="F293" s="64">
        <v>2269.8000000000002</v>
      </c>
      <c r="G293" s="64">
        <v>2269.8000000000002</v>
      </c>
      <c r="H293" s="64">
        <v>2269.8000000000002</v>
      </c>
      <c r="I293" s="64">
        <v>2269.8000000000002</v>
      </c>
      <c r="J293" s="64">
        <v>2269.8000000000002</v>
      </c>
      <c r="K293" s="64">
        <v>2269.8000000000002</v>
      </c>
    </row>
    <row r="294" spans="1:11" ht="15.75" customHeight="1">
      <c r="A294" s="62" t="s">
        <v>91</v>
      </c>
      <c r="B294" s="63" t="s">
        <v>48</v>
      </c>
      <c r="C294" s="62" t="s">
        <v>969</v>
      </c>
      <c r="D294" s="64">
        <v>2259</v>
      </c>
      <c r="E294" s="64">
        <v>2259</v>
      </c>
      <c r="F294" s="64">
        <v>2259</v>
      </c>
      <c r="G294" s="64">
        <v>2259</v>
      </c>
      <c r="H294" s="64">
        <v>2259</v>
      </c>
      <c r="I294" s="64">
        <v>2259</v>
      </c>
      <c r="J294" s="64">
        <v>2259</v>
      </c>
      <c r="K294" s="64">
        <v>2259</v>
      </c>
    </row>
    <row r="295" spans="1:11" ht="15.75" customHeight="1">
      <c r="A295" s="62" t="s">
        <v>91</v>
      </c>
      <c r="B295" s="63" t="s">
        <v>1217</v>
      </c>
      <c r="C295" s="62" t="s">
        <v>973</v>
      </c>
      <c r="D295" s="64">
        <v>2559.6</v>
      </c>
      <c r="E295" s="64">
        <v>2559.6</v>
      </c>
      <c r="F295" s="64">
        <v>2559.6</v>
      </c>
      <c r="G295" s="64">
        <v>2559.6</v>
      </c>
      <c r="H295" s="64">
        <v>2559.6</v>
      </c>
      <c r="I295" s="64">
        <v>2559.6</v>
      </c>
      <c r="J295" s="64">
        <v>2559.6</v>
      </c>
      <c r="K295" s="64">
        <v>2559.6</v>
      </c>
    </row>
    <row r="296" spans="1:11" ht="15.75" customHeight="1">
      <c r="A296" s="62" t="s">
        <v>91</v>
      </c>
      <c r="B296" s="63" t="s">
        <v>48</v>
      </c>
      <c r="C296" s="62" t="s">
        <v>976</v>
      </c>
      <c r="D296" s="64">
        <v>2759.4</v>
      </c>
      <c r="E296" s="64">
        <v>2759.4</v>
      </c>
      <c r="F296" s="64">
        <v>2759.4</v>
      </c>
      <c r="G296" s="64">
        <v>2759.4</v>
      </c>
      <c r="H296" s="64">
        <v>2759.4</v>
      </c>
      <c r="I296" s="64">
        <v>2759.4</v>
      </c>
      <c r="J296" s="64">
        <v>2759.4</v>
      </c>
      <c r="K296" s="64">
        <v>2759.4</v>
      </c>
    </row>
    <row r="297" spans="1:11" ht="15.75" customHeight="1">
      <c r="A297" s="62" t="s">
        <v>45</v>
      </c>
      <c r="B297" s="63" t="s">
        <v>48</v>
      </c>
      <c r="C297" s="62" t="s">
        <v>978</v>
      </c>
      <c r="D297" s="64">
        <v>619.20000000000005</v>
      </c>
      <c r="E297" s="64">
        <v>619.20000000000005</v>
      </c>
      <c r="F297" s="64">
        <v>619.20000000000005</v>
      </c>
      <c r="G297" s="64">
        <v>619.20000000000005</v>
      </c>
      <c r="H297" s="64">
        <v>619.20000000000005</v>
      </c>
      <c r="I297" s="64">
        <v>619.20000000000005</v>
      </c>
      <c r="J297" s="64">
        <v>619.20000000000005</v>
      </c>
      <c r="K297" s="64">
        <v>619.20000000000005</v>
      </c>
    </row>
    <row r="298" spans="1:11" ht="15.75" customHeight="1">
      <c r="A298" s="62" t="s">
        <v>83</v>
      </c>
      <c r="B298" s="63" t="s">
        <v>48</v>
      </c>
      <c r="C298" s="62" t="s">
        <v>979</v>
      </c>
      <c r="D298" s="64">
        <v>1299.6000000000001</v>
      </c>
      <c r="E298" s="64">
        <v>1299.6000000000001</v>
      </c>
      <c r="F298" s="64">
        <v>1299.6000000000001</v>
      </c>
      <c r="G298" s="64">
        <v>1299.6000000000001</v>
      </c>
      <c r="H298" s="64">
        <v>1299.6000000000001</v>
      </c>
      <c r="I298" s="64">
        <v>1299.6000000000001</v>
      </c>
      <c r="J298" s="64">
        <v>1299.6000000000001</v>
      </c>
      <c r="K298" s="64">
        <v>1299.6000000000001</v>
      </c>
    </row>
    <row r="299" spans="1:11" ht="15.75" customHeight="1">
      <c r="A299" s="62" t="s">
        <v>45</v>
      </c>
      <c r="B299" s="63" t="s">
        <v>1217</v>
      </c>
      <c r="C299" s="62" t="s">
        <v>980</v>
      </c>
      <c r="D299" s="64">
        <v>129.6</v>
      </c>
      <c r="E299" s="64">
        <v>129.6</v>
      </c>
      <c r="F299" s="64">
        <v>129.6</v>
      </c>
      <c r="G299" s="64">
        <v>129.6</v>
      </c>
      <c r="H299" s="64">
        <v>129.6</v>
      </c>
      <c r="I299" s="64">
        <v>129.6</v>
      </c>
      <c r="J299" s="64">
        <v>129.6</v>
      </c>
      <c r="K299" s="64">
        <v>129.6</v>
      </c>
    </row>
    <row r="300" spans="1:11" ht="15.75" customHeight="1">
      <c r="A300" s="62" t="s">
        <v>45</v>
      </c>
      <c r="B300" s="63" t="s">
        <v>48</v>
      </c>
      <c r="C300" s="62" t="s">
        <v>480</v>
      </c>
      <c r="D300" s="64">
        <v>309.60000000000002</v>
      </c>
      <c r="E300" s="64">
        <v>309.60000000000002</v>
      </c>
      <c r="F300" s="64">
        <v>309.60000000000002</v>
      </c>
      <c r="G300" s="64">
        <v>309.60000000000002</v>
      </c>
      <c r="H300" s="64">
        <v>309.60000000000002</v>
      </c>
      <c r="I300" s="64">
        <v>309.60000000000002</v>
      </c>
      <c r="J300" s="64">
        <v>309.60000000000002</v>
      </c>
      <c r="K300" s="64">
        <v>309.60000000000002</v>
      </c>
    </row>
    <row r="301" spans="1:11" ht="15.75" customHeight="1">
      <c r="A301" s="62" t="s">
        <v>211</v>
      </c>
      <c r="B301" s="63" t="s">
        <v>48</v>
      </c>
      <c r="C301" s="62" t="s">
        <v>992</v>
      </c>
      <c r="D301" s="64">
        <v>699.30000000000007</v>
      </c>
      <c r="E301" s="64">
        <v>699.30000000000007</v>
      </c>
      <c r="F301" s="64">
        <v>699.30000000000007</v>
      </c>
      <c r="G301" s="64">
        <v>699.30000000000007</v>
      </c>
      <c r="H301" s="64">
        <v>699.30000000000007</v>
      </c>
      <c r="I301" s="64">
        <v>699.30000000000007</v>
      </c>
      <c r="J301" s="64">
        <v>699.30000000000007</v>
      </c>
      <c r="K301" s="64">
        <v>699.30000000000007</v>
      </c>
    </row>
    <row r="302" spans="1:11" ht="15.75" customHeight="1">
      <c r="A302" s="62" t="s">
        <v>211</v>
      </c>
      <c r="B302" s="63" t="s">
        <v>48</v>
      </c>
      <c r="C302" s="62" t="s">
        <v>404</v>
      </c>
      <c r="D302" s="64">
        <v>79.2</v>
      </c>
      <c r="E302" s="64">
        <v>79.2</v>
      </c>
      <c r="F302" s="64">
        <v>79.2</v>
      </c>
      <c r="G302" s="64">
        <v>79.2</v>
      </c>
      <c r="H302" s="64">
        <v>79.2</v>
      </c>
      <c r="I302" s="64">
        <v>79.2</v>
      </c>
      <c r="J302" s="64">
        <v>79.2</v>
      </c>
      <c r="K302" s="64">
        <v>79.2</v>
      </c>
    </row>
    <row r="303" spans="1:11" ht="15.75" customHeight="1">
      <c r="A303" s="62" t="s">
        <v>66</v>
      </c>
      <c r="B303" s="63" t="s">
        <v>48</v>
      </c>
      <c r="C303" s="62" t="s">
        <v>993</v>
      </c>
      <c r="D303" s="64">
        <v>119.7</v>
      </c>
      <c r="E303" s="64">
        <v>119.7</v>
      </c>
      <c r="F303" s="64">
        <v>119.7</v>
      </c>
      <c r="G303" s="64">
        <v>119.7</v>
      </c>
      <c r="H303" s="64">
        <v>119.7</v>
      </c>
      <c r="I303" s="64">
        <v>119.7</v>
      </c>
      <c r="J303" s="64">
        <v>119.7</v>
      </c>
      <c r="K303" s="64">
        <v>119.7</v>
      </c>
    </row>
    <row r="304" spans="1:11" ht="15.75" customHeight="1">
      <c r="A304" s="62" t="s">
        <v>45</v>
      </c>
      <c r="B304" s="63" t="s">
        <v>1217</v>
      </c>
      <c r="C304" s="62" t="s">
        <v>994</v>
      </c>
      <c r="D304" s="64">
        <v>209.70000000000002</v>
      </c>
      <c r="E304" s="64">
        <v>209.70000000000002</v>
      </c>
      <c r="F304" s="64">
        <v>209.70000000000002</v>
      </c>
      <c r="G304" s="64">
        <v>209.70000000000002</v>
      </c>
      <c r="H304" s="64">
        <v>209.70000000000002</v>
      </c>
      <c r="I304" s="64">
        <v>209.70000000000002</v>
      </c>
      <c r="J304" s="64">
        <v>209.70000000000002</v>
      </c>
      <c r="K304" s="64">
        <v>209.70000000000002</v>
      </c>
    </row>
    <row r="305" spans="1:11" ht="15.75" customHeight="1">
      <c r="A305" s="62" t="s">
        <v>83</v>
      </c>
      <c r="B305" s="63" t="s">
        <v>48</v>
      </c>
      <c r="C305" s="62" t="s">
        <v>996</v>
      </c>
      <c r="D305" s="64">
        <v>719.1</v>
      </c>
      <c r="E305" s="64">
        <v>719.1</v>
      </c>
      <c r="F305" s="64">
        <v>719.1</v>
      </c>
      <c r="G305" s="64">
        <v>719.1</v>
      </c>
      <c r="H305" s="64">
        <v>719.1</v>
      </c>
      <c r="I305" s="64">
        <v>719.1</v>
      </c>
      <c r="J305" s="64">
        <v>719.1</v>
      </c>
      <c r="K305" s="64">
        <v>719.1</v>
      </c>
    </row>
    <row r="306" spans="1:11" ht="15.75" customHeight="1">
      <c r="A306" s="62" t="s">
        <v>83</v>
      </c>
      <c r="B306" s="63" t="s">
        <v>48</v>
      </c>
      <c r="C306" s="62" t="s">
        <v>365</v>
      </c>
      <c r="D306" s="64">
        <v>859.5</v>
      </c>
      <c r="E306" s="64">
        <v>859.5</v>
      </c>
      <c r="F306" s="64">
        <v>859.5</v>
      </c>
      <c r="G306" s="64">
        <v>859.5</v>
      </c>
      <c r="H306" s="64">
        <v>859.5</v>
      </c>
      <c r="I306" s="64">
        <v>859.5</v>
      </c>
      <c r="J306" s="64">
        <v>859.5</v>
      </c>
      <c r="K306" s="64">
        <v>859.5</v>
      </c>
    </row>
    <row r="307" spans="1:11" ht="15.75" customHeight="1">
      <c r="A307" s="62" t="s">
        <v>83</v>
      </c>
      <c r="B307" s="63" t="s">
        <v>1217</v>
      </c>
      <c r="C307" s="62" t="s">
        <v>997</v>
      </c>
      <c r="D307" s="64">
        <v>439.2</v>
      </c>
      <c r="E307" s="64">
        <v>439.2</v>
      </c>
      <c r="F307" s="64">
        <v>439.2</v>
      </c>
      <c r="G307" s="64">
        <v>439.2</v>
      </c>
      <c r="H307" s="64">
        <v>439.2</v>
      </c>
      <c r="I307" s="64">
        <v>439.2</v>
      </c>
      <c r="J307" s="64">
        <v>439.2</v>
      </c>
      <c r="K307" s="64">
        <v>439.2</v>
      </c>
    </row>
    <row r="308" spans="1:11" ht="15.75" customHeight="1">
      <c r="A308" s="62" t="s">
        <v>91</v>
      </c>
      <c r="B308" s="63" t="s">
        <v>48</v>
      </c>
      <c r="C308" s="62" t="s">
        <v>998</v>
      </c>
      <c r="D308" s="64">
        <v>1729.8</v>
      </c>
      <c r="E308" s="64">
        <v>1729.8</v>
      </c>
      <c r="F308" s="64">
        <v>1729.8</v>
      </c>
      <c r="G308" s="64">
        <v>1729.8</v>
      </c>
      <c r="H308" s="64">
        <v>1729.8</v>
      </c>
      <c r="I308" s="64">
        <v>1729.8</v>
      </c>
      <c r="J308" s="64">
        <v>1729.8</v>
      </c>
      <c r="K308" s="64">
        <v>1729.8</v>
      </c>
    </row>
    <row r="309" spans="1:11" ht="15.75" customHeight="1">
      <c r="A309" s="62" t="s">
        <v>91</v>
      </c>
      <c r="B309" s="63" t="s">
        <v>48</v>
      </c>
      <c r="C309" s="62" t="s">
        <v>999</v>
      </c>
      <c r="D309" s="64">
        <v>2599.2000000000003</v>
      </c>
      <c r="E309" s="64">
        <v>2599.2000000000003</v>
      </c>
      <c r="F309" s="64">
        <v>2599.2000000000003</v>
      </c>
      <c r="G309" s="64">
        <v>2599.2000000000003</v>
      </c>
      <c r="H309" s="64">
        <v>2599.2000000000003</v>
      </c>
      <c r="I309" s="64">
        <v>2599.2000000000003</v>
      </c>
      <c r="J309" s="64">
        <v>2599.2000000000003</v>
      </c>
      <c r="K309" s="64">
        <v>2599.2000000000003</v>
      </c>
    </row>
    <row r="310" spans="1:11" ht="15.75" customHeight="1">
      <c r="A310" s="62" t="s">
        <v>91</v>
      </c>
      <c r="B310" s="63" t="s">
        <v>48</v>
      </c>
      <c r="C310" s="62" t="s">
        <v>1003</v>
      </c>
      <c r="D310" s="64">
        <v>3599.1</v>
      </c>
      <c r="E310" s="64">
        <v>3599.1</v>
      </c>
      <c r="F310" s="64">
        <v>3599.1</v>
      </c>
      <c r="G310" s="64">
        <v>3599.1</v>
      </c>
      <c r="H310" s="64">
        <v>3599.1</v>
      </c>
      <c r="I310" s="64">
        <v>3599.1</v>
      </c>
      <c r="J310" s="64">
        <v>3599.1</v>
      </c>
      <c r="K310" s="64">
        <v>3599.1</v>
      </c>
    </row>
    <row r="311" spans="1:11" ht="15.75" customHeight="1">
      <c r="A311" s="62" t="s">
        <v>45</v>
      </c>
      <c r="B311" s="63" t="s">
        <v>48</v>
      </c>
      <c r="C311" s="62" t="s">
        <v>1005</v>
      </c>
      <c r="D311" s="64">
        <v>249.3</v>
      </c>
      <c r="E311" s="64">
        <v>249.3</v>
      </c>
      <c r="F311" s="64">
        <v>249.3</v>
      </c>
      <c r="G311" s="64">
        <v>249.3</v>
      </c>
      <c r="H311" s="64">
        <v>249.3</v>
      </c>
      <c r="I311" s="64">
        <v>249.3</v>
      </c>
      <c r="J311" s="64">
        <v>249.3</v>
      </c>
      <c r="K311" s="64">
        <v>249.3</v>
      </c>
    </row>
    <row r="312" spans="1:11" ht="15.75" customHeight="1">
      <c r="A312" s="62" t="s">
        <v>45</v>
      </c>
      <c r="B312" s="63" t="s">
        <v>48</v>
      </c>
      <c r="C312" s="62" t="s">
        <v>183</v>
      </c>
      <c r="D312" s="64">
        <v>189</v>
      </c>
      <c r="E312" s="64">
        <v>189</v>
      </c>
      <c r="F312" s="64">
        <v>189</v>
      </c>
      <c r="G312" s="64">
        <v>189</v>
      </c>
      <c r="H312" s="64">
        <v>189</v>
      </c>
      <c r="I312" s="64">
        <v>189</v>
      </c>
      <c r="J312" s="64">
        <v>189</v>
      </c>
      <c r="K312" s="64">
        <v>189</v>
      </c>
    </row>
    <row r="313" spans="1:11" ht="15.75" customHeight="1">
      <c r="A313" s="62" t="s">
        <v>1013</v>
      </c>
      <c r="B313" s="63" t="s">
        <v>941</v>
      </c>
      <c r="C313" s="62" t="s">
        <v>1007</v>
      </c>
      <c r="D313" s="64">
        <v>1749.6000000000001</v>
      </c>
      <c r="E313" s="64">
        <v>1749.6000000000001</v>
      </c>
      <c r="F313" s="64">
        <v>1749.6000000000001</v>
      </c>
      <c r="G313" s="64">
        <v>1749.6000000000001</v>
      </c>
      <c r="H313" s="64">
        <v>1749.6000000000001</v>
      </c>
      <c r="I313" s="64">
        <v>1749.6000000000001</v>
      </c>
      <c r="J313" s="64">
        <v>1749.6000000000001</v>
      </c>
      <c r="K313" s="64">
        <v>1749.6000000000001</v>
      </c>
    </row>
    <row r="314" spans="1:11" ht="15.75" customHeight="1">
      <c r="A314" s="62" t="s">
        <v>1013</v>
      </c>
      <c r="B314" s="63" t="s">
        <v>941</v>
      </c>
      <c r="C314" s="62" t="s">
        <v>1008</v>
      </c>
      <c r="D314" s="64">
        <v>2959.2000000000003</v>
      </c>
      <c r="E314" s="64">
        <v>2959.2000000000003</v>
      </c>
      <c r="F314" s="64">
        <v>2959.2000000000003</v>
      </c>
      <c r="G314" s="64">
        <v>2959.2000000000003</v>
      </c>
      <c r="H314" s="64">
        <v>2959.2000000000003</v>
      </c>
      <c r="I314" s="64">
        <v>2959.2000000000003</v>
      </c>
      <c r="J314" s="64">
        <v>2959.2000000000003</v>
      </c>
      <c r="K314" s="64">
        <v>2959.2000000000003</v>
      </c>
    </row>
    <row r="315" spans="1:11" ht="15.75" customHeight="1">
      <c r="A315" s="62" t="s">
        <v>1013</v>
      </c>
      <c r="B315" s="63" t="s">
        <v>941</v>
      </c>
      <c r="C315" s="62" t="s">
        <v>1009</v>
      </c>
      <c r="D315" s="64">
        <v>1989</v>
      </c>
      <c r="E315" s="64">
        <v>1989</v>
      </c>
      <c r="F315" s="64">
        <v>1989</v>
      </c>
      <c r="G315" s="64">
        <v>1989</v>
      </c>
      <c r="H315" s="64">
        <v>1989</v>
      </c>
      <c r="I315" s="64">
        <v>1989</v>
      </c>
      <c r="J315" s="64">
        <v>1989</v>
      </c>
      <c r="K315" s="64">
        <v>1989</v>
      </c>
    </row>
    <row r="316" spans="1:11" ht="15.75" customHeight="1">
      <c r="A316" s="62" t="s">
        <v>1013</v>
      </c>
      <c r="B316" s="63" t="s">
        <v>941</v>
      </c>
      <c r="C316" s="62" t="s">
        <v>1010</v>
      </c>
      <c r="D316" s="64">
        <v>2799</v>
      </c>
      <c r="E316" s="64">
        <v>2799</v>
      </c>
      <c r="F316" s="64">
        <v>2799</v>
      </c>
      <c r="G316" s="64">
        <v>2799</v>
      </c>
      <c r="H316" s="64">
        <v>2799</v>
      </c>
      <c r="I316" s="64">
        <v>2799</v>
      </c>
      <c r="J316" s="64">
        <v>2799</v>
      </c>
      <c r="K316" s="64">
        <v>2799</v>
      </c>
    </row>
    <row r="317" spans="1:11" ht="15.75" customHeight="1">
      <c r="A317" s="62" t="s">
        <v>1013</v>
      </c>
      <c r="B317" s="63" t="s">
        <v>941</v>
      </c>
      <c r="C317" s="62" t="s">
        <v>1011</v>
      </c>
      <c r="D317" s="64">
        <v>2749.5</v>
      </c>
      <c r="E317" s="64">
        <v>2749.5</v>
      </c>
      <c r="F317" s="64">
        <v>2749.5</v>
      </c>
      <c r="G317" s="64">
        <v>2749.5</v>
      </c>
      <c r="H317" s="64">
        <v>2749.5</v>
      </c>
      <c r="I317" s="64">
        <v>2749.5</v>
      </c>
      <c r="J317" s="64">
        <v>2749.5</v>
      </c>
      <c r="K317" s="64">
        <v>2749.5</v>
      </c>
    </row>
    <row r="318" spans="1:11" ht="15.75" customHeight="1">
      <c r="A318" s="62" t="s">
        <v>1013</v>
      </c>
      <c r="B318" s="63" t="s">
        <v>941</v>
      </c>
      <c r="C318" s="62" t="s">
        <v>1012</v>
      </c>
      <c r="D318" s="64">
        <v>1689.3</v>
      </c>
      <c r="E318" s="64">
        <v>1689.3</v>
      </c>
      <c r="F318" s="64">
        <v>1689.3</v>
      </c>
      <c r="G318" s="64">
        <v>1689.3</v>
      </c>
      <c r="H318" s="64">
        <v>1689.3</v>
      </c>
      <c r="I318" s="64">
        <v>1689.3</v>
      </c>
      <c r="J318" s="64">
        <v>1689.3</v>
      </c>
      <c r="K318" s="64">
        <v>1689.3</v>
      </c>
    </row>
    <row r="319" spans="1:11" ht="15.75" customHeight="1">
      <c r="A319" s="62" t="s">
        <v>91</v>
      </c>
      <c r="B319" s="63" t="s">
        <v>48</v>
      </c>
      <c r="C319" s="62" t="s">
        <v>1002</v>
      </c>
      <c r="D319" s="64">
        <v>2999.7000000000003</v>
      </c>
      <c r="E319" s="64">
        <v>2999.7000000000003</v>
      </c>
      <c r="F319" s="64">
        <v>2999.7000000000003</v>
      </c>
      <c r="G319" s="64">
        <v>2999.7000000000003</v>
      </c>
      <c r="H319" s="64">
        <v>2999.7000000000003</v>
      </c>
      <c r="I319" s="64">
        <v>2999.7000000000003</v>
      </c>
      <c r="J319" s="64">
        <v>2999.7000000000003</v>
      </c>
      <c r="K319" s="64">
        <v>2999.7000000000003</v>
      </c>
    </row>
    <row r="320" spans="1:11" ht="15.75" customHeight="1">
      <c r="A320" s="62" t="s">
        <v>91</v>
      </c>
      <c r="B320" s="63" t="s">
        <v>48</v>
      </c>
      <c r="C320" s="62" t="s">
        <v>864</v>
      </c>
      <c r="D320" s="64">
        <v>5689.8</v>
      </c>
      <c r="E320" s="64">
        <v>5689.8</v>
      </c>
      <c r="F320" s="64">
        <v>5689.8</v>
      </c>
      <c r="G320" s="64">
        <v>5689.8</v>
      </c>
      <c r="H320" s="64">
        <v>5689.8</v>
      </c>
      <c r="I320" s="64">
        <v>5689.8</v>
      </c>
      <c r="J320" s="64">
        <v>5689.8</v>
      </c>
      <c r="K320" s="64">
        <v>5689.8</v>
      </c>
    </row>
    <row r="321" spans="1:11" ht="15.75" customHeight="1">
      <c r="A321" s="62" t="s">
        <v>91</v>
      </c>
      <c r="B321" s="63" t="s">
        <v>48</v>
      </c>
      <c r="C321" s="62" t="s">
        <v>866</v>
      </c>
      <c r="D321" s="64">
        <v>6119.1</v>
      </c>
      <c r="E321" s="64">
        <v>6119.1</v>
      </c>
      <c r="F321" s="64">
        <v>6119.1</v>
      </c>
      <c r="G321" s="64">
        <v>6119.1</v>
      </c>
      <c r="H321" s="64">
        <v>6119.1</v>
      </c>
      <c r="I321" s="64">
        <v>6119.1</v>
      </c>
      <c r="J321" s="64">
        <v>6119.1</v>
      </c>
      <c r="K321" s="64">
        <v>6119.1</v>
      </c>
    </row>
    <row r="322" spans="1:11" ht="15.75" customHeight="1">
      <c r="A322" s="62" t="s">
        <v>91</v>
      </c>
      <c r="B322" s="63" t="s">
        <v>48</v>
      </c>
      <c r="C322" s="62" t="s">
        <v>907</v>
      </c>
      <c r="D322" s="64">
        <v>1399.5</v>
      </c>
      <c r="E322" s="64">
        <v>1399.5</v>
      </c>
      <c r="F322" s="64">
        <v>1399.5</v>
      </c>
      <c r="G322" s="64">
        <v>1399.5</v>
      </c>
      <c r="H322" s="64">
        <v>1399.5</v>
      </c>
      <c r="I322" s="64">
        <v>1399.5</v>
      </c>
      <c r="J322" s="64">
        <v>1399.5</v>
      </c>
      <c r="K322" s="64">
        <v>1399.5</v>
      </c>
    </row>
    <row r="323" spans="1:11" ht="15.75" customHeight="1">
      <c r="A323" s="62" t="s">
        <v>91</v>
      </c>
      <c r="B323" s="63" t="s">
        <v>48</v>
      </c>
      <c r="C323" s="62" t="s">
        <v>908</v>
      </c>
      <c r="D323" s="64">
        <v>4199.4000000000005</v>
      </c>
      <c r="E323" s="64">
        <v>4199.4000000000005</v>
      </c>
      <c r="F323" s="64">
        <v>4199.4000000000005</v>
      </c>
      <c r="G323" s="64">
        <v>4199.4000000000005</v>
      </c>
      <c r="H323" s="64">
        <v>4199.4000000000005</v>
      </c>
      <c r="I323" s="64">
        <v>4199.4000000000005</v>
      </c>
      <c r="J323" s="64">
        <v>4199.4000000000005</v>
      </c>
      <c r="K323" s="64">
        <v>4199.4000000000005</v>
      </c>
    </row>
    <row r="324" spans="1:11" ht="15.75" customHeight="1">
      <c r="A324" s="62" t="s">
        <v>1013</v>
      </c>
      <c r="B324" s="63" t="s">
        <v>48</v>
      </c>
      <c r="C324" s="62" t="s">
        <v>528</v>
      </c>
      <c r="D324" s="64">
        <v>2399.4</v>
      </c>
      <c r="E324" s="64">
        <v>2399.4</v>
      </c>
      <c r="F324" s="64">
        <v>2399.4</v>
      </c>
      <c r="G324" s="64">
        <v>2399.4</v>
      </c>
      <c r="H324" s="64">
        <v>2399.4</v>
      </c>
      <c r="I324" s="64">
        <v>2399.4</v>
      </c>
      <c r="J324" s="64">
        <v>2399.4</v>
      </c>
      <c r="K324" s="64">
        <v>2399.4</v>
      </c>
    </row>
    <row r="325" spans="1:11" ht="15.75" customHeight="1">
      <c r="A325" s="62" t="s">
        <v>83</v>
      </c>
      <c r="B325" s="63" t="s">
        <v>48</v>
      </c>
      <c r="C325" s="62" t="s">
        <v>949</v>
      </c>
      <c r="D325" s="64">
        <v>799.2</v>
      </c>
      <c r="E325" s="64">
        <v>799.2</v>
      </c>
      <c r="F325" s="64">
        <v>799.2</v>
      </c>
      <c r="G325" s="64">
        <v>799.2</v>
      </c>
      <c r="H325" s="64">
        <v>799.2</v>
      </c>
      <c r="I325" s="64">
        <v>799.2</v>
      </c>
      <c r="J325" s="64">
        <v>799.2</v>
      </c>
      <c r="K325" s="64">
        <v>799.2</v>
      </c>
    </row>
    <row r="326" spans="1:11" ht="15.75" customHeight="1">
      <c r="A326" s="62" t="s">
        <v>83</v>
      </c>
      <c r="B326" s="63" t="s">
        <v>48</v>
      </c>
      <c r="C326" s="62" t="s">
        <v>988</v>
      </c>
      <c r="D326" s="64">
        <v>2189.7000000000003</v>
      </c>
      <c r="E326" s="64">
        <v>2189.7000000000003</v>
      </c>
      <c r="F326" s="64">
        <v>2189.7000000000003</v>
      </c>
      <c r="G326" s="64">
        <v>2189.7000000000003</v>
      </c>
      <c r="H326" s="64">
        <v>2189.7000000000003</v>
      </c>
      <c r="I326" s="64">
        <v>2189.7000000000003</v>
      </c>
      <c r="J326" s="64">
        <v>2189.7000000000003</v>
      </c>
      <c r="K326" s="64">
        <v>2189.7000000000003</v>
      </c>
    </row>
    <row r="327" spans="1:11" ht="15.75" customHeight="1">
      <c r="A327" s="62" t="s">
        <v>91</v>
      </c>
      <c r="B327" s="63" t="s">
        <v>48</v>
      </c>
      <c r="C327" s="62" t="s">
        <v>991</v>
      </c>
      <c r="D327" s="64">
        <v>5119.2</v>
      </c>
      <c r="E327" s="64">
        <v>5119.2</v>
      </c>
      <c r="F327" s="64">
        <v>5119.2</v>
      </c>
      <c r="G327" s="64">
        <v>5119.2</v>
      </c>
      <c r="H327" s="64">
        <v>5119.2</v>
      </c>
      <c r="I327" s="64">
        <v>5119.2</v>
      </c>
      <c r="J327" s="64">
        <v>5119.2</v>
      </c>
      <c r="K327" s="64">
        <v>5119.2</v>
      </c>
    </row>
    <row r="328" spans="1:11" ht="15.75" customHeight="1">
      <c r="A328" s="62" t="s">
        <v>91</v>
      </c>
      <c r="B328" s="63" t="s">
        <v>48</v>
      </c>
      <c r="C328" s="62" t="s">
        <v>857</v>
      </c>
      <c r="D328" s="64">
        <v>5789.7</v>
      </c>
      <c r="E328" s="64">
        <v>5789.7</v>
      </c>
      <c r="F328" s="64">
        <v>5789.7</v>
      </c>
      <c r="G328" s="64">
        <v>5789.7</v>
      </c>
      <c r="H328" s="64">
        <v>5789.7</v>
      </c>
      <c r="I328" s="64">
        <v>5789.7</v>
      </c>
      <c r="J328" s="64">
        <v>5789.7</v>
      </c>
      <c r="K328" s="64">
        <v>5789.7</v>
      </c>
    </row>
    <row r="329" spans="1:11" ht="15.75" customHeight="1">
      <c r="A329" s="62" t="s">
        <v>83</v>
      </c>
      <c r="B329" s="63" t="s">
        <v>48</v>
      </c>
      <c r="C329" s="62" t="s">
        <v>900</v>
      </c>
      <c r="D329" s="64">
        <v>1109.7</v>
      </c>
      <c r="E329" s="64">
        <v>1109.7</v>
      </c>
      <c r="F329" s="64">
        <v>1109.7</v>
      </c>
      <c r="G329" s="64">
        <v>1109.7</v>
      </c>
      <c r="H329" s="64">
        <v>1109.7</v>
      </c>
      <c r="I329" s="64">
        <v>1109.7</v>
      </c>
      <c r="J329" s="64">
        <v>1109.7</v>
      </c>
      <c r="K329" s="64">
        <v>1109.7</v>
      </c>
    </row>
    <row r="330" spans="1:11" ht="15.75" customHeight="1">
      <c r="A330" s="62" t="s">
        <v>1013</v>
      </c>
      <c r="B330" s="63" t="s">
        <v>48</v>
      </c>
      <c r="C330" s="62" t="s">
        <v>1218</v>
      </c>
      <c r="D330" s="64">
        <v>2899.8</v>
      </c>
      <c r="E330" s="64">
        <v>2899.8</v>
      </c>
      <c r="F330" s="64">
        <v>2899.8</v>
      </c>
      <c r="G330" s="64">
        <v>2899.8</v>
      </c>
      <c r="H330" s="64">
        <v>2899.8</v>
      </c>
      <c r="I330" s="64">
        <v>2899.8</v>
      </c>
      <c r="J330" s="64">
        <v>2899.8</v>
      </c>
      <c r="K330" s="64">
        <v>2899.8</v>
      </c>
    </row>
    <row r="331" spans="1:11" ht="15.75" customHeight="1">
      <c r="A331" s="62" t="s">
        <v>91</v>
      </c>
      <c r="B331" s="63" t="s">
        <v>48</v>
      </c>
      <c r="C331" s="62" t="s">
        <v>779</v>
      </c>
      <c r="D331" s="64">
        <v>2769.3</v>
      </c>
      <c r="E331" s="64">
        <v>2769.3</v>
      </c>
      <c r="F331" s="64">
        <v>2769.3</v>
      </c>
      <c r="G331" s="64">
        <v>2769.3</v>
      </c>
      <c r="H331" s="64">
        <v>2769.3</v>
      </c>
      <c r="I331" s="64">
        <v>2769.3</v>
      </c>
      <c r="J331" s="64">
        <v>2769.3</v>
      </c>
      <c r="K331" s="64">
        <v>2769.3</v>
      </c>
    </row>
    <row r="332" spans="1:11" ht="15.75" customHeight="1">
      <c r="A332" s="62" t="s">
        <v>45</v>
      </c>
      <c r="B332" s="63" t="s">
        <v>48</v>
      </c>
      <c r="C332" s="62" t="s">
        <v>931</v>
      </c>
      <c r="D332" s="64">
        <v>259.2</v>
      </c>
      <c r="E332" s="64">
        <v>259.2</v>
      </c>
      <c r="F332" s="64">
        <v>259.2</v>
      </c>
      <c r="G332" s="64">
        <v>259.2</v>
      </c>
      <c r="H332" s="64">
        <v>259.2</v>
      </c>
      <c r="I332" s="64">
        <v>259.2</v>
      </c>
      <c r="J332" s="64">
        <v>259.2</v>
      </c>
      <c r="K332" s="64">
        <v>259.2</v>
      </c>
    </row>
    <row r="333" spans="1:11" ht="15.75" customHeight="1">
      <c r="A333" s="62" t="s">
        <v>66</v>
      </c>
      <c r="B333" s="63" t="s">
        <v>48</v>
      </c>
      <c r="C333" s="62" t="s">
        <v>260</v>
      </c>
      <c r="D333" s="64">
        <v>429.3</v>
      </c>
      <c r="E333" s="64">
        <v>429.3</v>
      </c>
      <c r="F333" s="64">
        <v>429.3</v>
      </c>
      <c r="G333" s="64">
        <v>429.3</v>
      </c>
      <c r="H333" s="64">
        <v>429.3</v>
      </c>
      <c r="I333" s="64">
        <v>429.3</v>
      </c>
      <c r="J333" s="64">
        <v>429.3</v>
      </c>
      <c r="K333" s="64">
        <v>429.3</v>
      </c>
    </row>
    <row r="334" spans="1:11" ht="15.75" customHeight="1">
      <c r="A334" s="62" t="s">
        <v>83</v>
      </c>
      <c r="B334" s="63" t="s">
        <v>48</v>
      </c>
      <c r="C334" s="62" t="s">
        <v>1219</v>
      </c>
      <c r="D334" s="64">
        <v>699.30000000000007</v>
      </c>
      <c r="E334" s="64">
        <v>699.30000000000007</v>
      </c>
      <c r="F334" s="64">
        <v>699.30000000000007</v>
      </c>
      <c r="G334" s="64">
        <v>699.30000000000007</v>
      </c>
      <c r="H334" s="64">
        <v>699.30000000000007</v>
      </c>
      <c r="I334" s="64">
        <v>699.30000000000007</v>
      </c>
      <c r="J334" s="64">
        <v>699.30000000000007</v>
      </c>
      <c r="K334" s="64">
        <v>699.30000000000007</v>
      </c>
    </row>
    <row r="335" spans="1:11" ht="15.75" customHeight="1">
      <c r="A335" s="62" t="s">
        <v>83</v>
      </c>
      <c r="B335" s="63" t="s">
        <v>48</v>
      </c>
      <c r="C335" s="62" t="s">
        <v>955</v>
      </c>
      <c r="D335" s="64">
        <v>779.4</v>
      </c>
      <c r="E335" s="64">
        <v>779.4</v>
      </c>
      <c r="F335" s="64">
        <v>779.4</v>
      </c>
      <c r="G335" s="64">
        <v>779.4</v>
      </c>
      <c r="H335" s="64">
        <v>779.4</v>
      </c>
      <c r="I335" s="64">
        <v>779.4</v>
      </c>
      <c r="J335" s="64">
        <v>779.4</v>
      </c>
      <c r="K335" s="64">
        <v>779.4</v>
      </c>
    </row>
    <row r="336" spans="1:11" ht="15.75" customHeight="1">
      <c r="A336" s="62" t="s">
        <v>83</v>
      </c>
      <c r="B336" s="63" t="s">
        <v>48</v>
      </c>
      <c r="C336" s="62" t="s">
        <v>960</v>
      </c>
      <c r="D336" s="64">
        <v>1299.6000000000001</v>
      </c>
      <c r="E336" s="64">
        <v>1299.6000000000001</v>
      </c>
      <c r="F336" s="64">
        <v>1299.6000000000001</v>
      </c>
      <c r="G336" s="64">
        <v>1299.6000000000001</v>
      </c>
      <c r="H336" s="64">
        <v>1299.6000000000001</v>
      </c>
      <c r="I336" s="64">
        <v>1299.6000000000001</v>
      </c>
      <c r="J336" s="64">
        <v>1299.6000000000001</v>
      </c>
      <c r="K336" s="64">
        <v>1299.6000000000001</v>
      </c>
    </row>
    <row r="337" spans="1:11" ht="15.75" customHeight="1">
      <c r="A337" s="62" t="s">
        <v>83</v>
      </c>
      <c r="B337" s="63" t="s">
        <v>48</v>
      </c>
      <c r="C337" s="62" t="s">
        <v>310</v>
      </c>
      <c r="D337" s="64">
        <v>1559.7</v>
      </c>
      <c r="E337" s="64">
        <v>1559.7</v>
      </c>
      <c r="F337" s="64">
        <v>1559.7</v>
      </c>
      <c r="G337" s="64">
        <v>1559.7</v>
      </c>
      <c r="H337" s="64">
        <v>1559.7</v>
      </c>
      <c r="I337" s="64">
        <v>1559.7</v>
      </c>
      <c r="J337" s="64">
        <v>1559.7</v>
      </c>
      <c r="K337" s="64">
        <v>1559.7</v>
      </c>
    </row>
    <row r="338" spans="1:11" ht="15.75" customHeight="1">
      <c r="A338" s="62" t="s">
        <v>91</v>
      </c>
      <c r="B338" s="63" t="s">
        <v>48</v>
      </c>
      <c r="C338" s="62" t="s">
        <v>970</v>
      </c>
      <c r="D338" s="64">
        <v>2049.3000000000002</v>
      </c>
      <c r="E338" s="64">
        <v>2049.3000000000002</v>
      </c>
      <c r="F338" s="64">
        <v>2049.3000000000002</v>
      </c>
      <c r="G338" s="64">
        <v>2049.3000000000002</v>
      </c>
      <c r="H338" s="64">
        <v>2049.3000000000002</v>
      </c>
      <c r="I338" s="64">
        <v>2049.3000000000002</v>
      </c>
      <c r="J338" s="64">
        <v>2049.3000000000002</v>
      </c>
      <c r="K338" s="64">
        <v>2049.3000000000002</v>
      </c>
    </row>
    <row r="339" spans="1:11" ht="15.75" customHeight="1">
      <c r="A339" s="62" t="s">
        <v>91</v>
      </c>
      <c r="B339" s="63" t="s">
        <v>48</v>
      </c>
      <c r="C339" s="62" t="s">
        <v>1000</v>
      </c>
      <c r="D339" s="64">
        <v>3599.1</v>
      </c>
      <c r="E339" s="64">
        <v>3599.1</v>
      </c>
      <c r="F339" s="64">
        <v>3599.1</v>
      </c>
      <c r="G339" s="64">
        <v>3599.1</v>
      </c>
      <c r="H339" s="64">
        <v>3599.1</v>
      </c>
      <c r="I339" s="64">
        <v>3599.1</v>
      </c>
      <c r="J339" s="64">
        <v>3599.1</v>
      </c>
      <c r="K339" s="64">
        <v>3599.1</v>
      </c>
    </row>
    <row r="340" spans="1:11" ht="15.75" customHeight="1">
      <c r="A340" s="62" t="s">
        <v>91</v>
      </c>
      <c r="B340" s="63" t="s">
        <v>48</v>
      </c>
      <c r="C340" s="62" t="s">
        <v>916</v>
      </c>
      <c r="D340" s="64">
        <v>4259.7</v>
      </c>
      <c r="E340" s="64">
        <v>4259.7</v>
      </c>
      <c r="F340" s="64">
        <v>4259.7</v>
      </c>
      <c r="G340" s="64">
        <v>4259.7</v>
      </c>
      <c r="H340" s="64">
        <v>4259.7</v>
      </c>
      <c r="I340" s="64">
        <v>4259.7</v>
      </c>
      <c r="J340" s="64">
        <v>4259.7</v>
      </c>
      <c r="K340" s="64">
        <v>4259.7</v>
      </c>
    </row>
    <row r="341" spans="1:11" ht="15.75" customHeight="1">
      <c r="A341" s="62" t="s">
        <v>83</v>
      </c>
      <c r="B341" s="63" t="s">
        <v>48</v>
      </c>
      <c r="C341" s="62" t="s">
        <v>981</v>
      </c>
      <c r="D341" s="64">
        <v>1799.1000000000001</v>
      </c>
      <c r="E341" s="64">
        <v>1799.1000000000001</v>
      </c>
      <c r="F341" s="64">
        <v>1799.1000000000001</v>
      </c>
      <c r="G341" s="64">
        <v>1799.1000000000001</v>
      </c>
      <c r="H341" s="64">
        <v>1799.1000000000001</v>
      </c>
      <c r="I341" s="64">
        <v>1799.1000000000001</v>
      </c>
      <c r="J341" s="64">
        <v>1799.1000000000001</v>
      </c>
      <c r="K341" s="64">
        <v>1799.1000000000001</v>
      </c>
    </row>
    <row r="342" spans="1:11" ht="15.75" customHeight="1">
      <c r="A342" s="62" t="s">
        <v>66</v>
      </c>
      <c r="B342" s="63" t="s">
        <v>48</v>
      </c>
      <c r="C342" s="62" t="s">
        <v>925</v>
      </c>
      <c r="D342" s="64">
        <v>159.30000000000001</v>
      </c>
      <c r="E342" s="64">
        <v>159.30000000000001</v>
      </c>
      <c r="F342" s="64">
        <v>159.30000000000001</v>
      </c>
      <c r="G342" s="64">
        <v>159.30000000000001</v>
      </c>
      <c r="H342" s="64">
        <v>159.30000000000001</v>
      </c>
      <c r="I342" s="64">
        <v>159.30000000000001</v>
      </c>
      <c r="J342" s="64">
        <v>159.30000000000001</v>
      </c>
      <c r="K342" s="64">
        <v>159.30000000000001</v>
      </c>
    </row>
    <row r="343" spans="1:11" ht="15.75" customHeight="1">
      <c r="A343" s="62" t="s">
        <v>66</v>
      </c>
      <c r="B343" s="63" t="s">
        <v>48</v>
      </c>
      <c r="C343" s="62" t="s">
        <v>926</v>
      </c>
      <c r="D343" s="64">
        <v>119.7</v>
      </c>
      <c r="E343" s="64">
        <v>119.7</v>
      </c>
      <c r="F343" s="64">
        <v>119.7</v>
      </c>
      <c r="G343" s="64">
        <v>119.7</v>
      </c>
      <c r="H343" s="64">
        <v>119.7</v>
      </c>
      <c r="I343" s="64">
        <v>119.7</v>
      </c>
      <c r="J343" s="64">
        <v>119.7</v>
      </c>
      <c r="K343" s="64">
        <v>119.7</v>
      </c>
    </row>
    <row r="344" spans="1:11" ht="15.75" customHeight="1">
      <c r="A344" s="62" t="s">
        <v>835</v>
      </c>
      <c r="B344" s="63" t="s">
        <v>48</v>
      </c>
      <c r="C344" s="62" t="s">
        <v>927</v>
      </c>
      <c r="D344" s="64">
        <v>199.8</v>
      </c>
      <c r="E344" s="64">
        <v>199.8</v>
      </c>
      <c r="F344" s="64">
        <v>199.8</v>
      </c>
      <c r="G344" s="64">
        <v>199.8</v>
      </c>
      <c r="H344" s="64">
        <v>199.8</v>
      </c>
      <c r="I344" s="64">
        <v>199.8</v>
      </c>
      <c r="J344" s="64">
        <v>199.8</v>
      </c>
      <c r="K344" s="64">
        <v>199.8</v>
      </c>
    </row>
    <row r="345" spans="1:11" ht="15.75" customHeight="1">
      <c r="A345" s="62" t="s">
        <v>66</v>
      </c>
      <c r="B345" s="63" t="s">
        <v>48</v>
      </c>
      <c r="C345" s="62" t="s">
        <v>929</v>
      </c>
      <c r="D345" s="64">
        <v>199.8</v>
      </c>
      <c r="E345" s="64">
        <v>199.8</v>
      </c>
      <c r="F345" s="64">
        <v>199.8</v>
      </c>
      <c r="G345" s="64">
        <v>199.8</v>
      </c>
      <c r="H345" s="64">
        <v>199.8</v>
      </c>
      <c r="I345" s="64">
        <v>199.8</v>
      </c>
      <c r="J345" s="64">
        <v>199.8</v>
      </c>
      <c r="K345" s="64">
        <v>199.8</v>
      </c>
    </row>
    <row r="346" spans="1:11" ht="15.75" customHeight="1">
      <c r="A346" s="62" t="s">
        <v>45</v>
      </c>
      <c r="B346" s="63" t="s">
        <v>1217</v>
      </c>
      <c r="C346" s="62" t="s">
        <v>933</v>
      </c>
      <c r="D346" s="64">
        <v>199.8</v>
      </c>
      <c r="E346" s="64">
        <v>199.8</v>
      </c>
      <c r="F346" s="64">
        <v>199.8</v>
      </c>
      <c r="G346" s="64">
        <v>199.8</v>
      </c>
      <c r="H346" s="64">
        <v>199.8</v>
      </c>
      <c r="I346" s="64">
        <v>199.8</v>
      </c>
      <c r="J346" s="64">
        <v>199.8</v>
      </c>
      <c r="K346" s="64">
        <v>199.8</v>
      </c>
    </row>
    <row r="347" spans="1:11" ht="15.75" customHeight="1">
      <c r="A347" s="62" t="s">
        <v>83</v>
      </c>
      <c r="B347" s="63" t="s">
        <v>48</v>
      </c>
      <c r="C347" s="62" t="s">
        <v>957</v>
      </c>
      <c r="D347" s="64">
        <v>899.1</v>
      </c>
      <c r="E347" s="64">
        <v>899.1</v>
      </c>
      <c r="F347" s="64">
        <v>899.1</v>
      </c>
      <c r="G347" s="64">
        <v>899.1</v>
      </c>
      <c r="H347" s="64">
        <v>899.1</v>
      </c>
      <c r="I347" s="64">
        <v>899.1</v>
      </c>
      <c r="J347" s="64">
        <v>899.1</v>
      </c>
      <c r="K347" s="64">
        <v>899.1</v>
      </c>
    </row>
    <row r="348" spans="1:11" ht="15.75" customHeight="1">
      <c r="A348" s="62" t="s">
        <v>91</v>
      </c>
      <c r="B348" s="63" t="s">
        <v>48</v>
      </c>
      <c r="C348" s="62" t="s">
        <v>965</v>
      </c>
      <c r="D348" s="64">
        <v>1699.2</v>
      </c>
      <c r="E348" s="64">
        <v>1699.2</v>
      </c>
      <c r="F348" s="64">
        <v>1699.2</v>
      </c>
      <c r="G348" s="64">
        <v>1699.2</v>
      </c>
      <c r="H348" s="64">
        <v>1699.2</v>
      </c>
      <c r="I348" s="64">
        <v>1699.2</v>
      </c>
      <c r="J348" s="64">
        <v>1699.2</v>
      </c>
      <c r="K348" s="64">
        <v>1699.2</v>
      </c>
    </row>
    <row r="349" spans="1:11" ht="15.75" customHeight="1">
      <c r="A349" s="62" t="s">
        <v>91</v>
      </c>
      <c r="B349" s="63" t="s">
        <v>48</v>
      </c>
      <c r="C349" s="62" t="s">
        <v>1001</v>
      </c>
      <c r="D349" s="64">
        <v>3399.3</v>
      </c>
      <c r="E349" s="64">
        <v>3399.3</v>
      </c>
      <c r="F349" s="64">
        <v>3399.3</v>
      </c>
      <c r="G349" s="64">
        <v>3399.3</v>
      </c>
      <c r="H349" s="64">
        <v>3399.3</v>
      </c>
      <c r="I349" s="64">
        <v>3399.3</v>
      </c>
      <c r="J349" s="64">
        <v>3399.3</v>
      </c>
      <c r="K349" s="64">
        <v>3399.3</v>
      </c>
    </row>
    <row r="350" spans="1:11" ht="15.75" customHeight="1">
      <c r="A350" s="62" t="s">
        <v>211</v>
      </c>
      <c r="B350" s="63" t="s">
        <v>48</v>
      </c>
      <c r="C350" s="62" t="s">
        <v>407</v>
      </c>
      <c r="D350" s="64">
        <v>299.7</v>
      </c>
      <c r="E350" s="64">
        <v>299.7</v>
      </c>
      <c r="F350" s="64">
        <v>299.7</v>
      </c>
      <c r="G350" s="64">
        <v>299.7</v>
      </c>
      <c r="H350" s="64">
        <v>299.7</v>
      </c>
      <c r="I350" s="64">
        <v>299.7</v>
      </c>
      <c r="J350" s="64">
        <v>299.7</v>
      </c>
      <c r="K350" s="64">
        <v>299.7</v>
      </c>
    </row>
    <row r="351" spans="1:11" ht="15.75" customHeight="1">
      <c r="A351" s="62" t="s">
        <v>66</v>
      </c>
      <c r="B351" s="63" t="s">
        <v>48</v>
      </c>
      <c r="C351" s="62" t="s">
        <v>928</v>
      </c>
      <c r="D351" s="64">
        <v>379.8</v>
      </c>
      <c r="E351" s="64">
        <v>379.8</v>
      </c>
      <c r="F351" s="64">
        <v>379.8</v>
      </c>
      <c r="G351" s="64">
        <v>379.8</v>
      </c>
      <c r="H351" s="64">
        <v>379.8</v>
      </c>
      <c r="I351" s="64">
        <v>379.8</v>
      </c>
      <c r="J351" s="64">
        <v>379.8</v>
      </c>
      <c r="K351" s="64">
        <v>379.8</v>
      </c>
    </row>
    <row r="352" spans="1:11" ht="15.75" customHeight="1">
      <c r="A352" s="62" t="s">
        <v>66</v>
      </c>
      <c r="B352" s="63" t="s">
        <v>48</v>
      </c>
      <c r="C352" s="62" t="s">
        <v>411</v>
      </c>
      <c r="D352" s="64">
        <v>369</v>
      </c>
      <c r="E352" s="64">
        <v>369</v>
      </c>
      <c r="F352" s="64">
        <v>369</v>
      </c>
      <c r="G352" s="64">
        <v>369</v>
      </c>
      <c r="H352" s="64">
        <v>369</v>
      </c>
      <c r="I352" s="64">
        <v>369</v>
      </c>
      <c r="J352" s="64">
        <v>369</v>
      </c>
      <c r="K352" s="64">
        <v>369</v>
      </c>
    </row>
    <row r="353" spans="1:11" ht="15.75" customHeight="1">
      <c r="A353" s="62" t="s">
        <v>66</v>
      </c>
      <c r="B353" s="63" t="s">
        <v>48</v>
      </c>
      <c r="C353" s="62" t="s">
        <v>339</v>
      </c>
      <c r="D353" s="64">
        <v>529.20000000000005</v>
      </c>
      <c r="E353" s="64">
        <v>529.20000000000005</v>
      </c>
      <c r="F353" s="64">
        <v>529.20000000000005</v>
      </c>
      <c r="G353" s="64">
        <v>529.20000000000005</v>
      </c>
      <c r="H353" s="64">
        <v>529.20000000000005</v>
      </c>
      <c r="I353" s="64">
        <v>529.20000000000005</v>
      </c>
      <c r="J353" s="64">
        <v>529.20000000000005</v>
      </c>
      <c r="K353" s="64">
        <v>529.20000000000005</v>
      </c>
    </row>
    <row r="354" spans="1:11" ht="15.75" customHeight="1">
      <c r="A354" s="62" t="s">
        <v>45</v>
      </c>
      <c r="B354" s="63" t="s">
        <v>48</v>
      </c>
      <c r="C354" s="62" t="s">
        <v>937</v>
      </c>
      <c r="D354" s="64">
        <v>499.5</v>
      </c>
      <c r="E354" s="64">
        <v>499.5</v>
      </c>
      <c r="F354" s="64">
        <v>499.5</v>
      </c>
      <c r="G354" s="64">
        <v>499.5</v>
      </c>
      <c r="H354" s="64">
        <v>499.5</v>
      </c>
      <c r="I354" s="64">
        <v>499.5</v>
      </c>
      <c r="J354" s="64">
        <v>499.5</v>
      </c>
      <c r="K354" s="64">
        <v>499.5</v>
      </c>
    </row>
    <row r="355" spans="1:11" ht="15.75" customHeight="1">
      <c r="A355" s="62" t="s">
        <v>45</v>
      </c>
      <c r="B355" s="63" t="s">
        <v>48</v>
      </c>
      <c r="C355" s="62" t="s">
        <v>865</v>
      </c>
      <c r="D355" s="64">
        <v>799.2</v>
      </c>
      <c r="E355" s="64">
        <v>799.2</v>
      </c>
      <c r="F355" s="64">
        <v>799.2</v>
      </c>
      <c r="G355" s="64">
        <v>799.2</v>
      </c>
      <c r="H355" s="64">
        <v>799.2</v>
      </c>
      <c r="I355" s="64">
        <v>799.2</v>
      </c>
      <c r="J355" s="64">
        <v>799.2</v>
      </c>
      <c r="K355" s="64">
        <v>799.2</v>
      </c>
    </row>
    <row r="356" spans="1:11" ht="15.75" customHeight="1">
      <c r="A356" s="62" t="s">
        <v>45</v>
      </c>
      <c r="B356" s="63" t="s">
        <v>48</v>
      </c>
      <c r="C356" s="62" t="s">
        <v>995</v>
      </c>
      <c r="D356" s="64">
        <v>629.1</v>
      </c>
      <c r="E356" s="64">
        <v>629.1</v>
      </c>
      <c r="F356" s="64">
        <v>629.1</v>
      </c>
      <c r="G356" s="64">
        <v>629.1</v>
      </c>
      <c r="H356" s="64">
        <v>629.1</v>
      </c>
      <c r="I356" s="64">
        <v>629.1</v>
      </c>
      <c r="J356" s="64">
        <v>629.1</v>
      </c>
      <c r="K356" s="64">
        <v>629.1</v>
      </c>
    </row>
    <row r="357" spans="1:11" ht="15.75" customHeight="1">
      <c r="A357" s="62" t="s">
        <v>83</v>
      </c>
      <c r="B357" s="63" t="s">
        <v>48</v>
      </c>
      <c r="C357" s="62" t="s">
        <v>961</v>
      </c>
      <c r="D357" s="64">
        <v>1349.1000000000001</v>
      </c>
      <c r="E357" s="64">
        <v>1349.1000000000001</v>
      </c>
      <c r="F357" s="64">
        <v>1349.1000000000001</v>
      </c>
      <c r="G357" s="64">
        <v>1349.1000000000001</v>
      </c>
      <c r="H357" s="64">
        <v>1349.1000000000001</v>
      </c>
      <c r="I357" s="64">
        <v>1349.1000000000001</v>
      </c>
      <c r="J357" s="64">
        <v>1349.1000000000001</v>
      </c>
      <c r="K357" s="64">
        <v>1349.1000000000001</v>
      </c>
    </row>
    <row r="358" spans="1:11" ht="15.75" customHeight="1">
      <c r="A358" s="62" t="s">
        <v>83</v>
      </c>
      <c r="B358" s="63" t="s">
        <v>48</v>
      </c>
      <c r="C358" s="62" t="s">
        <v>872</v>
      </c>
      <c r="D358" s="64">
        <v>1499.4</v>
      </c>
      <c r="E358" s="64">
        <v>1499.4</v>
      </c>
      <c r="F358" s="64">
        <v>1499.4</v>
      </c>
      <c r="G358" s="64">
        <v>1499.4</v>
      </c>
      <c r="H358" s="64">
        <v>1499.4</v>
      </c>
      <c r="I358" s="64">
        <v>1499.4</v>
      </c>
      <c r="J358" s="64">
        <v>1499.4</v>
      </c>
      <c r="K358" s="64">
        <v>1499.4</v>
      </c>
    </row>
    <row r="359" spans="1:11" ht="15.75" customHeight="1">
      <c r="A359" s="62" t="s">
        <v>91</v>
      </c>
      <c r="B359" s="63" t="s">
        <v>48</v>
      </c>
      <c r="C359" s="62" t="s">
        <v>972</v>
      </c>
      <c r="D359" s="64">
        <v>2399.4</v>
      </c>
      <c r="E359" s="64">
        <v>2399.4</v>
      </c>
      <c r="F359" s="64">
        <v>2399.4</v>
      </c>
      <c r="G359" s="64">
        <v>2399.4</v>
      </c>
      <c r="H359" s="64">
        <v>2399.4</v>
      </c>
      <c r="I359" s="64">
        <v>2399.4</v>
      </c>
      <c r="J359" s="64">
        <v>2399.4</v>
      </c>
      <c r="K359" s="64">
        <v>2399.4</v>
      </c>
    </row>
    <row r="360" spans="1:11" ht="15.75" customHeight="1">
      <c r="A360" s="62" t="s">
        <v>91</v>
      </c>
      <c r="B360" s="63" t="s">
        <v>48</v>
      </c>
      <c r="C360" s="62" t="s">
        <v>903</v>
      </c>
      <c r="D360" s="64">
        <v>2399.4</v>
      </c>
      <c r="E360" s="64">
        <v>2399.4</v>
      </c>
      <c r="F360" s="64">
        <v>2399.4</v>
      </c>
      <c r="G360" s="64">
        <v>2399.4</v>
      </c>
      <c r="H360" s="64">
        <v>2399.4</v>
      </c>
      <c r="I360" s="64">
        <v>2399.4</v>
      </c>
      <c r="J360" s="64">
        <v>2399.4</v>
      </c>
      <c r="K360" s="64">
        <v>2399.4</v>
      </c>
    </row>
    <row r="361" spans="1:11" ht="15.75" customHeight="1">
      <c r="A361" s="62" t="s">
        <v>91</v>
      </c>
      <c r="B361" s="63" t="s">
        <v>48</v>
      </c>
      <c r="C361" s="62" t="s">
        <v>975</v>
      </c>
      <c r="D361" s="64">
        <v>3479.4</v>
      </c>
      <c r="E361" s="64">
        <v>3479.4</v>
      </c>
      <c r="F361" s="64">
        <v>3479.4</v>
      </c>
      <c r="G361" s="64">
        <v>3479.4</v>
      </c>
      <c r="H361" s="64">
        <v>3479.4</v>
      </c>
      <c r="I361" s="64">
        <v>3479.4</v>
      </c>
      <c r="J361" s="64">
        <v>3479.4</v>
      </c>
      <c r="K361" s="64">
        <v>3479.4</v>
      </c>
    </row>
    <row r="362" spans="1:11" ht="15.75" customHeight="1">
      <c r="A362" s="62" t="s">
        <v>91</v>
      </c>
      <c r="B362" s="63" t="s">
        <v>48</v>
      </c>
      <c r="C362" s="62" t="s">
        <v>990</v>
      </c>
      <c r="D362" s="64">
        <v>3889.8</v>
      </c>
      <c r="E362" s="64">
        <v>3889.8</v>
      </c>
      <c r="F362" s="64">
        <v>3889.8</v>
      </c>
      <c r="G362" s="64">
        <v>3889.8</v>
      </c>
      <c r="H362" s="64">
        <v>3889.8</v>
      </c>
      <c r="I362" s="64">
        <v>3889.8</v>
      </c>
      <c r="J362" s="64">
        <v>3889.8</v>
      </c>
      <c r="K362" s="64">
        <v>3889.8</v>
      </c>
    </row>
    <row r="363" spans="1:11" ht="15.75" customHeight="1">
      <c r="A363" s="62" t="s">
        <v>45</v>
      </c>
      <c r="B363" s="63" t="s">
        <v>48</v>
      </c>
      <c r="C363" s="62" t="s">
        <v>518</v>
      </c>
      <c r="D363" s="64">
        <v>609.30000000000007</v>
      </c>
      <c r="E363" s="64">
        <v>609.30000000000007</v>
      </c>
      <c r="F363" s="64">
        <v>609.30000000000007</v>
      </c>
      <c r="G363" s="64">
        <v>609.30000000000007</v>
      </c>
      <c r="H363" s="64">
        <v>609.30000000000007</v>
      </c>
      <c r="I363" s="64">
        <v>609.30000000000007</v>
      </c>
      <c r="J363" s="64">
        <v>609.30000000000007</v>
      </c>
      <c r="K363" s="64">
        <v>609.30000000000007</v>
      </c>
    </row>
    <row r="364" spans="1:11" ht="15.75" customHeight="1">
      <c r="A364" s="62" t="s">
        <v>91</v>
      </c>
      <c r="B364" s="63" t="s">
        <v>48</v>
      </c>
      <c r="C364" s="62" t="s">
        <v>193</v>
      </c>
      <c r="D364" s="64">
        <v>3359.7000000000003</v>
      </c>
      <c r="E364" s="64">
        <v>3359.7000000000003</v>
      </c>
      <c r="F364" s="64">
        <v>3359.7000000000003</v>
      </c>
      <c r="G364" s="64">
        <v>3359.7000000000003</v>
      </c>
      <c r="H364" s="64">
        <v>3359.7000000000003</v>
      </c>
      <c r="I364" s="64">
        <v>3359.7000000000003</v>
      </c>
      <c r="J364" s="64">
        <v>3359.7000000000003</v>
      </c>
      <c r="K364" s="64">
        <v>3359.7000000000003</v>
      </c>
    </row>
    <row r="365" spans="1:11" ht="15.75" customHeight="1">
      <c r="A365" s="62" t="s">
        <v>45</v>
      </c>
      <c r="B365" s="63" t="s">
        <v>48</v>
      </c>
      <c r="C365" s="62" t="s">
        <v>507</v>
      </c>
      <c r="D365" s="64">
        <v>609.30000000000007</v>
      </c>
      <c r="E365" s="64">
        <v>609.30000000000007</v>
      </c>
      <c r="F365" s="64">
        <v>609.30000000000007</v>
      </c>
      <c r="G365" s="64">
        <v>609.30000000000007</v>
      </c>
      <c r="H365" s="64">
        <v>609.30000000000007</v>
      </c>
      <c r="I365" s="64">
        <v>609.30000000000007</v>
      </c>
      <c r="J365" s="64">
        <v>609.30000000000007</v>
      </c>
      <c r="K365" s="64">
        <v>609.30000000000007</v>
      </c>
    </row>
    <row r="366" spans="1:11" ht="15.75" customHeight="1">
      <c r="A366" s="62" t="s">
        <v>91</v>
      </c>
      <c r="B366" s="63" t="s">
        <v>48</v>
      </c>
      <c r="C366" s="62" t="s">
        <v>901</v>
      </c>
      <c r="D366" s="64">
        <v>3009.6</v>
      </c>
      <c r="E366" s="64">
        <v>3009.6</v>
      </c>
      <c r="F366" s="64">
        <v>3009.6</v>
      </c>
      <c r="G366" s="64">
        <v>3009.6</v>
      </c>
      <c r="H366" s="64">
        <v>3009.6</v>
      </c>
      <c r="I366" s="64">
        <v>3009.6</v>
      </c>
      <c r="J366" s="64">
        <v>3009.6</v>
      </c>
      <c r="K366" s="64">
        <v>3009.6</v>
      </c>
    </row>
    <row r="367" spans="1:11" ht="15.75" customHeight="1">
      <c r="A367" s="62" t="s">
        <v>45</v>
      </c>
      <c r="B367" s="63" t="s">
        <v>48</v>
      </c>
      <c r="C367" s="62" t="s">
        <v>524</v>
      </c>
      <c r="D367" s="64">
        <v>1179</v>
      </c>
      <c r="E367" s="64">
        <v>1179</v>
      </c>
      <c r="F367" s="64">
        <v>1179</v>
      </c>
      <c r="G367" s="64">
        <v>1179</v>
      </c>
      <c r="H367" s="64">
        <v>1179</v>
      </c>
      <c r="I367" s="64">
        <v>1179</v>
      </c>
      <c r="J367" s="64">
        <v>1179</v>
      </c>
      <c r="K367" s="64">
        <v>1179</v>
      </c>
    </row>
    <row r="368" spans="1:11" ht="15.75" customHeight="1">
      <c r="A368" s="62" t="s">
        <v>835</v>
      </c>
      <c r="B368" s="63" t="s">
        <v>48</v>
      </c>
      <c r="C368" s="62" t="s">
        <v>936</v>
      </c>
      <c r="D368" s="64">
        <v>159.30000000000001</v>
      </c>
      <c r="E368" s="64">
        <v>159.30000000000001</v>
      </c>
      <c r="F368" s="64">
        <v>159.30000000000001</v>
      </c>
      <c r="G368" s="64">
        <v>159.30000000000001</v>
      </c>
      <c r="H368" s="64">
        <v>159.30000000000001</v>
      </c>
      <c r="I368" s="64">
        <v>159.30000000000001</v>
      </c>
      <c r="J368" s="64">
        <v>159.30000000000001</v>
      </c>
      <c r="K368" s="64">
        <v>159.30000000000001</v>
      </c>
    </row>
    <row r="369" spans="1:11" ht="15.75" customHeight="1">
      <c r="A369" s="62" t="s">
        <v>45</v>
      </c>
      <c r="B369" s="63" t="s">
        <v>48</v>
      </c>
      <c r="C369" s="62" t="s">
        <v>938</v>
      </c>
      <c r="D369" s="64">
        <v>399.6</v>
      </c>
      <c r="E369" s="64">
        <v>399.6</v>
      </c>
      <c r="F369" s="64">
        <v>399.6</v>
      </c>
      <c r="G369" s="64">
        <v>399.6</v>
      </c>
      <c r="H369" s="64">
        <v>399.6</v>
      </c>
      <c r="I369" s="64">
        <v>399.6</v>
      </c>
      <c r="J369" s="64">
        <v>399.6</v>
      </c>
      <c r="K369" s="64">
        <v>399.6</v>
      </c>
    </row>
    <row r="370" spans="1:11" ht="15.75" customHeight="1">
      <c r="A370" s="62" t="s">
        <v>835</v>
      </c>
      <c r="B370" s="63" t="s">
        <v>48</v>
      </c>
      <c r="C370" s="62" t="s">
        <v>939</v>
      </c>
      <c r="D370" s="64">
        <v>399.6</v>
      </c>
      <c r="E370" s="64">
        <v>399.6</v>
      </c>
      <c r="F370" s="64">
        <v>399.6</v>
      </c>
      <c r="G370" s="64">
        <v>399.6</v>
      </c>
      <c r="H370" s="64">
        <v>399.6</v>
      </c>
      <c r="I370" s="64">
        <v>399.6</v>
      </c>
      <c r="J370" s="64">
        <v>399.6</v>
      </c>
      <c r="K370" s="64">
        <v>399.6</v>
      </c>
    </row>
    <row r="371" spans="1:11" ht="15.75" customHeight="1">
      <c r="A371" s="62" t="s">
        <v>45</v>
      </c>
      <c r="B371" s="63" t="s">
        <v>48</v>
      </c>
      <c r="C371" s="62" t="s">
        <v>276</v>
      </c>
      <c r="D371" s="64">
        <v>219.6</v>
      </c>
      <c r="E371" s="64">
        <v>219.6</v>
      </c>
      <c r="F371" s="64">
        <v>219.6</v>
      </c>
      <c r="G371" s="64">
        <v>219.6</v>
      </c>
      <c r="H371" s="64">
        <v>219.6</v>
      </c>
      <c r="I371" s="64">
        <v>219.6</v>
      </c>
      <c r="J371" s="64">
        <v>219.6</v>
      </c>
      <c r="K371" s="64">
        <v>219.6</v>
      </c>
    </row>
    <row r="372" spans="1:11" ht="15.75" customHeight="1">
      <c r="A372" s="62" t="s">
        <v>45</v>
      </c>
      <c r="B372" s="63" t="s">
        <v>48</v>
      </c>
      <c r="C372" s="62" t="s">
        <v>263</v>
      </c>
      <c r="D372" s="64">
        <v>709.2</v>
      </c>
      <c r="E372" s="64">
        <v>709.2</v>
      </c>
      <c r="F372" s="64">
        <v>709.2</v>
      </c>
      <c r="G372" s="64">
        <v>709.2</v>
      </c>
      <c r="H372" s="64">
        <v>709.2</v>
      </c>
      <c r="I372" s="64">
        <v>709.2</v>
      </c>
      <c r="J372" s="64">
        <v>709.2</v>
      </c>
      <c r="K372" s="64">
        <v>709.2</v>
      </c>
    </row>
    <row r="373" spans="1:11" ht="15.75" customHeight="1">
      <c r="A373" s="62" t="s">
        <v>45</v>
      </c>
      <c r="B373" s="63" t="s">
        <v>48</v>
      </c>
      <c r="C373" s="62" t="s">
        <v>946</v>
      </c>
      <c r="D373" s="64">
        <v>859.5</v>
      </c>
      <c r="E373" s="64">
        <v>859.5</v>
      </c>
      <c r="F373" s="64">
        <v>859.5</v>
      </c>
      <c r="G373" s="64">
        <v>859.5</v>
      </c>
      <c r="H373" s="64">
        <v>859.5</v>
      </c>
      <c r="I373" s="64">
        <v>859.5</v>
      </c>
      <c r="J373" s="64">
        <v>859.5</v>
      </c>
      <c r="K373" s="64">
        <v>859.5</v>
      </c>
    </row>
    <row r="374" spans="1:11" ht="15.75" customHeight="1">
      <c r="A374" s="62" t="s">
        <v>45</v>
      </c>
      <c r="B374" s="63" t="s">
        <v>48</v>
      </c>
      <c r="C374" s="62" t="s">
        <v>278</v>
      </c>
      <c r="D374" s="64">
        <v>699.30000000000007</v>
      </c>
      <c r="E374" s="64">
        <v>699.30000000000007</v>
      </c>
      <c r="F374" s="64">
        <v>699.30000000000007</v>
      </c>
      <c r="G374" s="64">
        <v>699.30000000000007</v>
      </c>
      <c r="H374" s="64">
        <v>699.30000000000007</v>
      </c>
      <c r="I374" s="64">
        <v>699.30000000000007</v>
      </c>
      <c r="J374" s="64">
        <v>699.30000000000007</v>
      </c>
      <c r="K374" s="64">
        <v>699.30000000000007</v>
      </c>
    </row>
    <row r="375" spans="1:11" ht="15.75" customHeight="1">
      <c r="A375" s="62" t="s">
        <v>45</v>
      </c>
      <c r="B375" s="63" t="s">
        <v>48</v>
      </c>
      <c r="C375" s="62" t="s">
        <v>911</v>
      </c>
      <c r="D375" s="64">
        <v>319.5</v>
      </c>
      <c r="E375" s="64">
        <v>319.5</v>
      </c>
      <c r="F375" s="64">
        <v>319.5</v>
      </c>
      <c r="G375" s="64">
        <v>319.5</v>
      </c>
      <c r="H375" s="64">
        <v>319.5</v>
      </c>
      <c r="I375" s="64">
        <v>319.5</v>
      </c>
      <c r="J375" s="64">
        <v>319.5</v>
      </c>
      <c r="K375" s="64">
        <v>319.5</v>
      </c>
    </row>
    <row r="376" spans="1:11" ht="15.75" customHeight="1">
      <c r="A376" s="62" t="s">
        <v>45</v>
      </c>
      <c r="B376" s="63" t="s">
        <v>48</v>
      </c>
      <c r="C376" s="62" t="s">
        <v>377</v>
      </c>
      <c r="D376" s="64">
        <v>1079.1000000000001</v>
      </c>
      <c r="E376" s="64">
        <v>1079.1000000000001</v>
      </c>
      <c r="F376" s="64">
        <v>1079.1000000000001</v>
      </c>
      <c r="G376" s="64">
        <v>1079.1000000000001</v>
      </c>
      <c r="H376" s="64">
        <v>1079.1000000000001</v>
      </c>
      <c r="I376" s="64">
        <v>1079.1000000000001</v>
      </c>
      <c r="J376" s="64">
        <v>1079.1000000000001</v>
      </c>
      <c r="K376" s="64">
        <v>1079.1000000000001</v>
      </c>
    </row>
    <row r="377" spans="1:11" ht="15.75" customHeight="1">
      <c r="A377" s="62" t="s">
        <v>83</v>
      </c>
      <c r="B377" s="63" t="s">
        <v>48</v>
      </c>
      <c r="C377" s="62" t="s">
        <v>987</v>
      </c>
      <c r="D377" s="64">
        <v>1199.7</v>
      </c>
      <c r="E377" s="64">
        <v>1199.7</v>
      </c>
      <c r="F377" s="64">
        <v>1199.7</v>
      </c>
      <c r="G377" s="64">
        <v>1199.7</v>
      </c>
      <c r="H377" s="64">
        <v>1199.7</v>
      </c>
      <c r="I377" s="64">
        <v>1199.7</v>
      </c>
      <c r="J377" s="64">
        <v>1199.7</v>
      </c>
      <c r="K377" s="64">
        <v>1199.7</v>
      </c>
    </row>
    <row r="378" spans="1:11" ht="15.75" customHeight="1">
      <c r="A378" s="62" t="s">
        <v>83</v>
      </c>
      <c r="B378" s="63" t="s">
        <v>48</v>
      </c>
      <c r="C378" s="62" t="s">
        <v>374</v>
      </c>
      <c r="D378" s="64">
        <v>899.1</v>
      </c>
      <c r="E378" s="64">
        <v>899.1</v>
      </c>
      <c r="F378" s="64">
        <v>899.1</v>
      </c>
      <c r="G378" s="64">
        <v>899.1</v>
      </c>
      <c r="H378" s="64">
        <v>899.1</v>
      </c>
      <c r="I378" s="64">
        <v>899.1</v>
      </c>
      <c r="J378" s="64">
        <v>899.1</v>
      </c>
      <c r="K378" s="64">
        <v>899.1</v>
      </c>
    </row>
    <row r="379" spans="1:11" ht="15.75" customHeight="1">
      <c r="A379" s="62" t="s">
        <v>83</v>
      </c>
      <c r="B379" s="63" t="s">
        <v>48</v>
      </c>
      <c r="C379" s="62" t="s">
        <v>388</v>
      </c>
      <c r="D379" s="64">
        <v>1499.4</v>
      </c>
      <c r="E379" s="64">
        <v>1499.4</v>
      </c>
      <c r="F379" s="64">
        <v>1499.4</v>
      </c>
      <c r="G379" s="64">
        <v>1499.4</v>
      </c>
      <c r="H379" s="64">
        <v>1499.4</v>
      </c>
      <c r="I379" s="64">
        <v>1499.4</v>
      </c>
      <c r="J379" s="64">
        <v>1499.4</v>
      </c>
      <c r="K379" s="64">
        <v>1499.4</v>
      </c>
    </row>
    <row r="380" spans="1:11" ht="15.75" customHeight="1">
      <c r="A380" s="62" t="s">
        <v>91</v>
      </c>
      <c r="B380" s="63" t="s">
        <v>48</v>
      </c>
      <c r="C380" s="62" t="s">
        <v>963</v>
      </c>
      <c r="D380" s="64">
        <v>699.30000000000007</v>
      </c>
      <c r="E380" s="64">
        <v>699.30000000000007</v>
      </c>
      <c r="F380" s="64">
        <v>699.30000000000007</v>
      </c>
      <c r="G380" s="64">
        <v>699.30000000000007</v>
      </c>
      <c r="H380" s="64">
        <v>699.30000000000007</v>
      </c>
      <c r="I380" s="64">
        <v>699.30000000000007</v>
      </c>
      <c r="J380" s="64">
        <v>699.30000000000007</v>
      </c>
      <c r="K380" s="64">
        <v>699.30000000000007</v>
      </c>
    </row>
    <row r="381" spans="1:11" ht="15.75" customHeight="1">
      <c r="A381" s="62" t="s">
        <v>91</v>
      </c>
      <c r="B381" s="63" t="s">
        <v>48</v>
      </c>
      <c r="C381" s="62" t="s">
        <v>964</v>
      </c>
      <c r="D381" s="64">
        <v>1199.7</v>
      </c>
      <c r="E381" s="64">
        <v>1199.7</v>
      </c>
      <c r="F381" s="64">
        <v>1199.7</v>
      </c>
      <c r="G381" s="64">
        <v>1199.7</v>
      </c>
      <c r="H381" s="64">
        <v>1199.7</v>
      </c>
      <c r="I381" s="64">
        <v>1199.7</v>
      </c>
      <c r="J381" s="64">
        <v>1199.7</v>
      </c>
      <c r="K381" s="64">
        <v>1199.7</v>
      </c>
    </row>
    <row r="382" spans="1:11" ht="15.75" customHeight="1">
      <c r="A382" s="62" t="s">
        <v>83</v>
      </c>
      <c r="B382" s="63" t="s">
        <v>48</v>
      </c>
      <c r="C382" s="62" t="s">
        <v>868</v>
      </c>
      <c r="D382" s="64">
        <v>1869.3</v>
      </c>
      <c r="E382" s="64">
        <v>1869.3</v>
      </c>
      <c r="F382" s="64">
        <v>1869.3</v>
      </c>
      <c r="G382" s="64">
        <v>1869.3</v>
      </c>
      <c r="H382" s="64">
        <v>1869.3</v>
      </c>
      <c r="I382" s="64">
        <v>1869.3</v>
      </c>
      <c r="J382" s="64">
        <v>1869.3</v>
      </c>
      <c r="K382" s="64">
        <v>1869.3</v>
      </c>
    </row>
    <row r="383" spans="1:11" ht="15.75" customHeight="1">
      <c r="A383" s="62" t="s">
        <v>91</v>
      </c>
      <c r="B383" s="63" t="s">
        <v>48</v>
      </c>
      <c r="C383" s="62" t="s">
        <v>967</v>
      </c>
      <c r="D383" s="64">
        <v>1549.8</v>
      </c>
      <c r="E383" s="64">
        <v>1549.8</v>
      </c>
      <c r="F383" s="64">
        <v>1549.8</v>
      </c>
      <c r="G383" s="64">
        <v>1549.8</v>
      </c>
      <c r="H383" s="64">
        <v>1549.8</v>
      </c>
      <c r="I383" s="64">
        <v>1549.8</v>
      </c>
      <c r="J383" s="64">
        <v>1549.8</v>
      </c>
      <c r="K383" s="64">
        <v>1549.8</v>
      </c>
    </row>
    <row r="384" spans="1:11" ht="15.75" customHeight="1">
      <c r="A384" s="62" t="s">
        <v>91</v>
      </c>
      <c r="B384" s="63" t="s">
        <v>48</v>
      </c>
      <c r="C384" s="62" t="s">
        <v>989</v>
      </c>
      <c r="D384" s="64">
        <v>1699.2</v>
      </c>
      <c r="E384" s="64">
        <v>1699.2</v>
      </c>
      <c r="F384" s="64">
        <v>1699.2</v>
      </c>
      <c r="G384" s="64">
        <v>1699.2</v>
      </c>
      <c r="H384" s="64">
        <v>1699.2</v>
      </c>
      <c r="I384" s="64">
        <v>1699.2</v>
      </c>
      <c r="J384" s="64">
        <v>1699.2</v>
      </c>
      <c r="K384" s="64">
        <v>1699.2</v>
      </c>
    </row>
    <row r="385" spans="1:11" ht="15.75" customHeight="1">
      <c r="A385" s="62" t="s">
        <v>91</v>
      </c>
      <c r="B385" s="63" t="s">
        <v>48</v>
      </c>
      <c r="C385" s="62" t="s">
        <v>870</v>
      </c>
      <c r="D385" s="64">
        <v>2699.1</v>
      </c>
      <c r="E385" s="64">
        <v>2699.1</v>
      </c>
      <c r="F385" s="64">
        <v>2699.1</v>
      </c>
      <c r="G385" s="64">
        <v>2699.1</v>
      </c>
      <c r="H385" s="64">
        <v>2699.1</v>
      </c>
      <c r="I385" s="64">
        <v>2699.1</v>
      </c>
      <c r="J385" s="64">
        <v>2699.1</v>
      </c>
      <c r="K385" s="64">
        <v>2699.1</v>
      </c>
    </row>
    <row r="386" spans="1:11" ht="15.75" customHeight="1">
      <c r="A386" s="62" t="s">
        <v>91</v>
      </c>
      <c r="B386" s="63" t="s">
        <v>48</v>
      </c>
      <c r="C386" s="62" t="s">
        <v>196</v>
      </c>
      <c r="D386" s="64">
        <v>3899.7000000000003</v>
      </c>
      <c r="E386" s="64">
        <v>3899.7000000000003</v>
      </c>
      <c r="F386" s="64">
        <v>3899.7000000000003</v>
      </c>
      <c r="G386" s="64">
        <v>3899.7000000000003</v>
      </c>
      <c r="H386" s="64">
        <v>3899.7000000000003</v>
      </c>
      <c r="I386" s="64">
        <v>3899.7000000000003</v>
      </c>
      <c r="J386" s="64">
        <v>3899.7000000000003</v>
      </c>
      <c r="K386" s="64">
        <v>3899.7000000000003</v>
      </c>
    </row>
    <row r="387" spans="1:11" ht="15.75" customHeight="1">
      <c r="A387" s="62" t="s">
        <v>91</v>
      </c>
      <c r="B387" s="63" t="s">
        <v>48</v>
      </c>
      <c r="C387" s="62" t="s">
        <v>209</v>
      </c>
      <c r="D387" s="64">
        <v>4599</v>
      </c>
      <c r="E387" s="64">
        <v>4599</v>
      </c>
      <c r="F387" s="64">
        <v>4599</v>
      </c>
      <c r="G387" s="64">
        <v>4599</v>
      </c>
      <c r="H387" s="64">
        <v>4599</v>
      </c>
      <c r="I387" s="64">
        <v>4599</v>
      </c>
      <c r="J387" s="64">
        <v>4599</v>
      </c>
      <c r="K387" s="64">
        <v>4599</v>
      </c>
    </row>
    <row r="388" spans="1:11" ht="15.75" customHeight="1">
      <c r="A388" s="62" t="s">
        <v>45</v>
      </c>
      <c r="B388" s="63" t="s">
        <v>48</v>
      </c>
      <c r="C388" s="62" t="s">
        <v>486</v>
      </c>
      <c r="D388" s="64">
        <v>1149.3</v>
      </c>
      <c r="E388" s="64">
        <v>1149.3</v>
      </c>
      <c r="F388" s="64">
        <v>1149.3</v>
      </c>
      <c r="G388" s="64">
        <v>1149.3</v>
      </c>
      <c r="H388" s="64">
        <v>1149.3</v>
      </c>
      <c r="I388" s="64">
        <v>1149.3</v>
      </c>
      <c r="J388" s="64">
        <v>1149.3</v>
      </c>
      <c r="K388" s="64">
        <v>1149.3</v>
      </c>
    </row>
    <row r="389" spans="1:11" ht="15.75" customHeight="1">
      <c r="A389" s="62" t="s">
        <v>83</v>
      </c>
      <c r="B389" s="63" t="s">
        <v>48</v>
      </c>
      <c r="C389" s="62" t="s">
        <v>496</v>
      </c>
      <c r="D389" s="64">
        <v>1859.4</v>
      </c>
      <c r="E389" s="64">
        <v>1859.4</v>
      </c>
      <c r="F389" s="64">
        <v>1859.4</v>
      </c>
      <c r="G389" s="64">
        <v>1859.4</v>
      </c>
      <c r="H389" s="64">
        <v>1859.4</v>
      </c>
      <c r="I389" s="64">
        <v>1859.4</v>
      </c>
      <c r="J389" s="64">
        <v>1859.4</v>
      </c>
      <c r="K389" s="64">
        <v>1859.4</v>
      </c>
    </row>
    <row r="390" spans="1:11" ht="15.75" customHeight="1">
      <c r="A390" s="62" t="s">
        <v>45</v>
      </c>
      <c r="B390" s="63" t="s">
        <v>48</v>
      </c>
      <c r="C390" s="62" t="s">
        <v>905</v>
      </c>
      <c r="D390" s="64">
        <v>959.4</v>
      </c>
      <c r="E390" s="64">
        <v>959.4</v>
      </c>
      <c r="F390" s="64">
        <v>959.4</v>
      </c>
      <c r="G390" s="64">
        <v>959.4</v>
      </c>
      <c r="H390" s="64">
        <v>959.4</v>
      </c>
      <c r="I390" s="64">
        <v>959.4</v>
      </c>
      <c r="J390" s="64">
        <v>959.4</v>
      </c>
      <c r="K390" s="64">
        <v>959.4</v>
      </c>
    </row>
    <row r="391" spans="1:11" ht="15.75" customHeight="1">
      <c r="A391" s="62" t="s">
        <v>45</v>
      </c>
      <c r="B391" s="63" t="s">
        <v>48</v>
      </c>
      <c r="C391" s="62" t="s">
        <v>982</v>
      </c>
      <c r="D391" s="64">
        <v>159.30000000000001</v>
      </c>
      <c r="E391" s="64">
        <v>159.30000000000001</v>
      </c>
      <c r="F391" s="64">
        <v>159.30000000000001</v>
      </c>
      <c r="G391" s="64">
        <v>159.30000000000001</v>
      </c>
      <c r="H391" s="64">
        <v>159.30000000000001</v>
      </c>
      <c r="I391" s="64">
        <v>159.30000000000001</v>
      </c>
      <c r="J391" s="64">
        <v>159.30000000000001</v>
      </c>
      <c r="K391" s="64">
        <v>159.30000000000001</v>
      </c>
    </row>
    <row r="392" spans="1:11" ht="15.75" customHeight="1">
      <c r="A392" s="62" t="s">
        <v>91</v>
      </c>
      <c r="B392" s="63" t="s">
        <v>48</v>
      </c>
      <c r="C392" s="65" t="s">
        <v>535</v>
      </c>
      <c r="D392" s="64">
        <v>2279.7000000000003</v>
      </c>
      <c r="E392" s="64">
        <v>2279.7000000000003</v>
      </c>
      <c r="F392" s="64">
        <v>2279.7000000000003</v>
      </c>
      <c r="G392" s="64">
        <v>2279.7000000000003</v>
      </c>
      <c r="H392" s="64">
        <v>2279.7000000000003</v>
      </c>
      <c r="I392" s="64">
        <v>2279.7000000000003</v>
      </c>
      <c r="J392" s="64">
        <v>2279.7000000000003</v>
      </c>
      <c r="K392" s="64">
        <v>2279.7000000000003</v>
      </c>
    </row>
    <row r="393" spans="1:11" ht="15.75" customHeight="1">
      <c r="A393" s="62" t="s">
        <v>211</v>
      </c>
      <c r="B393" s="63" t="s">
        <v>48</v>
      </c>
      <c r="C393" s="62" t="s">
        <v>447</v>
      </c>
      <c r="D393" s="64">
        <v>399.6</v>
      </c>
      <c r="E393" s="64">
        <v>399.6</v>
      </c>
      <c r="F393" s="64">
        <v>399.6</v>
      </c>
      <c r="G393" s="64">
        <v>399.6</v>
      </c>
      <c r="H393" s="64">
        <v>399.6</v>
      </c>
      <c r="I393" s="64">
        <v>399.6</v>
      </c>
      <c r="J393" s="64">
        <v>399.6</v>
      </c>
      <c r="K393" s="64">
        <v>399.6</v>
      </c>
    </row>
    <row r="394" spans="1:11" ht="15.75" customHeight="1">
      <c r="A394" s="62" t="s">
        <v>45</v>
      </c>
      <c r="B394" s="63" t="s">
        <v>48</v>
      </c>
      <c r="C394" s="62" t="s">
        <v>254</v>
      </c>
      <c r="D394" s="64">
        <v>99</v>
      </c>
      <c r="E394" s="64">
        <v>99</v>
      </c>
      <c r="F394" s="64">
        <v>99</v>
      </c>
      <c r="G394" s="64">
        <v>99</v>
      </c>
      <c r="H394" s="64">
        <v>99</v>
      </c>
      <c r="I394" s="64">
        <v>99</v>
      </c>
      <c r="J394" s="64">
        <v>99</v>
      </c>
      <c r="K394" s="64">
        <v>99</v>
      </c>
    </row>
    <row r="395" spans="1:11" ht="15.75" customHeight="1">
      <c r="A395" s="62" t="s">
        <v>45</v>
      </c>
      <c r="B395" s="63" t="s">
        <v>48</v>
      </c>
      <c r="C395" s="62" t="s">
        <v>328</v>
      </c>
      <c r="D395" s="64">
        <v>599.4</v>
      </c>
      <c r="E395" s="64">
        <v>599.4</v>
      </c>
      <c r="F395" s="64">
        <v>599.4</v>
      </c>
      <c r="G395" s="64">
        <v>599.4</v>
      </c>
      <c r="H395" s="64">
        <v>599.4</v>
      </c>
      <c r="I395" s="64">
        <v>599.4</v>
      </c>
      <c r="J395" s="64">
        <v>599.4</v>
      </c>
      <c r="K395" s="64">
        <v>599.4</v>
      </c>
    </row>
    <row r="396" spans="1:11" ht="15.75" customHeight="1">
      <c r="A396" s="62" t="s">
        <v>83</v>
      </c>
      <c r="B396" s="63" t="s">
        <v>48</v>
      </c>
      <c r="C396" s="62" t="s">
        <v>897</v>
      </c>
      <c r="D396" s="64">
        <v>2589.3000000000002</v>
      </c>
      <c r="E396" s="64">
        <v>2589.3000000000002</v>
      </c>
      <c r="F396" s="64">
        <v>2589.3000000000002</v>
      </c>
      <c r="G396" s="64">
        <v>2589.3000000000002</v>
      </c>
      <c r="H396" s="64">
        <v>2589.3000000000002</v>
      </c>
      <c r="I396" s="64">
        <v>2589.3000000000002</v>
      </c>
      <c r="J396" s="64">
        <v>2589.3000000000002</v>
      </c>
      <c r="K396" s="64">
        <v>2589.3000000000002</v>
      </c>
    </row>
    <row r="397" spans="1:11" ht="15.75" customHeight="1">
      <c r="A397" s="62" t="s">
        <v>45</v>
      </c>
      <c r="B397" s="63" t="s">
        <v>48</v>
      </c>
      <c r="C397" s="62" t="s">
        <v>906</v>
      </c>
      <c r="D397" s="64">
        <v>709.2</v>
      </c>
      <c r="E397" s="64">
        <v>709.2</v>
      </c>
      <c r="F397" s="64">
        <v>709.2</v>
      </c>
      <c r="G397" s="64">
        <v>709.2</v>
      </c>
      <c r="H397" s="64">
        <v>709.2</v>
      </c>
      <c r="I397" s="64">
        <v>709.2</v>
      </c>
      <c r="J397" s="64">
        <v>709.2</v>
      </c>
      <c r="K397" s="64">
        <v>709.2</v>
      </c>
    </row>
    <row r="398" spans="1:11" ht="15.75" customHeight="1">
      <c r="A398" s="62" t="s">
        <v>45</v>
      </c>
      <c r="B398" s="63" t="s">
        <v>48</v>
      </c>
      <c r="C398" s="66" t="s">
        <v>986</v>
      </c>
      <c r="D398" s="67">
        <v>519.30000000000007</v>
      </c>
      <c r="E398" s="67">
        <v>519.30000000000007</v>
      </c>
      <c r="F398" s="67">
        <v>519.30000000000007</v>
      </c>
      <c r="G398" s="67">
        <v>519.30000000000007</v>
      </c>
      <c r="H398" s="67">
        <v>519.30000000000007</v>
      </c>
      <c r="I398" s="67">
        <v>519.30000000000007</v>
      </c>
      <c r="J398" s="67">
        <v>519.30000000000007</v>
      </c>
      <c r="K398" s="67">
        <v>519.30000000000007</v>
      </c>
    </row>
    <row r="399" spans="1:11" ht="15.75" customHeight="1">
      <c r="A399" s="62" t="s">
        <v>45</v>
      </c>
      <c r="B399" s="63" t="s">
        <v>48</v>
      </c>
      <c r="C399" s="66" t="s">
        <v>333</v>
      </c>
      <c r="D399" s="67">
        <v>699.30000000000007</v>
      </c>
      <c r="E399" s="67">
        <v>699.30000000000007</v>
      </c>
      <c r="F399" s="67">
        <v>699.30000000000007</v>
      </c>
      <c r="G399" s="67">
        <v>699.30000000000007</v>
      </c>
      <c r="H399" s="67">
        <v>699.30000000000007</v>
      </c>
      <c r="I399" s="67">
        <v>699.30000000000007</v>
      </c>
      <c r="J399" s="67">
        <v>699.30000000000007</v>
      </c>
      <c r="K399" s="67">
        <v>699.30000000000007</v>
      </c>
    </row>
    <row r="400" spans="1:11" ht="15.75" customHeight="1">
      <c r="A400" s="62" t="s">
        <v>45</v>
      </c>
      <c r="B400" s="63" t="s">
        <v>48</v>
      </c>
      <c r="C400" s="66" t="s">
        <v>944</v>
      </c>
      <c r="D400" s="67">
        <v>649.80000000000007</v>
      </c>
      <c r="E400" s="67">
        <v>649.80000000000007</v>
      </c>
      <c r="F400" s="67">
        <v>649.80000000000007</v>
      </c>
      <c r="G400" s="67">
        <v>649.80000000000007</v>
      </c>
      <c r="H400" s="67">
        <v>649.80000000000007</v>
      </c>
      <c r="I400" s="67">
        <v>649.80000000000007</v>
      </c>
      <c r="J400" s="67">
        <v>649.80000000000007</v>
      </c>
      <c r="K400" s="67">
        <v>649.80000000000007</v>
      </c>
    </row>
    <row r="401" spans="1:11" ht="15.75" customHeight="1">
      <c r="A401" s="62" t="s">
        <v>45</v>
      </c>
      <c r="B401" s="63" t="s">
        <v>48</v>
      </c>
      <c r="C401" s="66" t="s">
        <v>952</v>
      </c>
      <c r="D401" s="67">
        <v>849.6</v>
      </c>
      <c r="E401" s="67">
        <v>849.6</v>
      </c>
      <c r="F401" s="67">
        <v>849.6</v>
      </c>
      <c r="G401" s="67">
        <v>849.6</v>
      </c>
      <c r="H401" s="67">
        <v>849.6</v>
      </c>
      <c r="I401" s="67">
        <v>849.6</v>
      </c>
      <c r="J401" s="67">
        <v>849.6</v>
      </c>
      <c r="K401" s="67">
        <v>849.6</v>
      </c>
    </row>
    <row r="402" spans="1:11" ht="15.75" customHeight="1">
      <c r="A402" s="62" t="s">
        <v>45</v>
      </c>
      <c r="B402" s="63" t="s">
        <v>48</v>
      </c>
      <c r="C402" s="66" t="s">
        <v>953</v>
      </c>
      <c r="D402" s="67">
        <v>999</v>
      </c>
      <c r="E402" s="67">
        <v>999</v>
      </c>
      <c r="F402" s="67">
        <v>999</v>
      </c>
      <c r="G402" s="67">
        <v>999</v>
      </c>
      <c r="H402" s="67">
        <v>999</v>
      </c>
      <c r="I402" s="67">
        <v>999</v>
      </c>
      <c r="J402" s="67">
        <v>999</v>
      </c>
      <c r="K402" s="67">
        <v>999</v>
      </c>
    </row>
    <row r="403" spans="1:11" ht="15.75" customHeight="1">
      <c r="A403" s="62" t="s">
        <v>83</v>
      </c>
      <c r="B403" s="63" t="s">
        <v>48</v>
      </c>
      <c r="C403" s="66" t="s">
        <v>912</v>
      </c>
      <c r="D403" s="67">
        <v>1009.8000000000001</v>
      </c>
      <c r="E403" s="67">
        <v>1009.8000000000001</v>
      </c>
      <c r="F403" s="67">
        <v>1009.8000000000001</v>
      </c>
      <c r="G403" s="67">
        <v>1009.8000000000001</v>
      </c>
      <c r="H403" s="67">
        <v>1009.8000000000001</v>
      </c>
      <c r="I403" s="67">
        <v>1009.8000000000001</v>
      </c>
      <c r="J403" s="67">
        <v>1009.8000000000001</v>
      </c>
      <c r="K403" s="67">
        <v>1009.8000000000001</v>
      </c>
    </row>
    <row r="404" spans="1:11" ht="15.75" customHeight="1">
      <c r="A404" s="62" t="s">
        <v>83</v>
      </c>
      <c r="B404" s="63" t="s">
        <v>48</v>
      </c>
      <c r="C404" s="66" t="s">
        <v>959</v>
      </c>
      <c r="D404" s="67">
        <v>1399.5</v>
      </c>
      <c r="E404" s="67">
        <v>1399.5</v>
      </c>
      <c r="F404" s="67">
        <v>1399.5</v>
      </c>
      <c r="G404" s="67">
        <v>1399.5</v>
      </c>
      <c r="H404" s="67">
        <v>1399.5</v>
      </c>
      <c r="I404" s="67">
        <v>1399.5</v>
      </c>
      <c r="J404" s="67">
        <v>1399.5</v>
      </c>
      <c r="K404" s="67">
        <v>1399.5</v>
      </c>
    </row>
    <row r="405" spans="1:11" ht="15.75" customHeight="1">
      <c r="A405" s="62" t="s">
        <v>83</v>
      </c>
      <c r="B405" s="63" t="s">
        <v>48</v>
      </c>
      <c r="C405" s="66" t="s">
        <v>400</v>
      </c>
      <c r="D405" s="67">
        <v>1599.3</v>
      </c>
      <c r="E405" s="67">
        <v>1599.3</v>
      </c>
      <c r="F405" s="67">
        <v>1599.3</v>
      </c>
      <c r="G405" s="67">
        <v>1599.3</v>
      </c>
      <c r="H405" s="67">
        <v>1599.3</v>
      </c>
      <c r="I405" s="67">
        <v>1599.3</v>
      </c>
      <c r="J405" s="67">
        <v>1599.3</v>
      </c>
      <c r="K405" s="67">
        <v>1599.3</v>
      </c>
    </row>
    <row r="406" spans="1:11" ht="15.75" customHeight="1">
      <c r="A406" s="62" t="s">
        <v>91</v>
      </c>
      <c r="B406" s="63" t="s">
        <v>48</v>
      </c>
      <c r="C406" s="66" t="s">
        <v>971</v>
      </c>
      <c r="D406" s="67">
        <v>2719.8</v>
      </c>
      <c r="E406" s="67">
        <v>2719.8</v>
      </c>
      <c r="F406" s="67">
        <v>2719.8</v>
      </c>
      <c r="G406" s="67">
        <v>2719.8</v>
      </c>
      <c r="H406" s="67">
        <v>2719.8</v>
      </c>
      <c r="I406" s="67">
        <v>2719.8</v>
      </c>
      <c r="J406" s="67">
        <v>2719.8</v>
      </c>
      <c r="K406" s="67">
        <v>2719.8</v>
      </c>
    </row>
    <row r="407" spans="1:11" ht="15.75" customHeight="1">
      <c r="A407" s="62" t="s">
        <v>91</v>
      </c>
      <c r="B407" s="63" t="s">
        <v>48</v>
      </c>
      <c r="C407" s="66" t="s">
        <v>974</v>
      </c>
      <c r="D407" s="67">
        <v>3569.4</v>
      </c>
      <c r="E407" s="67">
        <v>3569.4</v>
      </c>
      <c r="F407" s="67">
        <v>3569.4</v>
      </c>
      <c r="G407" s="67">
        <v>3569.4</v>
      </c>
      <c r="H407" s="67">
        <v>3569.4</v>
      </c>
      <c r="I407" s="67">
        <v>3569.4</v>
      </c>
      <c r="J407" s="67">
        <v>3569.4</v>
      </c>
      <c r="K407" s="67">
        <v>3569.4</v>
      </c>
    </row>
    <row r="408" spans="1:11" ht="15.75" customHeight="1">
      <c r="A408" s="62" t="s">
        <v>91</v>
      </c>
      <c r="B408" s="63" t="s">
        <v>48</v>
      </c>
      <c r="C408" s="66" t="s">
        <v>977</v>
      </c>
      <c r="D408" s="67">
        <v>4419</v>
      </c>
      <c r="E408" s="67">
        <v>4419</v>
      </c>
      <c r="F408" s="67">
        <v>4419</v>
      </c>
      <c r="G408" s="67">
        <v>4419</v>
      </c>
      <c r="H408" s="67">
        <v>4419</v>
      </c>
      <c r="I408" s="67">
        <v>4419</v>
      </c>
      <c r="J408" s="67">
        <v>4419</v>
      </c>
      <c r="K408" s="67">
        <v>4419</v>
      </c>
    </row>
    <row r="409" spans="1:11" ht="15.75" customHeight="1">
      <c r="A409" s="62" t="s">
        <v>91</v>
      </c>
      <c r="B409" s="63" t="s">
        <v>48</v>
      </c>
      <c r="C409" s="66" t="s">
        <v>923</v>
      </c>
      <c r="D409" s="67">
        <v>4849.2</v>
      </c>
      <c r="E409" s="67">
        <v>4849.2</v>
      </c>
      <c r="F409" s="67">
        <v>4849.2</v>
      </c>
      <c r="G409" s="67">
        <v>4849.2</v>
      </c>
      <c r="H409" s="67">
        <v>4849.2</v>
      </c>
      <c r="I409" s="67">
        <v>4849.2</v>
      </c>
      <c r="J409" s="67">
        <v>4849.2</v>
      </c>
      <c r="K409" s="67">
        <v>4849.2</v>
      </c>
    </row>
    <row r="410" spans="1:11" ht="15.75" customHeight="1">
      <c r="A410" s="62" t="s">
        <v>91</v>
      </c>
      <c r="B410" s="63" t="s">
        <v>48</v>
      </c>
      <c r="C410" s="66" t="s">
        <v>863</v>
      </c>
      <c r="D410" s="67">
        <v>5269.5</v>
      </c>
      <c r="E410" s="67">
        <v>5269.5</v>
      </c>
      <c r="F410" s="67">
        <v>5269.5</v>
      </c>
      <c r="G410" s="67">
        <v>5269.5</v>
      </c>
      <c r="H410" s="67">
        <v>5269.5</v>
      </c>
      <c r="I410" s="67">
        <v>5269.5</v>
      </c>
      <c r="J410" s="67">
        <v>5269.5</v>
      </c>
      <c r="K410" s="67">
        <v>5269.5</v>
      </c>
    </row>
    <row r="411" spans="1:11" ht="15.75" customHeight="1">
      <c r="A411" s="62" t="s">
        <v>83</v>
      </c>
      <c r="B411" s="63" t="s">
        <v>48</v>
      </c>
      <c r="C411" s="66" t="s">
        <v>869</v>
      </c>
      <c r="D411" s="67">
        <v>1099.8</v>
      </c>
      <c r="E411" s="67">
        <v>1099.8</v>
      </c>
      <c r="F411" s="67">
        <v>1099.8</v>
      </c>
      <c r="G411" s="67">
        <v>1099.8</v>
      </c>
      <c r="H411" s="67">
        <v>1099.8</v>
      </c>
      <c r="I411" s="67">
        <v>1099.8</v>
      </c>
      <c r="J411" s="67">
        <v>1099.8</v>
      </c>
      <c r="K411" s="67">
        <v>1099.8</v>
      </c>
    </row>
    <row r="412" spans="1:11" ht="15.75" customHeight="1">
      <c r="A412" s="62" t="s">
        <v>211</v>
      </c>
      <c r="B412" s="63" t="s">
        <v>48</v>
      </c>
      <c r="C412" s="66" t="s">
        <v>179</v>
      </c>
      <c r="D412" s="67">
        <v>409.5</v>
      </c>
      <c r="E412" s="67">
        <v>409.5</v>
      </c>
      <c r="F412" s="67">
        <v>409.5</v>
      </c>
      <c r="G412" s="67">
        <v>409.5</v>
      </c>
      <c r="H412" s="67">
        <v>409.5</v>
      </c>
      <c r="I412" s="67">
        <v>409.5</v>
      </c>
      <c r="J412" s="67">
        <v>409.5</v>
      </c>
      <c r="K412" s="67">
        <v>409.5</v>
      </c>
    </row>
    <row r="413" spans="1:11" ht="15.75" customHeight="1">
      <c r="A413" s="62" t="s">
        <v>45</v>
      </c>
      <c r="B413" s="63" t="s">
        <v>48</v>
      </c>
      <c r="C413" s="66" t="s">
        <v>917</v>
      </c>
      <c r="D413" s="67">
        <v>1039.5</v>
      </c>
      <c r="E413" s="67">
        <v>1039.5</v>
      </c>
      <c r="F413" s="67">
        <v>1039.5</v>
      </c>
      <c r="G413" s="67">
        <v>1039.5</v>
      </c>
      <c r="H413" s="67">
        <v>1039.5</v>
      </c>
      <c r="I413" s="67">
        <v>1039.5</v>
      </c>
      <c r="J413" s="67">
        <v>1039.5</v>
      </c>
      <c r="K413" s="67">
        <v>1039.5</v>
      </c>
    </row>
    <row r="414" spans="1:11" ht="15.75" customHeight="1">
      <c r="A414" s="62" t="s">
        <v>83</v>
      </c>
      <c r="B414" s="63" t="s">
        <v>48</v>
      </c>
      <c r="C414" s="66" t="s">
        <v>304</v>
      </c>
      <c r="D414" s="67">
        <v>1329.3</v>
      </c>
      <c r="E414" s="67">
        <v>1329.3</v>
      </c>
      <c r="F414" s="67">
        <v>1329.3</v>
      </c>
      <c r="G414" s="67">
        <v>1329.3</v>
      </c>
      <c r="H414" s="67">
        <v>1329.3</v>
      </c>
      <c r="I414" s="67">
        <v>1329.3</v>
      </c>
      <c r="J414" s="67">
        <v>1329.3</v>
      </c>
      <c r="K414" s="67">
        <v>1329.3</v>
      </c>
    </row>
    <row r="415" spans="1:11" ht="15.75" customHeight="1">
      <c r="A415" s="62" t="s">
        <v>91</v>
      </c>
      <c r="B415" s="63" t="s">
        <v>48</v>
      </c>
      <c r="C415" s="66" t="s">
        <v>315</v>
      </c>
      <c r="D415" s="67">
        <v>1549.8</v>
      </c>
      <c r="E415" s="67">
        <v>1549.8</v>
      </c>
      <c r="F415" s="67">
        <v>1549.8</v>
      </c>
      <c r="G415" s="67">
        <v>1549.8</v>
      </c>
      <c r="H415" s="67">
        <v>1549.8</v>
      </c>
      <c r="I415" s="67">
        <v>1549.8</v>
      </c>
      <c r="J415" s="67">
        <v>1549.8</v>
      </c>
      <c r="K415" s="67">
        <v>1549.8</v>
      </c>
    </row>
    <row r="416" spans="1:11" ht="15.75" customHeight="1">
      <c r="A416" s="62" t="s">
        <v>45</v>
      </c>
      <c r="B416" s="63" t="s">
        <v>48</v>
      </c>
      <c r="C416" s="66" t="s">
        <v>924</v>
      </c>
      <c r="D416" s="67">
        <v>949.5</v>
      </c>
      <c r="E416" s="67">
        <v>949.5</v>
      </c>
      <c r="F416" s="67">
        <v>949.5</v>
      </c>
      <c r="G416" s="67">
        <v>949.5</v>
      </c>
      <c r="H416" s="67">
        <v>949.5</v>
      </c>
      <c r="I416" s="67">
        <v>949.5</v>
      </c>
      <c r="J416" s="67">
        <v>949.5</v>
      </c>
      <c r="K416" s="67">
        <v>949.5</v>
      </c>
    </row>
    <row r="417" spans="1:11" ht="15.75" customHeight="1">
      <c r="A417" s="62" t="s">
        <v>45</v>
      </c>
      <c r="B417" s="63" t="s">
        <v>48</v>
      </c>
      <c r="C417" s="66" t="s">
        <v>1004</v>
      </c>
      <c r="D417" s="67">
        <v>899.1</v>
      </c>
      <c r="E417" s="67">
        <v>899.1</v>
      </c>
      <c r="F417" s="67">
        <v>899.1</v>
      </c>
      <c r="G417" s="67">
        <v>899.1</v>
      </c>
      <c r="H417" s="67">
        <v>899.1</v>
      </c>
      <c r="I417" s="67">
        <v>899.1</v>
      </c>
      <c r="J417" s="67">
        <v>899.1</v>
      </c>
      <c r="K417" s="67">
        <v>899.1</v>
      </c>
    </row>
    <row r="418" spans="1:11" ht="15.75" customHeight="1">
      <c r="A418" s="62" t="s">
        <v>45</v>
      </c>
      <c r="B418" s="63" t="s">
        <v>48</v>
      </c>
      <c r="C418" s="66" t="s">
        <v>895</v>
      </c>
      <c r="D418" s="67">
        <v>589.5</v>
      </c>
      <c r="E418" s="67">
        <v>589.5</v>
      </c>
      <c r="F418" s="67">
        <v>589.5</v>
      </c>
      <c r="G418" s="67">
        <v>589.5</v>
      </c>
      <c r="H418" s="67">
        <v>589.5</v>
      </c>
      <c r="I418" s="67">
        <v>589.5</v>
      </c>
      <c r="J418" s="67">
        <v>589.5</v>
      </c>
      <c r="K418" s="67">
        <v>589.5</v>
      </c>
    </row>
    <row r="419" spans="1:11" ht="15.75" customHeight="1">
      <c r="A419" s="62" t="s">
        <v>211</v>
      </c>
      <c r="B419" s="63" t="s">
        <v>48</v>
      </c>
      <c r="C419" s="66" t="s">
        <v>904</v>
      </c>
      <c r="D419" s="67">
        <v>399.6</v>
      </c>
      <c r="E419" s="67">
        <v>399.6</v>
      </c>
      <c r="F419" s="67">
        <v>399.6</v>
      </c>
      <c r="G419" s="67">
        <v>399.6</v>
      </c>
      <c r="H419" s="67">
        <v>399.6</v>
      </c>
      <c r="I419" s="67">
        <v>399.6</v>
      </c>
      <c r="J419" s="67">
        <v>399.6</v>
      </c>
      <c r="K419" s="67">
        <v>399.6</v>
      </c>
    </row>
    <row r="420" spans="1:11" ht="15.75" customHeight="1">
      <c r="A420" s="62" t="s">
        <v>91</v>
      </c>
      <c r="B420" s="63" t="s">
        <v>48</v>
      </c>
      <c r="C420" s="66" t="s">
        <v>510</v>
      </c>
      <c r="D420" s="67">
        <v>1979.1000000000001</v>
      </c>
      <c r="E420" s="67">
        <v>1979.1000000000001</v>
      </c>
      <c r="F420" s="67">
        <v>1979.1000000000001</v>
      </c>
      <c r="G420" s="67">
        <v>1979.1000000000001</v>
      </c>
      <c r="H420" s="67">
        <v>1979.1000000000001</v>
      </c>
      <c r="I420" s="67">
        <v>1979.1000000000001</v>
      </c>
      <c r="J420" s="67">
        <v>1979.1000000000001</v>
      </c>
      <c r="K420" s="67">
        <v>1979.1000000000001</v>
      </c>
    </row>
    <row r="421" spans="1:11" ht="15.75" customHeight="1">
      <c r="A421" s="62" t="s">
        <v>83</v>
      </c>
      <c r="B421" s="63" t="s">
        <v>48</v>
      </c>
      <c r="C421" s="66" t="s">
        <v>902</v>
      </c>
      <c r="D421" s="67">
        <v>2999.7000000000003</v>
      </c>
      <c r="E421" s="67">
        <v>2999.7000000000003</v>
      </c>
      <c r="F421" s="67">
        <v>2999.7000000000003</v>
      </c>
      <c r="G421" s="67">
        <v>2999.7000000000003</v>
      </c>
      <c r="H421" s="67">
        <v>2999.7000000000003</v>
      </c>
      <c r="I421" s="67">
        <v>2999.7000000000003</v>
      </c>
      <c r="J421" s="67">
        <v>2999.7000000000003</v>
      </c>
      <c r="K421" s="67">
        <v>2999.7000000000003</v>
      </c>
    </row>
    <row r="422" spans="1:11" ht="15.75" customHeight="1">
      <c r="A422" s="62" t="s">
        <v>83</v>
      </c>
      <c r="B422" s="63" t="s">
        <v>48</v>
      </c>
      <c r="C422" s="66" t="s">
        <v>983</v>
      </c>
      <c r="D422" s="67">
        <v>899.1</v>
      </c>
      <c r="E422" s="67">
        <v>899.1</v>
      </c>
      <c r="F422" s="67">
        <v>899.1</v>
      </c>
      <c r="G422" s="67">
        <v>899.1</v>
      </c>
      <c r="H422" s="67">
        <v>899.1</v>
      </c>
      <c r="I422" s="67">
        <v>899.1</v>
      </c>
      <c r="J422" s="67">
        <v>899.1</v>
      </c>
      <c r="K422" s="67">
        <v>899.1</v>
      </c>
    </row>
    <row r="423" spans="1:11" ht="15.75" customHeight="1">
      <c r="A423" s="62" t="s">
        <v>91</v>
      </c>
      <c r="B423" s="63" t="s">
        <v>48</v>
      </c>
      <c r="C423" s="66" t="s">
        <v>984</v>
      </c>
      <c r="D423" s="67">
        <v>1999.8</v>
      </c>
      <c r="E423" s="67">
        <v>1999.8</v>
      </c>
      <c r="F423" s="67">
        <v>1999.8</v>
      </c>
      <c r="G423" s="67">
        <v>1999.8</v>
      </c>
      <c r="H423" s="67">
        <v>1999.8</v>
      </c>
      <c r="I423" s="67">
        <v>1999.8</v>
      </c>
      <c r="J423" s="67">
        <v>1999.8</v>
      </c>
      <c r="K423" s="67">
        <v>1999.8</v>
      </c>
    </row>
    <row r="424" spans="1:11" ht="15.75" customHeight="1">
      <c r="A424" s="62" t="s">
        <v>83</v>
      </c>
      <c r="B424" s="63" t="s">
        <v>48</v>
      </c>
      <c r="C424" s="66" t="s">
        <v>985</v>
      </c>
      <c r="D424" s="67">
        <v>1109.7</v>
      </c>
      <c r="E424" s="67">
        <v>1109.7</v>
      </c>
      <c r="F424" s="67">
        <v>1109.7</v>
      </c>
      <c r="G424" s="67">
        <v>1109.7</v>
      </c>
      <c r="H424" s="67">
        <v>1109.7</v>
      </c>
      <c r="I424" s="67">
        <v>1109.7</v>
      </c>
      <c r="J424" s="67">
        <v>1109.7</v>
      </c>
      <c r="K424" s="67">
        <v>1109.7</v>
      </c>
    </row>
    <row r="425" spans="1:11" ht="15.75" customHeight="1">
      <c r="A425" s="62" t="s">
        <v>1013</v>
      </c>
      <c r="B425" s="63" t="s">
        <v>48</v>
      </c>
      <c r="C425" s="66" t="s">
        <v>1006</v>
      </c>
      <c r="D425" s="67">
        <v>1389.6000000000001</v>
      </c>
      <c r="E425" s="67">
        <v>1389.6000000000001</v>
      </c>
      <c r="F425" s="67">
        <v>1389.6000000000001</v>
      </c>
      <c r="G425" s="67">
        <v>1389.6000000000001</v>
      </c>
      <c r="H425" s="67">
        <v>1389.6000000000001</v>
      </c>
      <c r="I425" s="67">
        <v>1389.6000000000001</v>
      </c>
      <c r="J425" s="67">
        <v>1389.6000000000001</v>
      </c>
      <c r="K425" s="67">
        <v>1389.6000000000001</v>
      </c>
    </row>
    <row r="426" spans="1:11" ht="15.75" customHeight="1"/>
    <row r="427" spans="1:11" ht="15.75" customHeight="1"/>
    <row r="428" spans="1:11" ht="15.75" customHeight="1"/>
    <row r="429" spans="1:11" ht="15.75" customHeight="1"/>
    <row r="430" spans="1:11" ht="15.75" customHeight="1"/>
    <row r="431" spans="1:11" ht="15.75" customHeight="1"/>
    <row r="432" spans="1:11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">
    <cfRule type="duplicateValues" dxfId="30106" priority="925"/>
    <cfRule type="duplicateValues" dxfId="30105" priority="926"/>
    <cfRule type="duplicateValues" dxfId="30104" priority="927"/>
    <cfRule type="duplicateValues" dxfId="30103" priority="10520"/>
    <cfRule type="duplicateValues" dxfId="30102" priority="10521"/>
    <cfRule type="duplicateValues" dxfId="30101" priority="10522"/>
    <cfRule type="duplicateValues" dxfId="30100" priority="10523"/>
    <cfRule type="duplicateValues" dxfId="30099" priority="10524"/>
    <cfRule type="duplicateValues" dxfId="30098" priority="10525"/>
    <cfRule type="duplicateValues" dxfId="30097" priority="10526"/>
    <cfRule type="duplicateValues" dxfId="30096" priority="30072"/>
    <cfRule type="duplicateValues" dxfId="30095" priority="30073"/>
    <cfRule type="duplicateValues" dxfId="30094" priority="30074"/>
    <cfRule type="duplicateValues" dxfId="30093" priority="30075"/>
    <cfRule type="duplicateValues" dxfId="30092" priority="30076"/>
    <cfRule type="duplicateValues" dxfId="30091" priority="30077"/>
    <cfRule type="duplicateValues" dxfId="30090" priority="30078"/>
    <cfRule type="duplicateValues" dxfId="30089" priority="30079"/>
    <cfRule type="duplicateValues" dxfId="30088" priority="30080"/>
    <cfRule type="duplicateValues" dxfId="30087" priority="30081"/>
    <cfRule type="duplicateValues" dxfId="30086" priority="30082"/>
    <cfRule type="duplicateValues" dxfId="30085" priority="30083"/>
    <cfRule type="duplicateValues" dxfId="30084" priority="30084"/>
    <cfRule type="duplicateValues" dxfId="30083" priority="30085"/>
    <cfRule type="duplicateValues" dxfId="30082" priority="30086"/>
    <cfRule type="duplicateValues" dxfId="30081" priority="30087"/>
    <cfRule type="duplicateValues" dxfId="30080" priority="30088"/>
    <cfRule type="duplicateValues" dxfId="30079" priority="30089"/>
    <cfRule type="duplicateValues" dxfId="30078" priority="30090"/>
    <cfRule type="duplicateValues" dxfId="30077" priority="30091"/>
    <cfRule type="duplicateValues" dxfId="30076" priority="30092"/>
    <cfRule type="duplicateValues" dxfId="30075" priority="30093"/>
    <cfRule type="duplicateValues" dxfId="30074" priority="30094"/>
    <cfRule type="duplicateValues" dxfId="30073" priority="30095"/>
    <cfRule type="duplicateValues" dxfId="30072" priority="30096"/>
    <cfRule type="duplicateValues" dxfId="30071" priority="30097"/>
    <cfRule type="duplicateValues" dxfId="30070" priority="30098"/>
    <cfRule type="duplicateValues" dxfId="30069" priority="30099"/>
    <cfRule type="duplicateValues" dxfId="30068" priority="30100"/>
    <cfRule type="duplicateValues" dxfId="30067" priority="30101"/>
    <cfRule type="duplicateValues" dxfId="30066" priority="30102"/>
    <cfRule type="duplicateValues" dxfId="30065" priority="30103"/>
    <cfRule type="duplicateValues" dxfId="30064" priority="30104"/>
    <cfRule type="duplicateValues" dxfId="30063" priority="30105"/>
    <cfRule type="duplicateValues" dxfId="30062" priority="30106"/>
    <cfRule type="duplicateValues" dxfId="30061" priority="30107"/>
    <cfRule type="duplicateValues" dxfId="30060" priority="30108"/>
    <cfRule type="duplicateValues" dxfId="30059" priority="30109"/>
    <cfRule type="duplicateValues" dxfId="30058" priority="30110"/>
    <cfRule type="duplicateValues" dxfId="30057" priority="30111"/>
    <cfRule type="duplicateValues" dxfId="30056" priority="30112"/>
    <cfRule type="duplicateValues" dxfId="30055" priority="30113"/>
    <cfRule type="duplicateValues" dxfId="30054" priority="30114"/>
  </conditionalFormatting>
  <conditionalFormatting sqref="C1:C425">
    <cfRule type="duplicateValues" dxfId="30053" priority="10519"/>
  </conditionalFormatting>
  <conditionalFormatting sqref="C2">
    <cfRule type="duplicateValues" dxfId="30052" priority="30019"/>
    <cfRule type="duplicateValues" dxfId="30051" priority="30020"/>
    <cfRule type="duplicateValues" dxfId="30050" priority="30021"/>
    <cfRule type="duplicateValues" dxfId="30049" priority="30022"/>
    <cfRule type="duplicateValues" dxfId="30048" priority="30023"/>
    <cfRule type="duplicateValues" dxfId="30047" priority="30024"/>
    <cfRule type="duplicateValues" dxfId="30046" priority="30025"/>
    <cfRule type="duplicateValues" dxfId="30045" priority="30026"/>
    <cfRule type="duplicateValues" dxfId="30044" priority="30027"/>
    <cfRule type="duplicateValues" dxfId="30043" priority="30028"/>
    <cfRule type="duplicateValues" dxfId="30042" priority="30029"/>
    <cfRule type="duplicateValues" dxfId="30041" priority="30030"/>
    <cfRule type="duplicateValues" dxfId="30040" priority="30031"/>
    <cfRule type="duplicateValues" dxfId="30039" priority="30032"/>
    <cfRule type="duplicateValues" dxfId="30038" priority="30033"/>
    <cfRule type="duplicateValues" dxfId="30037" priority="30034"/>
    <cfRule type="duplicateValues" dxfId="30036" priority="30035"/>
    <cfRule type="duplicateValues" dxfId="30035" priority="30036"/>
    <cfRule type="duplicateValues" dxfId="30034" priority="30037"/>
    <cfRule type="duplicateValues" dxfId="30033" priority="30038"/>
    <cfRule type="duplicateValues" dxfId="30032" priority="30039"/>
    <cfRule type="duplicateValues" dxfId="30031" priority="30040"/>
    <cfRule type="duplicateValues" dxfId="30030" priority="30041"/>
    <cfRule type="duplicateValues" dxfId="30029" priority="30042"/>
    <cfRule type="duplicateValues" dxfId="30028" priority="30043"/>
    <cfRule type="duplicateValues" dxfId="30027" priority="30044"/>
    <cfRule type="duplicateValues" dxfId="30026" priority="30045"/>
    <cfRule type="duplicateValues" dxfId="30025" priority="30046"/>
    <cfRule type="duplicateValues" dxfId="30024" priority="30047"/>
    <cfRule type="duplicateValues" dxfId="30023" priority="30048"/>
    <cfRule type="duplicateValues" dxfId="30022" priority="30049"/>
    <cfRule type="duplicateValues" dxfId="30021" priority="30050"/>
    <cfRule type="duplicateValues" dxfId="30020" priority="30051"/>
    <cfRule type="duplicateValues" dxfId="30019" priority="30052"/>
    <cfRule type="duplicateValues" dxfId="30018" priority="30053"/>
    <cfRule type="duplicateValues" dxfId="30017" priority="30054"/>
    <cfRule type="duplicateValues" dxfId="30016" priority="30055"/>
    <cfRule type="duplicateValues" dxfId="30015" priority="30056"/>
    <cfRule type="duplicateValues" dxfId="30014" priority="30057"/>
    <cfRule type="duplicateValues" dxfId="30013" priority="30058"/>
    <cfRule type="duplicateValues" dxfId="30012" priority="30059"/>
    <cfRule type="duplicateValues" dxfId="30011" priority="30060"/>
    <cfRule type="duplicateValues" dxfId="30010" priority="30061"/>
    <cfRule type="duplicateValues" dxfId="30009" priority="30062"/>
    <cfRule type="duplicateValues" dxfId="30008" priority="30063"/>
    <cfRule type="duplicateValues" dxfId="30007" priority="30064"/>
    <cfRule type="duplicateValues" dxfId="30006" priority="30065"/>
    <cfRule type="duplicateValues" dxfId="30005" priority="30066"/>
    <cfRule type="duplicateValues" dxfId="30004" priority="30067"/>
    <cfRule type="duplicateValues" dxfId="30003" priority="30068"/>
    <cfRule type="duplicateValues" dxfId="30002" priority="30069"/>
    <cfRule type="duplicateValues" dxfId="30001" priority="30070"/>
    <cfRule type="duplicateValues" dxfId="30000" priority="30071"/>
  </conditionalFormatting>
  <conditionalFormatting sqref="C2:C246 C249:C425">
    <cfRule type="duplicateValues" dxfId="29999" priority="12"/>
    <cfRule type="duplicateValues" dxfId="29998" priority="13"/>
    <cfRule type="duplicateValues" dxfId="29997" priority="14"/>
    <cfRule type="duplicateValues" dxfId="29996" priority="15"/>
    <cfRule type="duplicateValues" dxfId="29995" priority="16"/>
    <cfRule type="duplicateValues" dxfId="29994" priority="17"/>
    <cfRule type="duplicateValues" dxfId="29993" priority="18"/>
    <cfRule type="duplicateValues" dxfId="29992" priority="19"/>
    <cfRule type="duplicateValues" dxfId="29991" priority="20"/>
    <cfRule type="duplicateValues" dxfId="29990" priority="21"/>
    <cfRule type="duplicateValues" dxfId="29989" priority="22"/>
    <cfRule type="duplicateValues" dxfId="29988" priority="23"/>
    <cfRule type="duplicateValues" dxfId="29987" priority="24"/>
  </conditionalFormatting>
  <conditionalFormatting sqref="C2:C425">
    <cfRule type="duplicateValues" dxfId="29986" priority="860"/>
    <cfRule type="duplicateValues" dxfId="29985" priority="861"/>
    <cfRule type="duplicateValues" dxfId="29984" priority="862"/>
    <cfRule type="duplicateValues" dxfId="29983" priority="863"/>
    <cfRule type="duplicateValues" dxfId="29982" priority="864"/>
    <cfRule type="duplicateValues" dxfId="29981" priority="865"/>
    <cfRule type="duplicateValues" dxfId="29980" priority="866"/>
    <cfRule type="duplicateValues" dxfId="29979" priority="867"/>
    <cfRule type="duplicateValues" dxfId="29978" priority="868"/>
    <cfRule type="duplicateValues" dxfId="29977" priority="869"/>
    <cfRule type="duplicateValues" dxfId="29976" priority="870"/>
    <cfRule type="duplicateValues" dxfId="29975" priority="871"/>
  </conditionalFormatting>
  <conditionalFormatting sqref="C3:C15">
    <cfRule type="duplicateValues" dxfId="29974" priority="10466"/>
    <cfRule type="duplicateValues" dxfId="29973" priority="10467"/>
    <cfRule type="duplicateValues" dxfId="29972" priority="10468"/>
    <cfRule type="duplicateValues" dxfId="29971" priority="10469"/>
    <cfRule type="duplicateValues" dxfId="29970" priority="10470"/>
    <cfRule type="duplicateValues" dxfId="29969" priority="10471"/>
    <cfRule type="duplicateValues" dxfId="29968" priority="10472"/>
    <cfRule type="duplicateValues" dxfId="29967" priority="10473"/>
    <cfRule type="duplicateValues" dxfId="29966" priority="10474"/>
    <cfRule type="duplicateValues" dxfId="29965" priority="10475"/>
    <cfRule type="duplicateValues" dxfId="29964" priority="10476"/>
    <cfRule type="duplicateValues" dxfId="29963" priority="10477"/>
    <cfRule type="duplicateValues" dxfId="29962" priority="10478"/>
    <cfRule type="duplicateValues" dxfId="29961" priority="10479"/>
    <cfRule type="duplicateValues" dxfId="29960" priority="10480"/>
    <cfRule type="duplicateValues" dxfId="29959" priority="10481"/>
    <cfRule type="duplicateValues" dxfId="29958" priority="10482"/>
    <cfRule type="duplicateValues" dxfId="29957" priority="10483"/>
    <cfRule type="duplicateValues" dxfId="29956" priority="10484"/>
    <cfRule type="duplicateValues" dxfId="29955" priority="10485"/>
    <cfRule type="duplicateValues" dxfId="29954" priority="10486"/>
    <cfRule type="duplicateValues" dxfId="29953" priority="10487"/>
    <cfRule type="duplicateValues" dxfId="29952" priority="10488"/>
    <cfRule type="duplicateValues" dxfId="29951" priority="10489"/>
    <cfRule type="duplicateValues" dxfId="29950" priority="10490"/>
    <cfRule type="duplicateValues" dxfId="29949" priority="10491"/>
    <cfRule type="duplicateValues" dxfId="29948" priority="10492"/>
    <cfRule type="duplicateValues" dxfId="29947" priority="10493"/>
    <cfRule type="duplicateValues" dxfId="29946" priority="10494"/>
    <cfRule type="duplicateValues" dxfId="29945" priority="10495"/>
    <cfRule type="duplicateValues" dxfId="29944" priority="10496"/>
    <cfRule type="duplicateValues" dxfId="29943" priority="10497"/>
    <cfRule type="duplicateValues" dxfId="29942" priority="10498"/>
    <cfRule type="duplicateValues" dxfId="29941" priority="10499"/>
    <cfRule type="duplicateValues" dxfId="29940" priority="10500"/>
    <cfRule type="duplicateValues" dxfId="29939" priority="10501"/>
    <cfRule type="duplicateValues" dxfId="29938" priority="10502"/>
    <cfRule type="duplicateValues" dxfId="29937" priority="10503"/>
    <cfRule type="duplicateValues" dxfId="29936" priority="10504"/>
    <cfRule type="duplicateValues" dxfId="29935" priority="10505"/>
    <cfRule type="duplicateValues" dxfId="29934" priority="10506"/>
    <cfRule type="duplicateValues" dxfId="29933" priority="10507"/>
    <cfRule type="duplicateValues" dxfId="29932" priority="10508"/>
    <cfRule type="duplicateValues" dxfId="29931" priority="10509"/>
    <cfRule type="duplicateValues" dxfId="29930" priority="10510"/>
    <cfRule type="duplicateValues" dxfId="29929" priority="10511"/>
    <cfRule type="duplicateValues" dxfId="29928" priority="10512"/>
    <cfRule type="duplicateValues" dxfId="29927" priority="10513"/>
    <cfRule type="duplicateValues" dxfId="29926" priority="10514"/>
    <cfRule type="duplicateValues" dxfId="29925" priority="10515"/>
    <cfRule type="duplicateValues" dxfId="29924" priority="10516"/>
    <cfRule type="duplicateValues" dxfId="29923" priority="10517"/>
    <cfRule type="duplicateValues" dxfId="29922" priority="10518"/>
  </conditionalFormatting>
  <conditionalFormatting sqref="C16:C48">
    <cfRule type="duplicateValues" dxfId="29921" priority="10413"/>
    <cfRule type="duplicateValues" dxfId="29920" priority="10414"/>
    <cfRule type="duplicateValues" dxfId="29919" priority="10415"/>
    <cfRule type="duplicateValues" dxfId="29918" priority="10416"/>
    <cfRule type="duplicateValues" dxfId="29917" priority="10417"/>
    <cfRule type="duplicateValues" dxfId="29916" priority="10418"/>
    <cfRule type="duplicateValues" dxfId="29915" priority="10419"/>
    <cfRule type="duplicateValues" dxfId="29914" priority="10420"/>
    <cfRule type="duplicateValues" dxfId="29913" priority="10421"/>
    <cfRule type="duplicateValues" dxfId="29912" priority="10422"/>
    <cfRule type="duplicateValues" dxfId="29911" priority="10423"/>
    <cfRule type="duplicateValues" dxfId="29910" priority="10424"/>
    <cfRule type="duplicateValues" dxfId="29909" priority="10425"/>
    <cfRule type="duplicateValues" dxfId="29908" priority="10426"/>
    <cfRule type="duplicateValues" dxfId="29907" priority="10427"/>
    <cfRule type="duplicateValues" dxfId="29906" priority="10428"/>
    <cfRule type="duplicateValues" dxfId="29905" priority="10429"/>
    <cfRule type="duplicateValues" dxfId="29904" priority="10430"/>
    <cfRule type="duplicateValues" dxfId="29903" priority="10431"/>
    <cfRule type="duplicateValues" dxfId="29902" priority="10432"/>
    <cfRule type="duplicateValues" dxfId="29901" priority="10433"/>
    <cfRule type="duplicateValues" dxfId="29900" priority="10434"/>
    <cfRule type="duplicateValues" dxfId="29899" priority="10435"/>
    <cfRule type="duplicateValues" dxfId="29898" priority="10436"/>
    <cfRule type="duplicateValues" dxfId="29897" priority="10437"/>
    <cfRule type="duplicateValues" dxfId="29896" priority="10438"/>
    <cfRule type="duplicateValues" dxfId="29895" priority="10439"/>
    <cfRule type="duplicateValues" dxfId="29894" priority="10440"/>
    <cfRule type="duplicateValues" dxfId="29893" priority="10441"/>
    <cfRule type="duplicateValues" dxfId="29892" priority="10442"/>
    <cfRule type="duplicateValues" dxfId="29891" priority="10443"/>
    <cfRule type="duplicateValues" dxfId="29890" priority="10444"/>
    <cfRule type="duplicateValues" dxfId="29889" priority="10445"/>
    <cfRule type="duplicateValues" dxfId="29888" priority="10446"/>
    <cfRule type="duplicateValues" dxfId="29887" priority="10447"/>
    <cfRule type="duplicateValues" dxfId="29886" priority="10448"/>
    <cfRule type="duplicateValues" dxfId="29885" priority="10449"/>
    <cfRule type="duplicateValues" dxfId="29884" priority="10450"/>
    <cfRule type="duplicateValues" dxfId="29883" priority="10451"/>
    <cfRule type="duplicateValues" dxfId="29882" priority="10452"/>
    <cfRule type="duplicateValues" dxfId="29881" priority="10453"/>
    <cfRule type="duplicateValues" dxfId="29880" priority="10454"/>
    <cfRule type="duplicateValues" dxfId="29879" priority="10455"/>
    <cfRule type="duplicateValues" dxfId="29878" priority="10456"/>
    <cfRule type="duplicateValues" dxfId="29877" priority="10457"/>
    <cfRule type="duplicateValues" dxfId="29876" priority="10458"/>
    <cfRule type="duplicateValues" dxfId="29875" priority="10459"/>
    <cfRule type="duplicateValues" dxfId="29874" priority="10460"/>
    <cfRule type="duplicateValues" dxfId="29873" priority="10461"/>
    <cfRule type="duplicateValues" dxfId="29872" priority="10462"/>
    <cfRule type="duplicateValues" dxfId="29871" priority="10463"/>
    <cfRule type="duplicateValues" dxfId="29870" priority="10464"/>
    <cfRule type="duplicateValues" dxfId="29869" priority="10465"/>
  </conditionalFormatting>
  <conditionalFormatting sqref="C49:C50">
    <cfRule type="duplicateValues" dxfId="29868" priority="10360"/>
    <cfRule type="duplicateValues" dxfId="29867" priority="10361"/>
    <cfRule type="duplicateValues" dxfId="29866" priority="10362"/>
    <cfRule type="duplicateValues" dxfId="29865" priority="10363"/>
    <cfRule type="duplicateValues" dxfId="29864" priority="10364"/>
    <cfRule type="duplicateValues" dxfId="29863" priority="10365"/>
    <cfRule type="duplicateValues" dxfId="29862" priority="10366"/>
    <cfRule type="duplicateValues" dxfId="29861" priority="10367"/>
    <cfRule type="duplicateValues" dxfId="29860" priority="10368"/>
    <cfRule type="duplicateValues" dxfId="29859" priority="10369"/>
    <cfRule type="duplicateValues" dxfId="29858" priority="10370"/>
    <cfRule type="duplicateValues" dxfId="29857" priority="10371"/>
    <cfRule type="duplicateValues" dxfId="29856" priority="10372"/>
    <cfRule type="duplicateValues" dxfId="29855" priority="10373"/>
    <cfRule type="duplicateValues" dxfId="29854" priority="10374"/>
    <cfRule type="duplicateValues" dxfId="29853" priority="10375"/>
    <cfRule type="duplicateValues" dxfId="29852" priority="10376"/>
    <cfRule type="duplicateValues" dxfId="29851" priority="10377"/>
    <cfRule type="duplicateValues" dxfId="29850" priority="10378"/>
    <cfRule type="duplicateValues" dxfId="29849" priority="10379"/>
    <cfRule type="duplicateValues" dxfId="29848" priority="10380"/>
    <cfRule type="duplicateValues" dxfId="29847" priority="10381"/>
    <cfRule type="duplicateValues" dxfId="29846" priority="10382"/>
    <cfRule type="duplicateValues" dxfId="29845" priority="10383"/>
    <cfRule type="duplicateValues" dxfId="29844" priority="10384"/>
    <cfRule type="duplicateValues" dxfId="29843" priority="10385"/>
    <cfRule type="duplicateValues" dxfId="29842" priority="10386"/>
    <cfRule type="duplicateValues" dxfId="29841" priority="10387"/>
    <cfRule type="duplicateValues" dxfId="29840" priority="10388"/>
    <cfRule type="duplicateValues" dxfId="29839" priority="10389"/>
    <cfRule type="duplicateValues" dxfId="29838" priority="10390"/>
    <cfRule type="duplicateValues" dxfId="29837" priority="10391"/>
    <cfRule type="duplicateValues" dxfId="29836" priority="10392"/>
    <cfRule type="duplicateValues" dxfId="29835" priority="10393"/>
    <cfRule type="duplicateValues" dxfId="29834" priority="10394"/>
    <cfRule type="duplicateValues" dxfId="29833" priority="10395"/>
    <cfRule type="duplicateValues" dxfId="29832" priority="10396"/>
    <cfRule type="duplicateValues" dxfId="29831" priority="10397"/>
    <cfRule type="duplicateValues" dxfId="29830" priority="10398"/>
    <cfRule type="duplicateValues" dxfId="29829" priority="10399"/>
    <cfRule type="duplicateValues" dxfId="29828" priority="10400"/>
    <cfRule type="duplicateValues" dxfId="29827" priority="10401"/>
    <cfRule type="duplicateValues" dxfId="29826" priority="10402"/>
    <cfRule type="duplicateValues" dxfId="29825" priority="10403"/>
    <cfRule type="duplicateValues" dxfId="29824" priority="10404"/>
    <cfRule type="duplicateValues" dxfId="29823" priority="10405"/>
    <cfRule type="duplicateValues" dxfId="29822" priority="10406"/>
    <cfRule type="duplicateValues" dxfId="29821" priority="10407"/>
    <cfRule type="duplicateValues" dxfId="29820" priority="10408"/>
    <cfRule type="duplicateValues" dxfId="29819" priority="10409"/>
    <cfRule type="duplicateValues" dxfId="29818" priority="10410"/>
    <cfRule type="duplicateValues" dxfId="29817" priority="10411"/>
    <cfRule type="duplicateValues" dxfId="29816" priority="10412"/>
  </conditionalFormatting>
  <conditionalFormatting sqref="C51:C81">
    <cfRule type="duplicateValues" dxfId="29815" priority="10307"/>
    <cfRule type="duplicateValues" dxfId="29814" priority="10308"/>
    <cfRule type="duplicateValues" dxfId="29813" priority="10309"/>
    <cfRule type="duplicateValues" dxfId="29812" priority="10310"/>
    <cfRule type="duplicateValues" dxfId="29811" priority="10311"/>
    <cfRule type="duplicateValues" dxfId="29810" priority="10312"/>
    <cfRule type="duplicateValues" dxfId="29809" priority="10313"/>
    <cfRule type="duplicateValues" dxfId="29808" priority="10314"/>
    <cfRule type="duplicateValues" dxfId="29807" priority="10315"/>
    <cfRule type="duplicateValues" dxfId="29806" priority="10316"/>
    <cfRule type="duplicateValues" dxfId="29805" priority="10317"/>
    <cfRule type="duplicateValues" dxfId="29804" priority="10318"/>
    <cfRule type="duplicateValues" dxfId="29803" priority="10319"/>
    <cfRule type="duplicateValues" dxfId="29802" priority="10320"/>
    <cfRule type="duplicateValues" dxfId="29801" priority="10321"/>
    <cfRule type="duplicateValues" dxfId="29800" priority="10322"/>
    <cfRule type="duplicateValues" dxfId="29799" priority="10323"/>
    <cfRule type="duplicateValues" dxfId="29798" priority="10324"/>
    <cfRule type="duplicateValues" dxfId="29797" priority="10325"/>
    <cfRule type="duplicateValues" dxfId="29796" priority="10326"/>
    <cfRule type="duplicateValues" dxfId="29795" priority="10327"/>
    <cfRule type="duplicateValues" dxfId="29794" priority="10328"/>
    <cfRule type="duplicateValues" dxfId="29793" priority="10329"/>
    <cfRule type="duplicateValues" dxfId="29792" priority="10330"/>
    <cfRule type="duplicateValues" dxfId="29791" priority="10331"/>
    <cfRule type="duplicateValues" dxfId="29790" priority="10332"/>
    <cfRule type="duplicateValues" dxfId="29789" priority="10333"/>
    <cfRule type="duplicateValues" dxfId="29788" priority="10334"/>
    <cfRule type="duplicateValues" dxfId="29787" priority="10335"/>
    <cfRule type="duplicateValues" dxfId="29786" priority="10336"/>
    <cfRule type="duplicateValues" dxfId="29785" priority="10337"/>
    <cfRule type="duplicateValues" dxfId="29784" priority="10338"/>
    <cfRule type="duplicateValues" dxfId="29783" priority="10339"/>
    <cfRule type="duplicateValues" dxfId="29782" priority="10340"/>
    <cfRule type="duplicateValues" dxfId="29781" priority="10341"/>
    <cfRule type="duplicateValues" dxfId="29780" priority="10342"/>
    <cfRule type="duplicateValues" dxfId="29779" priority="10343"/>
    <cfRule type="duplicateValues" dxfId="29778" priority="10344"/>
    <cfRule type="duplicateValues" dxfId="29777" priority="10345"/>
    <cfRule type="duplicateValues" dxfId="29776" priority="10346"/>
    <cfRule type="duplicateValues" dxfId="29775" priority="10347"/>
    <cfRule type="duplicateValues" dxfId="29774" priority="10348"/>
    <cfRule type="duplicateValues" dxfId="29773" priority="10349"/>
    <cfRule type="duplicateValues" dxfId="29772" priority="10350"/>
    <cfRule type="duplicateValues" dxfId="29771" priority="10351"/>
    <cfRule type="duplicateValues" dxfId="29770" priority="10352"/>
    <cfRule type="duplicateValues" dxfId="29769" priority="10353"/>
    <cfRule type="duplicateValues" dxfId="29768" priority="10354"/>
    <cfRule type="duplicateValues" dxfId="29767" priority="10355"/>
    <cfRule type="duplicateValues" dxfId="29766" priority="10356"/>
    <cfRule type="duplicateValues" dxfId="29765" priority="10357"/>
    <cfRule type="duplicateValues" dxfId="29764" priority="10358"/>
    <cfRule type="duplicateValues" dxfId="29763" priority="10359"/>
  </conditionalFormatting>
  <conditionalFormatting sqref="C82:C108">
    <cfRule type="duplicateValues" dxfId="29762" priority="10254"/>
    <cfRule type="duplicateValues" dxfId="29761" priority="10255"/>
    <cfRule type="duplicateValues" dxfId="29760" priority="10256"/>
    <cfRule type="duplicateValues" dxfId="29759" priority="10257"/>
    <cfRule type="duplicateValues" dxfId="29758" priority="10258"/>
    <cfRule type="duplicateValues" dxfId="29757" priority="10259"/>
    <cfRule type="duplicateValues" dxfId="29756" priority="10260"/>
    <cfRule type="duplicateValues" dxfId="29755" priority="10261"/>
    <cfRule type="duplicateValues" dxfId="29754" priority="10262"/>
    <cfRule type="duplicateValues" dxfId="29753" priority="10263"/>
    <cfRule type="duplicateValues" dxfId="29752" priority="10264"/>
    <cfRule type="duplicateValues" dxfId="29751" priority="10265"/>
    <cfRule type="duplicateValues" dxfId="29750" priority="10266"/>
    <cfRule type="duplicateValues" dxfId="29749" priority="10267"/>
    <cfRule type="duplicateValues" dxfId="29748" priority="10268"/>
    <cfRule type="duplicateValues" dxfId="29747" priority="10269"/>
    <cfRule type="duplicateValues" dxfId="29746" priority="10270"/>
    <cfRule type="duplicateValues" dxfId="29745" priority="10271"/>
    <cfRule type="duplicateValues" dxfId="29744" priority="10272"/>
    <cfRule type="duplicateValues" dxfId="29743" priority="10273"/>
    <cfRule type="duplicateValues" dxfId="29742" priority="10274"/>
    <cfRule type="duplicateValues" dxfId="29741" priority="10275"/>
    <cfRule type="duplicateValues" dxfId="29740" priority="10276"/>
    <cfRule type="duplicateValues" dxfId="29739" priority="10277"/>
    <cfRule type="duplicateValues" dxfId="29738" priority="10278"/>
    <cfRule type="duplicateValues" dxfId="29737" priority="10279"/>
    <cfRule type="duplicateValues" dxfId="29736" priority="10280"/>
    <cfRule type="duplicateValues" dxfId="29735" priority="10281"/>
    <cfRule type="duplicateValues" dxfId="29734" priority="10282"/>
    <cfRule type="duplicateValues" dxfId="29733" priority="10283"/>
    <cfRule type="duplicateValues" dxfId="29732" priority="10284"/>
    <cfRule type="duplicateValues" dxfId="29731" priority="10285"/>
    <cfRule type="duplicateValues" dxfId="29730" priority="10286"/>
    <cfRule type="duplicateValues" dxfId="29729" priority="10287"/>
    <cfRule type="duplicateValues" dxfId="29728" priority="10288"/>
    <cfRule type="duplicateValues" dxfId="29727" priority="10289"/>
    <cfRule type="duplicateValues" dxfId="29726" priority="10290"/>
    <cfRule type="duplicateValues" dxfId="29725" priority="10291"/>
    <cfRule type="duplicateValues" dxfId="29724" priority="10292"/>
    <cfRule type="duplicateValues" dxfId="29723" priority="10293"/>
    <cfRule type="duplicateValues" dxfId="29722" priority="10294"/>
    <cfRule type="duplicateValues" dxfId="29721" priority="10295"/>
    <cfRule type="duplicateValues" dxfId="29720" priority="10296"/>
    <cfRule type="duplicateValues" dxfId="29719" priority="10297"/>
    <cfRule type="duplicateValues" dxfId="29718" priority="10298"/>
    <cfRule type="duplicateValues" dxfId="29717" priority="10299"/>
    <cfRule type="duplicateValues" dxfId="29716" priority="10300"/>
    <cfRule type="duplicateValues" dxfId="29715" priority="10301"/>
    <cfRule type="duplicateValues" dxfId="29714" priority="10302"/>
    <cfRule type="duplicateValues" dxfId="29713" priority="10303"/>
    <cfRule type="duplicateValues" dxfId="29712" priority="10304"/>
    <cfRule type="duplicateValues" dxfId="29711" priority="10305"/>
    <cfRule type="duplicateValues" dxfId="29710" priority="10306"/>
  </conditionalFormatting>
  <conditionalFormatting sqref="C109:C110">
    <cfRule type="duplicateValues" dxfId="29709" priority="10201"/>
    <cfRule type="duplicateValues" dxfId="29708" priority="10202"/>
    <cfRule type="duplicateValues" dxfId="29707" priority="10203"/>
    <cfRule type="duplicateValues" dxfId="29706" priority="10204"/>
    <cfRule type="duplicateValues" dxfId="29705" priority="10205"/>
    <cfRule type="duplicateValues" dxfId="29704" priority="10206"/>
    <cfRule type="duplicateValues" dxfId="29703" priority="10207"/>
    <cfRule type="duplicateValues" dxfId="29702" priority="10208"/>
    <cfRule type="duplicateValues" dxfId="29701" priority="10209"/>
    <cfRule type="duplicateValues" dxfId="29700" priority="10210"/>
    <cfRule type="duplicateValues" dxfId="29699" priority="10211"/>
    <cfRule type="duplicateValues" dxfId="29698" priority="10212"/>
    <cfRule type="duplicateValues" dxfId="29697" priority="10213"/>
    <cfRule type="duplicateValues" dxfId="29696" priority="10214"/>
    <cfRule type="duplicateValues" dxfId="29695" priority="10215"/>
    <cfRule type="duplicateValues" dxfId="29694" priority="10216"/>
    <cfRule type="duplicateValues" dxfId="29693" priority="10217"/>
    <cfRule type="duplicateValues" dxfId="29692" priority="10218"/>
    <cfRule type="duplicateValues" dxfId="29691" priority="10219"/>
    <cfRule type="duplicateValues" dxfId="29690" priority="10220"/>
    <cfRule type="duplicateValues" dxfId="29689" priority="10221"/>
    <cfRule type="duplicateValues" dxfId="29688" priority="10222"/>
    <cfRule type="duplicateValues" dxfId="29687" priority="10223"/>
    <cfRule type="duplicateValues" dxfId="29686" priority="10224"/>
    <cfRule type="duplicateValues" dxfId="29685" priority="10225"/>
    <cfRule type="duplicateValues" dxfId="29684" priority="10226"/>
    <cfRule type="duplicateValues" dxfId="29683" priority="10227"/>
    <cfRule type="duplicateValues" dxfId="29682" priority="10228"/>
    <cfRule type="duplicateValues" dxfId="29681" priority="10229"/>
    <cfRule type="duplicateValues" dxfId="29680" priority="10230"/>
    <cfRule type="duplicateValues" dxfId="29679" priority="10231"/>
    <cfRule type="duplicateValues" dxfId="29678" priority="10232"/>
    <cfRule type="duplicateValues" dxfId="29677" priority="10233"/>
    <cfRule type="duplicateValues" dxfId="29676" priority="10234"/>
    <cfRule type="duplicateValues" dxfId="29675" priority="10235"/>
    <cfRule type="duplicateValues" dxfId="29674" priority="10236"/>
    <cfRule type="duplicateValues" dxfId="29673" priority="10237"/>
    <cfRule type="duplicateValues" dxfId="29672" priority="10238"/>
    <cfRule type="duplicateValues" dxfId="29671" priority="10239"/>
    <cfRule type="duplicateValues" dxfId="29670" priority="10240"/>
    <cfRule type="duplicateValues" dxfId="29669" priority="10241"/>
    <cfRule type="duplicateValues" dxfId="29668" priority="10242"/>
    <cfRule type="duplicateValues" dxfId="29667" priority="10243"/>
    <cfRule type="duplicateValues" dxfId="29666" priority="10244"/>
    <cfRule type="duplicateValues" dxfId="29665" priority="10245"/>
    <cfRule type="duplicateValues" dxfId="29664" priority="10246"/>
    <cfRule type="duplicateValues" dxfId="29663" priority="10247"/>
    <cfRule type="duplicateValues" dxfId="29662" priority="10248"/>
    <cfRule type="duplicateValues" dxfId="29661" priority="10249"/>
    <cfRule type="duplicateValues" dxfId="29660" priority="10250"/>
    <cfRule type="duplicateValues" dxfId="29659" priority="10251"/>
    <cfRule type="duplicateValues" dxfId="29658" priority="10252"/>
    <cfRule type="duplicateValues" dxfId="29657" priority="10253"/>
  </conditionalFormatting>
  <conditionalFormatting sqref="C111">
    <cfRule type="duplicateValues" dxfId="29656" priority="29966"/>
    <cfRule type="duplicateValues" dxfId="29655" priority="29967"/>
    <cfRule type="duplicateValues" dxfId="29654" priority="29968"/>
    <cfRule type="duplicateValues" dxfId="29653" priority="29969"/>
    <cfRule type="duplicateValues" dxfId="29652" priority="29970"/>
    <cfRule type="duplicateValues" dxfId="29651" priority="29971"/>
    <cfRule type="duplicateValues" dxfId="29650" priority="29972"/>
    <cfRule type="duplicateValues" dxfId="29649" priority="29973"/>
    <cfRule type="duplicateValues" dxfId="29648" priority="29974"/>
    <cfRule type="duplicateValues" dxfId="29647" priority="29975"/>
    <cfRule type="duplicateValues" dxfId="29646" priority="29976"/>
    <cfRule type="duplicateValues" dxfId="29645" priority="29977"/>
    <cfRule type="duplicateValues" dxfId="29644" priority="29978"/>
    <cfRule type="duplicateValues" dxfId="29643" priority="29979"/>
    <cfRule type="duplicateValues" dxfId="29642" priority="29980"/>
    <cfRule type="duplicateValues" dxfId="29641" priority="29981"/>
    <cfRule type="duplicateValues" dxfId="29640" priority="29982"/>
    <cfRule type="duplicateValues" dxfId="29639" priority="29983"/>
    <cfRule type="duplicateValues" dxfId="29638" priority="29984"/>
    <cfRule type="duplicateValues" dxfId="29637" priority="29985"/>
    <cfRule type="duplicateValues" dxfId="29636" priority="29986"/>
    <cfRule type="duplicateValues" dxfId="29635" priority="29987"/>
    <cfRule type="duplicateValues" dxfId="29634" priority="29988"/>
    <cfRule type="duplicateValues" dxfId="29633" priority="29989"/>
    <cfRule type="duplicateValues" dxfId="29632" priority="29990"/>
    <cfRule type="duplicateValues" dxfId="29631" priority="29991"/>
    <cfRule type="duplicateValues" dxfId="29630" priority="29992"/>
    <cfRule type="duplicateValues" dxfId="29629" priority="29993"/>
    <cfRule type="duplicateValues" dxfId="29628" priority="29994"/>
    <cfRule type="duplicateValues" dxfId="29627" priority="29995"/>
    <cfRule type="duplicateValues" dxfId="29626" priority="29996"/>
    <cfRule type="duplicateValues" dxfId="29625" priority="29997"/>
    <cfRule type="duplicateValues" dxfId="29624" priority="29998"/>
    <cfRule type="duplicateValues" dxfId="29623" priority="29999"/>
    <cfRule type="duplicateValues" dxfId="29622" priority="30000"/>
    <cfRule type="duplicateValues" dxfId="29621" priority="30001"/>
    <cfRule type="duplicateValues" dxfId="29620" priority="30002"/>
    <cfRule type="duplicateValues" dxfId="29619" priority="30003"/>
    <cfRule type="duplicateValues" dxfId="29618" priority="30004"/>
    <cfRule type="duplicateValues" dxfId="29617" priority="30005"/>
    <cfRule type="duplicateValues" dxfId="29616" priority="30006"/>
    <cfRule type="duplicateValues" dxfId="29615" priority="30007"/>
    <cfRule type="duplicateValues" dxfId="29614" priority="30008"/>
    <cfRule type="duplicateValues" dxfId="29613" priority="30009"/>
    <cfRule type="duplicateValues" dxfId="29612" priority="30010"/>
    <cfRule type="duplicateValues" dxfId="29611" priority="30011"/>
    <cfRule type="duplicateValues" dxfId="29610" priority="30012"/>
    <cfRule type="duplicateValues" dxfId="29609" priority="30013"/>
    <cfRule type="duplicateValues" dxfId="29608" priority="30014"/>
    <cfRule type="duplicateValues" dxfId="29607" priority="30015"/>
    <cfRule type="duplicateValues" dxfId="29606" priority="30016"/>
    <cfRule type="duplicateValues" dxfId="29605" priority="30017"/>
    <cfRule type="duplicateValues" dxfId="29604" priority="30018"/>
  </conditionalFormatting>
  <conditionalFormatting sqref="C112:C118">
    <cfRule type="duplicateValues" dxfId="29603" priority="10148"/>
    <cfRule type="duplicateValues" dxfId="29602" priority="10149"/>
    <cfRule type="duplicateValues" dxfId="29601" priority="10150"/>
    <cfRule type="duplicateValues" dxfId="29600" priority="10151"/>
    <cfRule type="duplicateValues" dxfId="29599" priority="10152"/>
    <cfRule type="duplicateValues" dxfId="29598" priority="10153"/>
    <cfRule type="duplicateValues" dxfId="29597" priority="10154"/>
    <cfRule type="duplicateValues" dxfId="29596" priority="10155"/>
    <cfRule type="duplicateValues" dxfId="29595" priority="10156"/>
    <cfRule type="duplicateValues" dxfId="29594" priority="10157"/>
    <cfRule type="duplicateValues" dxfId="29593" priority="10158"/>
    <cfRule type="duplicateValues" dxfId="29592" priority="10159"/>
    <cfRule type="duplicateValues" dxfId="29591" priority="10160"/>
    <cfRule type="duplicateValues" dxfId="29590" priority="10161"/>
    <cfRule type="duplicateValues" dxfId="29589" priority="10162"/>
    <cfRule type="duplicateValues" dxfId="29588" priority="10163"/>
    <cfRule type="duplicateValues" dxfId="29587" priority="10164"/>
    <cfRule type="duplicateValues" dxfId="29586" priority="10165"/>
    <cfRule type="duplicateValues" dxfId="29585" priority="10166"/>
    <cfRule type="duplicateValues" dxfId="29584" priority="10167"/>
    <cfRule type="duplicateValues" dxfId="29583" priority="10168"/>
    <cfRule type="duplicateValues" dxfId="29582" priority="10169"/>
    <cfRule type="duplicateValues" dxfId="29581" priority="10170"/>
    <cfRule type="duplicateValues" dxfId="29580" priority="10171"/>
    <cfRule type="duplicateValues" dxfId="29579" priority="10172"/>
    <cfRule type="duplicateValues" dxfId="29578" priority="10173"/>
    <cfRule type="duplicateValues" dxfId="29577" priority="10174"/>
    <cfRule type="duplicateValues" dxfId="29576" priority="10175"/>
    <cfRule type="duplicateValues" dxfId="29575" priority="10176"/>
    <cfRule type="duplicateValues" dxfId="29574" priority="10177"/>
    <cfRule type="duplicateValues" dxfId="29573" priority="10178"/>
    <cfRule type="duplicateValues" dxfId="29572" priority="10179"/>
    <cfRule type="duplicateValues" dxfId="29571" priority="10180"/>
    <cfRule type="duplicateValues" dxfId="29570" priority="10181"/>
    <cfRule type="duplicateValues" dxfId="29569" priority="10182"/>
    <cfRule type="duplicateValues" dxfId="29568" priority="10183"/>
    <cfRule type="duplicateValues" dxfId="29567" priority="10184"/>
    <cfRule type="duplicateValues" dxfId="29566" priority="10185"/>
    <cfRule type="duplicateValues" dxfId="29565" priority="10186"/>
    <cfRule type="duplicateValues" dxfId="29564" priority="10187"/>
    <cfRule type="duplicateValues" dxfId="29563" priority="10188"/>
    <cfRule type="duplicateValues" dxfId="29562" priority="10189"/>
    <cfRule type="duplicateValues" dxfId="29561" priority="10190"/>
    <cfRule type="duplicateValues" dxfId="29560" priority="10191"/>
    <cfRule type="duplicateValues" dxfId="29559" priority="10192"/>
    <cfRule type="duplicateValues" dxfId="29558" priority="10193"/>
    <cfRule type="duplicateValues" dxfId="29557" priority="10194"/>
    <cfRule type="duplicateValues" dxfId="29556" priority="10195"/>
    <cfRule type="duplicateValues" dxfId="29555" priority="10196"/>
    <cfRule type="duplicateValues" dxfId="29554" priority="10197"/>
    <cfRule type="duplicateValues" dxfId="29553" priority="10198"/>
    <cfRule type="duplicateValues" dxfId="29552" priority="10199"/>
    <cfRule type="duplicateValues" dxfId="29551" priority="10200"/>
  </conditionalFormatting>
  <conditionalFormatting sqref="C119:C134">
    <cfRule type="duplicateValues" dxfId="29550" priority="10095"/>
    <cfRule type="duplicateValues" dxfId="29549" priority="10096"/>
    <cfRule type="duplicateValues" dxfId="29548" priority="10097"/>
    <cfRule type="duplicateValues" dxfId="29547" priority="10098"/>
    <cfRule type="duplicateValues" dxfId="29546" priority="10099"/>
    <cfRule type="duplicateValues" dxfId="29545" priority="10100"/>
    <cfRule type="duplicateValues" dxfId="29544" priority="10101"/>
    <cfRule type="duplicateValues" dxfId="29543" priority="10102"/>
    <cfRule type="duplicateValues" dxfId="29542" priority="10103"/>
    <cfRule type="duplicateValues" dxfId="29541" priority="10104"/>
    <cfRule type="duplicateValues" dxfId="29540" priority="10105"/>
    <cfRule type="duplicateValues" dxfId="29539" priority="10106"/>
    <cfRule type="duplicateValues" dxfId="29538" priority="10107"/>
    <cfRule type="duplicateValues" dxfId="29537" priority="10108"/>
    <cfRule type="duplicateValues" dxfId="29536" priority="10109"/>
    <cfRule type="duplicateValues" dxfId="29535" priority="10110"/>
    <cfRule type="duplicateValues" dxfId="29534" priority="10111"/>
    <cfRule type="duplicateValues" dxfId="29533" priority="10112"/>
    <cfRule type="duplicateValues" dxfId="29532" priority="10113"/>
    <cfRule type="duplicateValues" dxfId="29531" priority="10114"/>
    <cfRule type="duplicateValues" dxfId="29530" priority="10115"/>
    <cfRule type="duplicateValues" dxfId="29529" priority="10116"/>
    <cfRule type="duplicateValues" dxfId="29528" priority="10117"/>
    <cfRule type="duplicateValues" dxfId="29527" priority="10118"/>
    <cfRule type="duplicateValues" dxfId="29526" priority="10119"/>
    <cfRule type="duplicateValues" dxfId="29525" priority="10120"/>
    <cfRule type="duplicateValues" dxfId="29524" priority="10121"/>
    <cfRule type="duplicateValues" dxfId="29523" priority="10122"/>
    <cfRule type="duplicateValues" dxfId="29522" priority="10123"/>
    <cfRule type="duplicateValues" dxfId="29521" priority="10124"/>
    <cfRule type="duplicateValues" dxfId="29520" priority="10125"/>
    <cfRule type="duplicateValues" dxfId="29519" priority="10126"/>
    <cfRule type="duplicateValues" dxfId="29518" priority="10127"/>
    <cfRule type="duplicateValues" dxfId="29517" priority="10128"/>
    <cfRule type="duplicateValues" dxfId="29516" priority="10129"/>
    <cfRule type="duplicateValues" dxfId="29515" priority="10130"/>
    <cfRule type="duplicateValues" dxfId="29514" priority="10131"/>
    <cfRule type="duplicateValues" dxfId="29513" priority="10132"/>
    <cfRule type="duplicateValues" dxfId="29512" priority="10133"/>
    <cfRule type="duplicateValues" dxfId="29511" priority="10134"/>
    <cfRule type="duplicateValues" dxfId="29510" priority="10135"/>
    <cfRule type="duplicateValues" dxfId="29509" priority="10136"/>
    <cfRule type="duplicateValues" dxfId="29508" priority="10137"/>
    <cfRule type="duplicateValues" dxfId="29507" priority="10138"/>
    <cfRule type="duplicateValues" dxfId="29506" priority="10139"/>
    <cfRule type="duplicateValues" dxfId="29505" priority="10140"/>
    <cfRule type="duplicateValues" dxfId="29504" priority="10141"/>
    <cfRule type="duplicateValues" dxfId="29503" priority="10142"/>
    <cfRule type="duplicateValues" dxfId="29502" priority="10143"/>
    <cfRule type="duplicateValues" dxfId="29501" priority="10144"/>
    <cfRule type="duplicateValues" dxfId="29500" priority="10145"/>
    <cfRule type="duplicateValues" dxfId="29499" priority="10146"/>
    <cfRule type="duplicateValues" dxfId="29498" priority="10147"/>
  </conditionalFormatting>
  <conditionalFormatting sqref="C135">
    <cfRule type="duplicateValues" dxfId="29497" priority="29913"/>
    <cfRule type="duplicateValues" dxfId="29496" priority="29914"/>
    <cfRule type="duplicateValues" dxfId="29495" priority="29915"/>
    <cfRule type="duplicateValues" dxfId="29494" priority="29916"/>
    <cfRule type="duplicateValues" dxfId="29493" priority="29917"/>
    <cfRule type="duplicateValues" dxfId="29492" priority="29918"/>
    <cfRule type="duplicateValues" dxfId="29491" priority="29919"/>
    <cfRule type="duplicateValues" dxfId="29490" priority="29920"/>
    <cfRule type="duplicateValues" dxfId="29489" priority="29921"/>
    <cfRule type="duplicateValues" dxfId="29488" priority="29922"/>
    <cfRule type="duplicateValues" dxfId="29487" priority="29923"/>
    <cfRule type="duplicateValues" dxfId="29486" priority="29924"/>
    <cfRule type="duplicateValues" dxfId="29485" priority="29925"/>
    <cfRule type="duplicateValues" dxfId="29484" priority="29926"/>
    <cfRule type="duplicateValues" dxfId="29483" priority="29927"/>
    <cfRule type="duplicateValues" dxfId="29482" priority="29928"/>
    <cfRule type="duplicateValues" dxfId="29481" priority="29929"/>
    <cfRule type="duplicateValues" dxfId="29480" priority="29930"/>
    <cfRule type="duplicateValues" dxfId="29479" priority="29931"/>
    <cfRule type="duplicateValues" dxfId="29478" priority="29932"/>
    <cfRule type="duplicateValues" dxfId="29477" priority="29933"/>
    <cfRule type="duplicateValues" dxfId="29476" priority="29934"/>
    <cfRule type="duplicateValues" dxfId="29475" priority="29935"/>
    <cfRule type="duplicateValues" dxfId="29474" priority="29936"/>
    <cfRule type="duplicateValues" dxfId="29473" priority="29937"/>
    <cfRule type="duplicateValues" dxfId="29472" priority="29938"/>
    <cfRule type="duplicateValues" dxfId="29471" priority="29939"/>
    <cfRule type="duplicateValues" dxfId="29470" priority="29940"/>
    <cfRule type="duplicateValues" dxfId="29469" priority="29941"/>
    <cfRule type="duplicateValues" dxfId="29468" priority="29942"/>
    <cfRule type="duplicateValues" dxfId="29467" priority="29943"/>
    <cfRule type="duplicateValues" dxfId="29466" priority="29944"/>
    <cfRule type="duplicateValues" dxfId="29465" priority="29945"/>
    <cfRule type="duplicateValues" dxfId="29464" priority="29946"/>
    <cfRule type="duplicateValues" dxfId="29463" priority="29947"/>
    <cfRule type="duplicateValues" dxfId="29462" priority="29948"/>
    <cfRule type="duplicateValues" dxfId="29461" priority="29949"/>
    <cfRule type="duplicateValues" dxfId="29460" priority="29950"/>
    <cfRule type="duplicateValues" dxfId="29459" priority="29951"/>
    <cfRule type="duplicateValues" dxfId="29458" priority="29952"/>
    <cfRule type="duplicateValues" dxfId="29457" priority="29953"/>
    <cfRule type="duplicateValues" dxfId="29456" priority="29954"/>
    <cfRule type="duplicateValues" dxfId="29455" priority="29955"/>
    <cfRule type="duplicateValues" dxfId="29454" priority="29956"/>
    <cfRule type="duplicateValues" dxfId="29453" priority="29957"/>
    <cfRule type="duplicateValues" dxfId="29452" priority="29958"/>
    <cfRule type="duplicateValues" dxfId="29451" priority="29959"/>
    <cfRule type="duplicateValues" dxfId="29450" priority="29960"/>
    <cfRule type="duplicateValues" dxfId="29449" priority="29961"/>
    <cfRule type="duplicateValues" dxfId="29448" priority="29962"/>
    <cfRule type="duplicateValues" dxfId="29447" priority="29963"/>
    <cfRule type="duplicateValues" dxfId="29446" priority="29964"/>
    <cfRule type="duplicateValues" dxfId="29445" priority="29965"/>
  </conditionalFormatting>
  <conditionalFormatting sqref="C136:C139">
    <cfRule type="duplicateValues" dxfId="29444" priority="10042"/>
    <cfRule type="duplicateValues" dxfId="29443" priority="10043"/>
    <cfRule type="duplicateValues" dxfId="29442" priority="10044"/>
    <cfRule type="duplicateValues" dxfId="29441" priority="10045"/>
    <cfRule type="duplicateValues" dxfId="29440" priority="10046"/>
    <cfRule type="duplicateValues" dxfId="29439" priority="10047"/>
    <cfRule type="duplicateValues" dxfId="29438" priority="10048"/>
    <cfRule type="duplicateValues" dxfId="29437" priority="10049"/>
    <cfRule type="duplicateValues" dxfId="29436" priority="10050"/>
    <cfRule type="duplicateValues" dxfId="29435" priority="10051"/>
    <cfRule type="duplicateValues" dxfId="29434" priority="10052"/>
    <cfRule type="duplicateValues" dxfId="29433" priority="10053"/>
    <cfRule type="duplicateValues" dxfId="29432" priority="10054"/>
    <cfRule type="duplicateValues" dxfId="29431" priority="10055"/>
    <cfRule type="duplicateValues" dxfId="29430" priority="10056"/>
    <cfRule type="duplicateValues" dxfId="29429" priority="10057"/>
    <cfRule type="duplicateValues" dxfId="29428" priority="10058"/>
    <cfRule type="duplicateValues" dxfId="29427" priority="10059"/>
    <cfRule type="duplicateValues" dxfId="29426" priority="10060"/>
    <cfRule type="duplicateValues" dxfId="29425" priority="10061"/>
    <cfRule type="duplicateValues" dxfId="29424" priority="10062"/>
    <cfRule type="duplicateValues" dxfId="29423" priority="10063"/>
    <cfRule type="duplicateValues" dxfId="29422" priority="10064"/>
    <cfRule type="duplicateValues" dxfId="29421" priority="10065"/>
    <cfRule type="duplicateValues" dxfId="29420" priority="10066"/>
    <cfRule type="duplicateValues" dxfId="29419" priority="10067"/>
    <cfRule type="duplicateValues" dxfId="29418" priority="10068"/>
    <cfRule type="duplicateValues" dxfId="29417" priority="10069"/>
    <cfRule type="duplicateValues" dxfId="29416" priority="10070"/>
    <cfRule type="duplicateValues" dxfId="29415" priority="10071"/>
    <cfRule type="duplicateValues" dxfId="29414" priority="10072"/>
    <cfRule type="duplicateValues" dxfId="29413" priority="10073"/>
    <cfRule type="duplicateValues" dxfId="29412" priority="10074"/>
    <cfRule type="duplicateValues" dxfId="29411" priority="10075"/>
    <cfRule type="duplicateValues" dxfId="29410" priority="10076"/>
    <cfRule type="duplicateValues" dxfId="29409" priority="10077"/>
    <cfRule type="duplicateValues" dxfId="29408" priority="10078"/>
    <cfRule type="duplicateValues" dxfId="29407" priority="10079"/>
    <cfRule type="duplicateValues" dxfId="29406" priority="10080"/>
    <cfRule type="duplicateValues" dxfId="29405" priority="10081"/>
    <cfRule type="duplicateValues" dxfId="29404" priority="10082"/>
    <cfRule type="duplicateValues" dxfId="29403" priority="10083"/>
    <cfRule type="duplicateValues" dxfId="29402" priority="10084"/>
    <cfRule type="duplicateValues" dxfId="29401" priority="10085"/>
    <cfRule type="duplicateValues" dxfId="29400" priority="10086"/>
    <cfRule type="duplicateValues" dxfId="29399" priority="10087"/>
    <cfRule type="duplicateValues" dxfId="29398" priority="10088"/>
    <cfRule type="duplicateValues" dxfId="29397" priority="10089"/>
    <cfRule type="duplicateValues" dxfId="29396" priority="10090"/>
    <cfRule type="duplicateValues" dxfId="29395" priority="10091"/>
    <cfRule type="duplicateValues" dxfId="29394" priority="10092"/>
    <cfRule type="duplicateValues" dxfId="29393" priority="10093"/>
    <cfRule type="duplicateValues" dxfId="29392" priority="10094"/>
  </conditionalFormatting>
  <conditionalFormatting sqref="C140:C147">
    <cfRule type="duplicateValues" dxfId="29391" priority="9989"/>
    <cfRule type="duplicateValues" dxfId="29390" priority="9990"/>
    <cfRule type="duplicateValues" dxfId="29389" priority="9991"/>
    <cfRule type="duplicateValues" dxfId="29388" priority="9992"/>
    <cfRule type="duplicateValues" dxfId="29387" priority="9993"/>
    <cfRule type="duplicateValues" dxfId="29386" priority="9994"/>
    <cfRule type="duplicateValues" dxfId="29385" priority="9995"/>
    <cfRule type="duplicateValues" dxfId="29384" priority="9996"/>
    <cfRule type="duplicateValues" dxfId="29383" priority="9997"/>
    <cfRule type="duplicateValues" dxfId="29382" priority="9998"/>
    <cfRule type="duplicateValues" dxfId="29381" priority="9999"/>
    <cfRule type="duplicateValues" dxfId="29380" priority="10000"/>
    <cfRule type="duplicateValues" dxfId="29379" priority="10001"/>
    <cfRule type="duplicateValues" dxfId="29378" priority="10002"/>
    <cfRule type="duplicateValues" dxfId="29377" priority="10003"/>
    <cfRule type="duplicateValues" dxfId="29376" priority="10004"/>
    <cfRule type="duplicateValues" dxfId="29375" priority="10005"/>
    <cfRule type="duplicateValues" dxfId="29374" priority="10006"/>
    <cfRule type="duplicateValues" dxfId="29373" priority="10007"/>
    <cfRule type="duplicateValues" dxfId="29372" priority="10008"/>
    <cfRule type="duplicateValues" dxfId="29371" priority="10009"/>
    <cfRule type="duplicateValues" dxfId="29370" priority="10010"/>
    <cfRule type="duplicateValues" dxfId="29369" priority="10011"/>
    <cfRule type="duplicateValues" dxfId="29368" priority="10012"/>
    <cfRule type="duplicateValues" dxfId="29367" priority="10013"/>
    <cfRule type="duplicateValues" dxfId="29366" priority="10014"/>
    <cfRule type="duplicateValues" dxfId="29365" priority="10015"/>
    <cfRule type="duplicateValues" dxfId="29364" priority="10016"/>
    <cfRule type="duplicateValues" dxfId="29363" priority="10017"/>
    <cfRule type="duplicateValues" dxfId="29362" priority="10018"/>
    <cfRule type="duplicateValues" dxfId="29361" priority="10019"/>
    <cfRule type="duplicateValues" dxfId="29360" priority="10020"/>
    <cfRule type="duplicateValues" dxfId="29359" priority="10021"/>
    <cfRule type="duplicateValues" dxfId="29358" priority="10022"/>
    <cfRule type="duplicateValues" dxfId="29357" priority="10023"/>
    <cfRule type="duplicateValues" dxfId="29356" priority="10024"/>
    <cfRule type="duplicateValues" dxfId="29355" priority="10025"/>
    <cfRule type="duplicateValues" dxfId="29354" priority="10026"/>
    <cfRule type="duplicateValues" dxfId="29353" priority="10027"/>
    <cfRule type="duplicateValues" dxfId="29352" priority="10028"/>
    <cfRule type="duplicateValues" dxfId="29351" priority="10029"/>
    <cfRule type="duplicateValues" dxfId="29350" priority="10030"/>
    <cfRule type="duplicateValues" dxfId="29349" priority="10031"/>
    <cfRule type="duplicateValues" dxfId="29348" priority="10032"/>
    <cfRule type="duplicateValues" dxfId="29347" priority="10033"/>
    <cfRule type="duplicateValues" dxfId="29346" priority="10034"/>
    <cfRule type="duplicateValues" dxfId="29345" priority="10035"/>
    <cfRule type="duplicateValues" dxfId="29344" priority="10036"/>
    <cfRule type="duplicateValues" dxfId="29343" priority="10037"/>
    <cfRule type="duplicateValues" dxfId="29342" priority="10038"/>
    <cfRule type="duplicateValues" dxfId="29341" priority="10039"/>
    <cfRule type="duplicateValues" dxfId="29340" priority="10040"/>
    <cfRule type="duplicateValues" dxfId="29339" priority="10041"/>
  </conditionalFormatting>
  <conditionalFormatting sqref="C148:C149">
    <cfRule type="duplicateValues" dxfId="29338" priority="9936"/>
    <cfRule type="duplicateValues" dxfId="29337" priority="9937"/>
    <cfRule type="duplicateValues" dxfId="29336" priority="9938"/>
    <cfRule type="duplicateValues" dxfId="29335" priority="9939"/>
    <cfRule type="duplicateValues" dxfId="29334" priority="9940"/>
    <cfRule type="duplicateValues" dxfId="29333" priority="9941"/>
    <cfRule type="duplicateValues" dxfId="29332" priority="9942"/>
    <cfRule type="duplicateValues" dxfId="29331" priority="9943"/>
    <cfRule type="duplicateValues" dxfId="29330" priority="9944"/>
    <cfRule type="duplicateValues" dxfId="29329" priority="9945"/>
    <cfRule type="duplicateValues" dxfId="29328" priority="9946"/>
    <cfRule type="duplicateValues" dxfId="29327" priority="9947"/>
    <cfRule type="duplicateValues" dxfId="29326" priority="9948"/>
    <cfRule type="duplicateValues" dxfId="29325" priority="9949"/>
    <cfRule type="duplicateValues" dxfId="29324" priority="9950"/>
    <cfRule type="duplicateValues" dxfId="29323" priority="9951"/>
    <cfRule type="duplicateValues" dxfId="29322" priority="9952"/>
    <cfRule type="duplicateValues" dxfId="29321" priority="9953"/>
    <cfRule type="duplicateValues" dxfId="29320" priority="9954"/>
    <cfRule type="duplicateValues" dxfId="29319" priority="9955"/>
    <cfRule type="duplicateValues" dxfId="29318" priority="9956"/>
    <cfRule type="duplicateValues" dxfId="29317" priority="9957"/>
    <cfRule type="duplicateValues" dxfId="29316" priority="9958"/>
    <cfRule type="duplicateValues" dxfId="29315" priority="9959"/>
    <cfRule type="duplicateValues" dxfId="29314" priority="9960"/>
    <cfRule type="duplicateValues" dxfId="29313" priority="9961"/>
    <cfRule type="duplicateValues" dxfId="29312" priority="9962"/>
    <cfRule type="duplicateValues" dxfId="29311" priority="9963"/>
    <cfRule type="duplicateValues" dxfId="29310" priority="9964"/>
    <cfRule type="duplicateValues" dxfId="29309" priority="9965"/>
    <cfRule type="duplicateValues" dxfId="29308" priority="9966"/>
    <cfRule type="duplicateValues" dxfId="29307" priority="9967"/>
    <cfRule type="duplicateValues" dxfId="29306" priority="9968"/>
    <cfRule type="duplicateValues" dxfId="29305" priority="9969"/>
    <cfRule type="duplicateValues" dxfId="29304" priority="9970"/>
    <cfRule type="duplicateValues" dxfId="29303" priority="9971"/>
    <cfRule type="duplicateValues" dxfId="29302" priority="9972"/>
    <cfRule type="duplicateValues" dxfId="29301" priority="9973"/>
    <cfRule type="duplicateValues" dxfId="29300" priority="9974"/>
    <cfRule type="duplicateValues" dxfId="29299" priority="9975"/>
    <cfRule type="duplicateValues" dxfId="29298" priority="9976"/>
    <cfRule type="duplicateValues" dxfId="29297" priority="9977"/>
    <cfRule type="duplicateValues" dxfId="29296" priority="9978"/>
    <cfRule type="duplicateValues" dxfId="29295" priority="9979"/>
    <cfRule type="duplicateValues" dxfId="29294" priority="9980"/>
    <cfRule type="duplicateValues" dxfId="29293" priority="9981"/>
    <cfRule type="duplicateValues" dxfId="29292" priority="9982"/>
    <cfRule type="duplicateValues" dxfId="29291" priority="9983"/>
    <cfRule type="duplicateValues" dxfId="29290" priority="9984"/>
    <cfRule type="duplicateValues" dxfId="29289" priority="9985"/>
    <cfRule type="duplicateValues" dxfId="29288" priority="9986"/>
    <cfRule type="duplicateValues" dxfId="29287" priority="9987"/>
    <cfRule type="duplicateValues" dxfId="29286" priority="9988"/>
  </conditionalFormatting>
  <conditionalFormatting sqref="C150">
    <cfRule type="duplicateValues" dxfId="29285" priority="29860"/>
    <cfRule type="duplicateValues" dxfId="29284" priority="29861"/>
    <cfRule type="duplicateValues" dxfId="29283" priority="29862"/>
    <cfRule type="duplicateValues" dxfId="29282" priority="29863"/>
    <cfRule type="duplicateValues" dxfId="29281" priority="29864"/>
    <cfRule type="duplicateValues" dxfId="29280" priority="29865"/>
    <cfRule type="duplicateValues" dxfId="29279" priority="29866"/>
    <cfRule type="duplicateValues" dxfId="29278" priority="29867"/>
    <cfRule type="duplicateValues" dxfId="29277" priority="29868"/>
    <cfRule type="duplicateValues" dxfId="29276" priority="29869"/>
    <cfRule type="duplicateValues" dxfId="29275" priority="29870"/>
    <cfRule type="duplicateValues" dxfId="29274" priority="29871"/>
    <cfRule type="duplicateValues" dxfId="29273" priority="29872"/>
    <cfRule type="duplicateValues" dxfId="29272" priority="29873"/>
    <cfRule type="duplicateValues" dxfId="29271" priority="29874"/>
    <cfRule type="duplicateValues" dxfId="29270" priority="29875"/>
    <cfRule type="duplicateValues" dxfId="29269" priority="29876"/>
    <cfRule type="duplicateValues" dxfId="29268" priority="29877"/>
    <cfRule type="duplicateValues" dxfId="29267" priority="29878"/>
    <cfRule type="duplicateValues" dxfId="29266" priority="29879"/>
    <cfRule type="duplicateValues" dxfId="29265" priority="29880"/>
    <cfRule type="duplicateValues" dxfId="29264" priority="29881"/>
    <cfRule type="duplicateValues" dxfId="29263" priority="29882"/>
    <cfRule type="duplicateValues" dxfId="29262" priority="29883"/>
    <cfRule type="duplicateValues" dxfId="29261" priority="29884"/>
    <cfRule type="duplicateValues" dxfId="29260" priority="29885"/>
    <cfRule type="duplicateValues" dxfId="29259" priority="29886"/>
    <cfRule type="duplicateValues" dxfId="29258" priority="29887"/>
    <cfRule type="duplicateValues" dxfId="29257" priority="29888"/>
    <cfRule type="duplicateValues" dxfId="29256" priority="29889"/>
    <cfRule type="duplicateValues" dxfId="29255" priority="29890"/>
    <cfRule type="duplicateValues" dxfId="29254" priority="29891"/>
    <cfRule type="duplicateValues" dxfId="29253" priority="29892"/>
    <cfRule type="duplicateValues" dxfId="29252" priority="29893"/>
    <cfRule type="duplicateValues" dxfId="29251" priority="29894"/>
    <cfRule type="duplicateValues" dxfId="29250" priority="29895"/>
    <cfRule type="duplicateValues" dxfId="29249" priority="29896"/>
    <cfRule type="duplicateValues" dxfId="29248" priority="29897"/>
    <cfRule type="duplicateValues" dxfId="29247" priority="29898"/>
    <cfRule type="duplicateValues" dxfId="29246" priority="29899"/>
    <cfRule type="duplicateValues" dxfId="29245" priority="29900"/>
    <cfRule type="duplicateValues" dxfId="29244" priority="29901"/>
    <cfRule type="duplicateValues" dxfId="29243" priority="29902"/>
    <cfRule type="duplicateValues" dxfId="29242" priority="29903"/>
    <cfRule type="duplicateValues" dxfId="29241" priority="29904"/>
    <cfRule type="duplicateValues" dxfId="29240" priority="29905"/>
    <cfRule type="duplicateValues" dxfId="29239" priority="29906"/>
    <cfRule type="duplicateValues" dxfId="29238" priority="29907"/>
    <cfRule type="duplicateValues" dxfId="29237" priority="29908"/>
    <cfRule type="duplicateValues" dxfId="29236" priority="29909"/>
    <cfRule type="duplicateValues" dxfId="29235" priority="29910"/>
    <cfRule type="duplicateValues" dxfId="29234" priority="29911"/>
    <cfRule type="duplicateValues" dxfId="29233" priority="29912"/>
  </conditionalFormatting>
  <conditionalFormatting sqref="C151:C153">
    <cfRule type="duplicateValues" dxfId="29232" priority="9883"/>
    <cfRule type="duplicateValues" dxfId="29231" priority="9884"/>
    <cfRule type="duplicateValues" dxfId="29230" priority="9885"/>
    <cfRule type="duplicateValues" dxfId="29229" priority="9886"/>
    <cfRule type="duplicateValues" dxfId="29228" priority="9887"/>
    <cfRule type="duplicateValues" dxfId="29227" priority="9888"/>
    <cfRule type="duplicateValues" dxfId="29226" priority="9889"/>
    <cfRule type="duplicateValues" dxfId="29225" priority="9890"/>
    <cfRule type="duplicateValues" dxfId="29224" priority="9891"/>
    <cfRule type="duplicateValues" dxfId="29223" priority="9892"/>
    <cfRule type="duplicateValues" dxfId="29222" priority="9893"/>
    <cfRule type="duplicateValues" dxfId="29221" priority="9894"/>
    <cfRule type="duplicateValues" dxfId="29220" priority="9895"/>
    <cfRule type="duplicateValues" dxfId="29219" priority="9896"/>
    <cfRule type="duplicateValues" dxfId="29218" priority="9897"/>
    <cfRule type="duplicateValues" dxfId="29217" priority="9898"/>
    <cfRule type="duplicateValues" dxfId="29216" priority="9899"/>
    <cfRule type="duplicateValues" dxfId="29215" priority="9900"/>
    <cfRule type="duplicateValues" dxfId="29214" priority="9901"/>
    <cfRule type="duplicateValues" dxfId="29213" priority="9902"/>
    <cfRule type="duplicateValues" dxfId="29212" priority="9903"/>
    <cfRule type="duplicateValues" dxfId="29211" priority="9904"/>
    <cfRule type="duplicateValues" dxfId="29210" priority="9905"/>
    <cfRule type="duplicateValues" dxfId="29209" priority="9906"/>
    <cfRule type="duplicateValues" dxfId="29208" priority="9907"/>
    <cfRule type="duplicateValues" dxfId="29207" priority="9908"/>
    <cfRule type="duplicateValues" dxfId="29206" priority="9909"/>
    <cfRule type="duplicateValues" dxfId="29205" priority="9910"/>
    <cfRule type="duplicateValues" dxfId="29204" priority="9911"/>
    <cfRule type="duplicateValues" dxfId="29203" priority="9912"/>
    <cfRule type="duplicateValues" dxfId="29202" priority="9913"/>
    <cfRule type="duplicateValues" dxfId="29201" priority="9914"/>
    <cfRule type="duplicateValues" dxfId="29200" priority="9915"/>
    <cfRule type="duplicateValues" dxfId="29199" priority="9916"/>
    <cfRule type="duplicateValues" dxfId="29198" priority="9917"/>
    <cfRule type="duplicateValues" dxfId="29197" priority="9918"/>
    <cfRule type="duplicateValues" dxfId="29196" priority="9919"/>
    <cfRule type="duplicateValues" dxfId="29195" priority="9920"/>
    <cfRule type="duplicateValues" dxfId="29194" priority="9921"/>
    <cfRule type="duplicateValues" dxfId="29193" priority="9922"/>
    <cfRule type="duplicateValues" dxfId="29192" priority="9923"/>
    <cfRule type="duplicateValues" dxfId="29191" priority="9924"/>
    <cfRule type="duplicateValues" dxfId="29190" priority="9925"/>
    <cfRule type="duplicateValues" dxfId="29189" priority="9926"/>
    <cfRule type="duplicateValues" dxfId="29188" priority="9927"/>
    <cfRule type="duplicateValues" dxfId="29187" priority="9928"/>
    <cfRule type="duplicateValues" dxfId="29186" priority="9929"/>
    <cfRule type="duplicateValues" dxfId="29185" priority="9930"/>
    <cfRule type="duplicateValues" dxfId="29184" priority="9931"/>
    <cfRule type="duplicateValues" dxfId="29183" priority="9932"/>
    <cfRule type="duplicateValues" dxfId="29182" priority="9933"/>
    <cfRule type="duplicateValues" dxfId="29181" priority="9934"/>
    <cfRule type="duplicateValues" dxfId="29180" priority="9935"/>
  </conditionalFormatting>
  <conditionalFormatting sqref="C154">
    <cfRule type="duplicateValues" dxfId="29179" priority="29807"/>
    <cfRule type="duplicateValues" dxfId="29178" priority="29808"/>
    <cfRule type="duplicateValues" dxfId="29177" priority="29809"/>
    <cfRule type="duplicateValues" dxfId="29176" priority="29810"/>
    <cfRule type="duplicateValues" dxfId="29175" priority="29811"/>
    <cfRule type="duplicateValues" dxfId="29174" priority="29812"/>
    <cfRule type="duplicateValues" dxfId="29173" priority="29813"/>
    <cfRule type="duplicateValues" dxfId="29172" priority="29814"/>
    <cfRule type="duplicateValues" dxfId="29171" priority="29815"/>
    <cfRule type="duplicateValues" dxfId="29170" priority="29816"/>
    <cfRule type="duplicateValues" dxfId="29169" priority="29817"/>
    <cfRule type="duplicateValues" dxfId="29168" priority="29818"/>
    <cfRule type="duplicateValues" dxfId="29167" priority="29819"/>
    <cfRule type="duplicateValues" dxfId="29166" priority="29820"/>
    <cfRule type="duplicateValues" dxfId="29165" priority="29821"/>
    <cfRule type="duplicateValues" dxfId="29164" priority="29822"/>
    <cfRule type="duplicateValues" dxfId="29163" priority="29823"/>
    <cfRule type="duplicateValues" dxfId="29162" priority="29824"/>
    <cfRule type="duplicateValues" dxfId="29161" priority="29825"/>
    <cfRule type="duplicateValues" dxfId="29160" priority="29826"/>
    <cfRule type="duplicateValues" dxfId="29159" priority="29827"/>
    <cfRule type="duplicateValues" dxfId="29158" priority="29828"/>
    <cfRule type="duplicateValues" dxfId="29157" priority="29829"/>
    <cfRule type="duplicateValues" dxfId="29156" priority="29830"/>
    <cfRule type="duplicateValues" dxfId="29155" priority="29831"/>
    <cfRule type="duplicateValues" dxfId="29154" priority="29832"/>
    <cfRule type="duplicateValues" dxfId="29153" priority="29833"/>
    <cfRule type="duplicateValues" dxfId="29152" priority="29834"/>
    <cfRule type="duplicateValues" dxfId="29151" priority="29835"/>
    <cfRule type="duplicateValues" dxfId="29150" priority="29836"/>
    <cfRule type="duplicateValues" dxfId="29149" priority="29837"/>
    <cfRule type="duplicateValues" dxfId="29148" priority="29838"/>
    <cfRule type="duplicateValues" dxfId="29147" priority="29839"/>
    <cfRule type="duplicateValues" dxfId="29146" priority="29840"/>
    <cfRule type="duplicateValues" dxfId="29145" priority="29841"/>
    <cfRule type="duplicateValues" dxfId="29144" priority="29842"/>
    <cfRule type="duplicateValues" dxfId="29143" priority="29843"/>
    <cfRule type="duplicateValues" dxfId="29142" priority="29844"/>
    <cfRule type="duplicateValues" dxfId="29141" priority="29845"/>
    <cfRule type="duplicateValues" dxfId="29140" priority="29846"/>
    <cfRule type="duplicateValues" dxfId="29139" priority="29847"/>
    <cfRule type="duplicateValues" dxfId="29138" priority="29848"/>
    <cfRule type="duplicateValues" dxfId="29137" priority="29849"/>
    <cfRule type="duplicateValues" dxfId="29136" priority="29850"/>
    <cfRule type="duplicateValues" dxfId="29135" priority="29851"/>
    <cfRule type="duplicateValues" dxfId="29134" priority="29852"/>
    <cfRule type="duplicateValues" dxfId="29133" priority="29853"/>
    <cfRule type="duplicateValues" dxfId="29132" priority="29854"/>
    <cfRule type="duplicateValues" dxfId="29131" priority="29855"/>
    <cfRule type="duplicateValues" dxfId="29130" priority="29856"/>
    <cfRule type="duplicateValues" dxfId="29129" priority="29857"/>
    <cfRule type="duplicateValues" dxfId="29128" priority="29858"/>
    <cfRule type="duplicateValues" dxfId="29127" priority="29859"/>
  </conditionalFormatting>
  <conditionalFormatting sqref="C155:C158">
    <cfRule type="duplicateValues" dxfId="29126" priority="9830"/>
    <cfRule type="duplicateValues" dxfId="29125" priority="9831"/>
    <cfRule type="duplicateValues" dxfId="29124" priority="9832"/>
    <cfRule type="duplicateValues" dxfId="29123" priority="9833"/>
    <cfRule type="duplicateValues" dxfId="29122" priority="9834"/>
    <cfRule type="duplicateValues" dxfId="29121" priority="9835"/>
    <cfRule type="duplicateValues" dxfId="29120" priority="9836"/>
    <cfRule type="duplicateValues" dxfId="29119" priority="9837"/>
    <cfRule type="duplicateValues" dxfId="29118" priority="9838"/>
    <cfRule type="duplicateValues" dxfId="29117" priority="9839"/>
    <cfRule type="duplicateValues" dxfId="29116" priority="9840"/>
    <cfRule type="duplicateValues" dxfId="29115" priority="9841"/>
    <cfRule type="duplicateValues" dxfId="29114" priority="9842"/>
    <cfRule type="duplicateValues" dxfId="29113" priority="9843"/>
    <cfRule type="duplicateValues" dxfId="29112" priority="9844"/>
    <cfRule type="duplicateValues" dxfId="29111" priority="9845"/>
    <cfRule type="duplicateValues" dxfId="29110" priority="9846"/>
    <cfRule type="duplicateValues" dxfId="29109" priority="9847"/>
    <cfRule type="duplicateValues" dxfId="29108" priority="9848"/>
    <cfRule type="duplicateValues" dxfId="29107" priority="9849"/>
    <cfRule type="duplicateValues" dxfId="29106" priority="9850"/>
    <cfRule type="duplicateValues" dxfId="29105" priority="9851"/>
    <cfRule type="duplicateValues" dxfId="29104" priority="9852"/>
    <cfRule type="duplicateValues" dxfId="29103" priority="9853"/>
    <cfRule type="duplicateValues" dxfId="29102" priority="9854"/>
    <cfRule type="duplicateValues" dxfId="29101" priority="9855"/>
    <cfRule type="duplicateValues" dxfId="29100" priority="9856"/>
    <cfRule type="duplicateValues" dxfId="29099" priority="9857"/>
    <cfRule type="duplicateValues" dxfId="29098" priority="9858"/>
    <cfRule type="duplicateValues" dxfId="29097" priority="9859"/>
    <cfRule type="duplicateValues" dxfId="29096" priority="9860"/>
    <cfRule type="duplicateValues" dxfId="29095" priority="9861"/>
    <cfRule type="duplicateValues" dxfId="29094" priority="9862"/>
    <cfRule type="duplicateValues" dxfId="29093" priority="9863"/>
    <cfRule type="duplicateValues" dxfId="29092" priority="9864"/>
    <cfRule type="duplicateValues" dxfId="29091" priority="9865"/>
    <cfRule type="duplicateValues" dxfId="29090" priority="9866"/>
    <cfRule type="duplicateValues" dxfId="29089" priority="9867"/>
    <cfRule type="duplicateValues" dxfId="29088" priority="9868"/>
    <cfRule type="duplicateValues" dxfId="29087" priority="9869"/>
    <cfRule type="duplicateValues" dxfId="29086" priority="9870"/>
    <cfRule type="duplicateValues" dxfId="29085" priority="9871"/>
    <cfRule type="duplicateValues" dxfId="29084" priority="9872"/>
    <cfRule type="duplicateValues" dxfId="29083" priority="9873"/>
    <cfRule type="duplicateValues" dxfId="29082" priority="9874"/>
    <cfRule type="duplicateValues" dxfId="29081" priority="9875"/>
    <cfRule type="duplicateValues" dxfId="29080" priority="9876"/>
    <cfRule type="duplicateValues" dxfId="29079" priority="9877"/>
    <cfRule type="duplicateValues" dxfId="29078" priority="9878"/>
    <cfRule type="duplicateValues" dxfId="29077" priority="9879"/>
    <cfRule type="duplicateValues" dxfId="29076" priority="9880"/>
    <cfRule type="duplicateValues" dxfId="29075" priority="9881"/>
    <cfRule type="duplicateValues" dxfId="29074" priority="9882"/>
  </conditionalFormatting>
  <conditionalFormatting sqref="C159">
    <cfRule type="duplicateValues" dxfId="29073" priority="29754"/>
    <cfRule type="duplicateValues" dxfId="29072" priority="29755"/>
    <cfRule type="duplicateValues" dxfId="29071" priority="29756"/>
    <cfRule type="duplicateValues" dxfId="29070" priority="29757"/>
    <cfRule type="duplicateValues" dxfId="29069" priority="29758"/>
    <cfRule type="duplicateValues" dxfId="29068" priority="29759"/>
    <cfRule type="duplicateValues" dxfId="29067" priority="29760"/>
    <cfRule type="duplicateValues" dxfId="29066" priority="29761"/>
    <cfRule type="duplicateValues" dxfId="29065" priority="29762"/>
    <cfRule type="duplicateValues" dxfId="29064" priority="29763"/>
    <cfRule type="duplicateValues" dxfId="29063" priority="29764"/>
    <cfRule type="duplicateValues" dxfId="29062" priority="29765"/>
    <cfRule type="duplicateValues" dxfId="29061" priority="29766"/>
    <cfRule type="duplicateValues" dxfId="29060" priority="29767"/>
    <cfRule type="duplicateValues" dxfId="29059" priority="29768"/>
    <cfRule type="duplicateValues" dxfId="29058" priority="29769"/>
    <cfRule type="duplicateValues" dxfId="29057" priority="29770"/>
    <cfRule type="duplicateValues" dxfId="29056" priority="29771"/>
    <cfRule type="duplicateValues" dxfId="29055" priority="29772"/>
    <cfRule type="duplicateValues" dxfId="29054" priority="29773"/>
    <cfRule type="duplicateValues" dxfId="29053" priority="29774"/>
    <cfRule type="duplicateValues" dxfId="29052" priority="29775"/>
    <cfRule type="duplicateValues" dxfId="29051" priority="29776"/>
    <cfRule type="duplicateValues" dxfId="29050" priority="29777"/>
    <cfRule type="duplicateValues" dxfId="29049" priority="29778"/>
    <cfRule type="duplicateValues" dxfId="29048" priority="29779"/>
    <cfRule type="duplicateValues" dxfId="29047" priority="29780"/>
    <cfRule type="duplicateValues" dxfId="29046" priority="29781"/>
    <cfRule type="duplicateValues" dxfId="29045" priority="29782"/>
    <cfRule type="duplicateValues" dxfId="29044" priority="29783"/>
    <cfRule type="duplicateValues" dxfId="29043" priority="29784"/>
    <cfRule type="duplicateValues" dxfId="29042" priority="29785"/>
    <cfRule type="duplicateValues" dxfId="29041" priority="29786"/>
    <cfRule type="duplicateValues" dxfId="29040" priority="29787"/>
    <cfRule type="duplicateValues" dxfId="29039" priority="29788"/>
    <cfRule type="duplicateValues" dxfId="29038" priority="29789"/>
    <cfRule type="duplicateValues" dxfId="29037" priority="29790"/>
    <cfRule type="duplicateValues" dxfId="29036" priority="29791"/>
    <cfRule type="duplicateValues" dxfId="29035" priority="29792"/>
    <cfRule type="duplicateValues" dxfId="29034" priority="29793"/>
    <cfRule type="duplicateValues" dxfId="29033" priority="29794"/>
    <cfRule type="duplicateValues" dxfId="29032" priority="29795"/>
    <cfRule type="duplicateValues" dxfId="29031" priority="29796"/>
    <cfRule type="duplicateValues" dxfId="29030" priority="29797"/>
    <cfRule type="duplicateValues" dxfId="29029" priority="29798"/>
    <cfRule type="duplicateValues" dxfId="29028" priority="29799"/>
    <cfRule type="duplicateValues" dxfId="29027" priority="29800"/>
    <cfRule type="duplicateValues" dxfId="29026" priority="29801"/>
    <cfRule type="duplicateValues" dxfId="29025" priority="29802"/>
    <cfRule type="duplicateValues" dxfId="29024" priority="29803"/>
    <cfRule type="duplicateValues" dxfId="29023" priority="29804"/>
    <cfRule type="duplicateValues" dxfId="29022" priority="29805"/>
    <cfRule type="duplicateValues" dxfId="29021" priority="29806"/>
  </conditionalFormatting>
  <conditionalFormatting sqref="C160:C162">
    <cfRule type="duplicateValues" dxfId="29020" priority="9777"/>
    <cfRule type="duplicateValues" dxfId="29019" priority="9778"/>
    <cfRule type="duplicateValues" dxfId="29018" priority="9779"/>
    <cfRule type="duplicateValues" dxfId="29017" priority="9780"/>
    <cfRule type="duplicateValues" dxfId="29016" priority="9781"/>
    <cfRule type="duplicateValues" dxfId="29015" priority="9782"/>
    <cfRule type="duplicateValues" dxfId="29014" priority="9783"/>
    <cfRule type="duplicateValues" dxfId="29013" priority="9784"/>
    <cfRule type="duplicateValues" dxfId="29012" priority="9785"/>
    <cfRule type="duplicateValues" dxfId="29011" priority="9786"/>
    <cfRule type="duplicateValues" dxfId="29010" priority="9787"/>
    <cfRule type="duplicateValues" dxfId="29009" priority="9788"/>
    <cfRule type="duplicateValues" dxfId="29008" priority="9789"/>
    <cfRule type="duplicateValues" dxfId="29007" priority="9790"/>
    <cfRule type="duplicateValues" dxfId="29006" priority="9791"/>
    <cfRule type="duplicateValues" dxfId="29005" priority="9792"/>
    <cfRule type="duplicateValues" dxfId="29004" priority="9793"/>
    <cfRule type="duplicateValues" dxfId="29003" priority="9794"/>
    <cfRule type="duplicateValues" dxfId="29002" priority="9795"/>
    <cfRule type="duplicateValues" dxfId="29001" priority="9796"/>
    <cfRule type="duplicateValues" dxfId="29000" priority="9797"/>
    <cfRule type="duplicateValues" dxfId="28999" priority="9798"/>
    <cfRule type="duplicateValues" dxfId="28998" priority="9799"/>
    <cfRule type="duplicateValues" dxfId="28997" priority="9800"/>
    <cfRule type="duplicateValues" dxfId="28996" priority="9801"/>
    <cfRule type="duplicateValues" dxfId="28995" priority="9802"/>
    <cfRule type="duplicateValues" dxfId="28994" priority="9803"/>
    <cfRule type="duplicateValues" dxfId="28993" priority="9804"/>
    <cfRule type="duplicateValues" dxfId="28992" priority="9805"/>
    <cfRule type="duplicateValues" dxfId="28991" priority="9806"/>
    <cfRule type="duplicateValues" dxfId="28990" priority="9807"/>
    <cfRule type="duplicateValues" dxfId="28989" priority="9808"/>
    <cfRule type="duplicateValues" dxfId="28988" priority="9809"/>
    <cfRule type="duplicateValues" dxfId="28987" priority="9810"/>
    <cfRule type="duplicateValues" dxfId="28986" priority="9811"/>
    <cfRule type="duplicateValues" dxfId="28985" priority="9812"/>
    <cfRule type="duplicateValues" dxfId="28984" priority="9813"/>
    <cfRule type="duplicateValues" dxfId="28983" priority="9814"/>
    <cfRule type="duplicateValues" dxfId="28982" priority="9815"/>
    <cfRule type="duplicateValues" dxfId="28981" priority="9816"/>
    <cfRule type="duplicateValues" dxfId="28980" priority="9817"/>
    <cfRule type="duplicateValues" dxfId="28979" priority="9818"/>
    <cfRule type="duplicateValues" dxfId="28978" priority="9819"/>
    <cfRule type="duplicateValues" dxfId="28977" priority="9820"/>
    <cfRule type="duplicateValues" dxfId="28976" priority="9821"/>
    <cfRule type="duplicateValues" dxfId="28975" priority="9822"/>
    <cfRule type="duplicateValues" dxfId="28974" priority="9823"/>
    <cfRule type="duplicateValues" dxfId="28973" priority="9824"/>
    <cfRule type="duplicateValues" dxfId="28972" priority="9825"/>
    <cfRule type="duplicateValues" dxfId="28971" priority="9826"/>
    <cfRule type="duplicateValues" dxfId="28970" priority="9827"/>
    <cfRule type="duplicateValues" dxfId="28969" priority="9828"/>
    <cfRule type="duplicateValues" dxfId="28968" priority="9829"/>
  </conditionalFormatting>
  <conditionalFormatting sqref="C163">
    <cfRule type="duplicateValues" dxfId="28967" priority="29701"/>
    <cfRule type="duplicateValues" dxfId="28966" priority="29702"/>
    <cfRule type="duplicateValues" dxfId="28965" priority="29703"/>
    <cfRule type="duplicateValues" dxfId="28964" priority="29704"/>
    <cfRule type="duplicateValues" dxfId="28963" priority="29705"/>
    <cfRule type="duplicateValues" dxfId="28962" priority="29706"/>
    <cfRule type="duplicateValues" dxfId="28961" priority="29707"/>
    <cfRule type="duplicateValues" dxfId="28960" priority="29708"/>
    <cfRule type="duplicateValues" dxfId="28959" priority="29709"/>
    <cfRule type="duplicateValues" dxfId="28958" priority="29710"/>
    <cfRule type="duplicateValues" dxfId="28957" priority="29711"/>
    <cfRule type="duplicateValues" dxfId="28956" priority="29712"/>
    <cfRule type="duplicateValues" dxfId="28955" priority="29713"/>
    <cfRule type="duplicateValues" dxfId="28954" priority="29714"/>
    <cfRule type="duplicateValues" dxfId="28953" priority="29715"/>
    <cfRule type="duplicateValues" dxfId="28952" priority="29716"/>
    <cfRule type="duplicateValues" dxfId="28951" priority="29717"/>
    <cfRule type="duplicateValues" dxfId="28950" priority="29718"/>
    <cfRule type="duplicateValues" dxfId="28949" priority="29719"/>
    <cfRule type="duplicateValues" dxfId="28948" priority="29720"/>
    <cfRule type="duplicateValues" dxfId="28947" priority="29721"/>
    <cfRule type="duplicateValues" dxfId="28946" priority="29722"/>
    <cfRule type="duplicateValues" dxfId="28945" priority="29723"/>
    <cfRule type="duplicateValues" dxfId="28944" priority="29724"/>
    <cfRule type="duplicateValues" dxfId="28943" priority="29725"/>
    <cfRule type="duplicateValues" dxfId="28942" priority="29726"/>
    <cfRule type="duplicateValues" dxfId="28941" priority="29727"/>
    <cfRule type="duplicateValues" dxfId="28940" priority="29728"/>
    <cfRule type="duplicateValues" dxfId="28939" priority="29729"/>
    <cfRule type="duplicateValues" dxfId="28938" priority="29730"/>
    <cfRule type="duplicateValues" dxfId="28937" priority="29731"/>
    <cfRule type="duplicateValues" dxfId="28936" priority="29732"/>
    <cfRule type="duplicateValues" dxfId="28935" priority="29733"/>
    <cfRule type="duplicateValues" dxfId="28934" priority="29734"/>
    <cfRule type="duplicateValues" dxfId="28933" priority="29735"/>
    <cfRule type="duplicateValues" dxfId="28932" priority="29736"/>
    <cfRule type="duplicateValues" dxfId="28931" priority="29737"/>
    <cfRule type="duplicateValues" dxfId="28930" priority="29738"/>
    <cfRule type="duplicateValues" dxfId="28929" priority="29739"/>
    <cfRule type="duplicateValues" dxfId="28928" priority="29740"/>
    <cfRule type="duplicateValues" dxfId="28927" priority="29741"/>
    <cfRule type="duplicateValues" dxfId="28926" priority="29742"/>
    <cfRule type="duplicateValues" dxfId="28925" priority="29743"/>
    <cfRule type="duplicateValues" dxfId="28924" priority="29744"/>
    <cfRule type="duplicateValues" dxfId="28923" priority="29745"/>
    <cfRule type="duplicateValues" dxfId="28922" priority="29746"/>
    <cfRule type="duplicateValues" dxfId="28921" priority="29747"/>
    <cfRule type="duplicateValues" dxfId="28920" priority="29748"/>
    <cfRule type="duplicateValues" dxfId="28919" priority="29749"/>
    <cfRule type="duplicateValues" dxfId="28918" priority="29750"/>
    <cfRule type="duplicateValues" dxfId="28917" priority="29751"/>
    <cfRule type="duplicateValues" dxfId="28916" priority="29752"/>
    <cfRule type="duplicateValues" dxfId="28915" priority="29753"/>
  </conditionalFormatting>
  <conditionalFormatting sqref="C164">
    <cfRule type="duplicateValues" dxfId="28914" priority="29648"/>
    <cfRule type="duplicateValues" dxfId="28913" priority="29649"/>
    <cfRule type="duplicateValues" dxfId="28912" priority="29650"/>
    <cfRule type="duplicateValues" dxfId="28911" priority="29651"/>
    <cfRule type="duplicateValues" dxfId="28910" priority="29652"/>
    <cfRule type="duplicateValues" dxfId="28909" priority="29653"/>
    <cfRule type="duplicateValues" dxfId="28908" priority="29654"/>
    <cfRule type="duplicateValues" dxfId="28907" priority="29655"/>
    <cfRule type="duplicateValues" dxfId="28906" priority="29656"/>
    <cfRule type="duplicateValues" dxfId="28905" priority="29657"/>
    <cfRule type="duplicateValues" dxfId="28904" priority="29658"/>
    <cfRule type="duplicateValues" dxfId="28903" priority="29659"/>
    <cfRule type="duplicateValues" dxfId="28902" priority="29660"/>
    <cfRule type="duplicateValues" dxfId="28901" priority="29661"/>
    <cfRule type="duplicateValues" dxfId="28900" priority="29662"/>
    <cfRule type="duplicateValues" dxfId="28899" priority="29663"/>
    <cfRule type="duplicateValues" dxfId="28898" priority="29664"/>
    <cfRule type="duplicateValues" dxfId="28897" priority="29665"/>
    <cfRule type="duplicateValues" dxfId="28896" priority="29666"/>
    <cfRule type="duplicateValues" dxfId="28895" priority="29667"/>
    <cfRule type="duplicateValues" dxfId="28894" priority="29668"/>
    <cfRule type="duplicateValues" dxfId="28893" priority="29669"/>
    <cfRule type="duplicateValues" dxfId="28892" priority="29670"/>
    <cfRule type="duplicateValues" dxfId="28891" priority="29671"/>
    <cfRule type="duplicateValues" dxfId="28890" priority="29672"/>
    <cfRule type="duplicateValues" dxfId="28889" priority="29673"/>
    <cfRule type="duplicateValues" dxfId="28888" priority="29674"/>
    <cfRule type="duplicateValues" dxfId="28887" priority="29675"/>
    <cfRule type="duplicateValues" dxfId="28886" priority="29676"/>
    <cfRule type="duplicateValues" dxfId="28885" priority="29677"/>
    <cfRule type="duplicateValues" dxfId="28884" priority="29678"/>
    <cfRule type="duplicateValues" dxfId="28883" priority="29679"/>
    <cfRule type="duplicateValues" dxfId="28882" priority="29680"/>
    <cfRule type="duplicateValues" dxfId="28881" priority="29681"/>
    <cfRule type="duplicateValues" dxfId="28880" priority="29682"/>
    <cfRule type="duplicateValues" dxfId="28879" priority="29683"/>
    <cfRule type="duplicateValues" dxfId="28878" priority="29684"/>
    <cfRule type="duplicateValues" dxfId="28877" priority="29685"/>
    <cfRule type="duplicateValues" dxfId="28876" priority="29686"/>
    <cfRule type="duplicateValues" dxfId="28875" priority="29687"/>
    <cfRule type="duplicateValues" dxfId="28874" priority="29688"/>
    <cfRule type="duplicateValues" dxfId="28873" priority="29689"/>
    <cfRule type="duplicateValues" dxfId="28872" priority="29690"/>
    <cfRule type="duplicateValues" dxfId="28871" priority="29691"/>
    <cfRule type="duplicateValues" dxfId="28870" priority="29692"/>
    <cfRule type="duplicateValues" dxfId="28869" priority="29693"/>
    <cfRule type="duplicateValues" dxfId="28868" priority="29694"/>
    <cfRule type="duplicateValues" dxfId="28867" priority="29695"/>
    <cfRule type="duplicateValues" dxfId="28866" priority="29696"/>
    <cfRule type="duplicateValues" dxfId="28865" priority="29697"/>
    <cfRule type="duplicateValues" dxfId="28864" priority="29698"/>
    <cfRule type="duplicateValues" dxfId="28863" priority="29699"/>
    <cfRule type="duplicateValues" dxfId="28862" priority="29700"/>
  </conditionalFormatting>
  <conditionalFormatting sqref="C165:C166">
    <cfRule type="duplicateValues" dxfId="28861" priority="9724"/>
    <cfRule type="duplicateValues" dxfId="28860" priority="9725"/>
    <cfRule type="duplicateValues" dxfId="28859" priority="9726"/>
    <cfRule type="duplicateValues" dxfId="28858" priority="9727"/>
    <cfRule type="duplicateValues" dxfId="28857" priority="9728"/>
    <cfRule type="duplicateValues" dxfId="28856" priority="9729"/>
    <cfRule type="duplicateValues" dxfId="28855" priority="9730"/>
    <cfRule type="duplicateValues" dxfId="28854" priority="9731"/>
    <cfRule type="duplicateValues" dxfId="28853" priority="9732"/>
    <cfRule type="duplicateValues" dxfId="28852" priority="9733"/>
    <cfRule type="duplicateValues" dxfId="28851" priority="9734"/>
    <cfRule type="duplicateValues" dxfId="28850" priority="9735"/>
    <cfRule type="duplicateValues" dxfId="28849" priority="9736"/>
    <cfRule type="duplicateValues" dxfId="28848" priority="9737"/>
    <cfRule type="duplicateValues" dxfId="28847" priority="9738"/>
    <cfRule type="duplicateValues" dxfId="28846" priority="9739"/>
    <cfRule type="duplicateValues" dxfId="28845" priority="9740"/>
    <cfRule type="duplicateValues" dxfId="28844" priority="9741"/>
    <cfRule type="duplicateValues" dxfId="28843" priority="9742"/>
    <cfRule type="duplicateValues" dxfId="28842" priority="9743"/>
    <cfRule type="duplicateValues" dxfId="28841" priority="9744"/>
    <cfRule type="duplicateValues" dxfId="28840" priority="9745"/>
    <cfRule type="duplicateValues" dxfId="28839" priority="9746"/>
    <cfRule type="duplicateValues" dxfId="28838" priority="9747"/>
    <cfRule type="duplicateValues" dxfId="28837" priority="9748"/>
    <cfRule type="duplicateValues" dxfId="28836" priority="9749"/>
    <cfRule type="duplicateValues" dxfId="28835" priority="9750"/>
    <cfRule type="duplicateValues" dxfId="28834" priority="9751"/>
    <cfRule type="duplicateValues" dxfId="28833" priority="9752"/>
    <cfRule type="duplicateValues" dxfId="28832" priority="9753"/>
    <cfRule type="duplicateValues" dxfId="28831" priority="9754"/>
    <cfRule type="duplicateValues" dxfId="28830" priority="9755"/>
    <cfRule type="duplicateValues" dxfId="28829" priority="9756"/>
    <cfRule type="duplicateValues" dxfId="28828" priority="9757"/>
    <cfRule type="duplicateValues" dxfId="28827" priority="9758"/>
    <cfRule type="duplicateValues" dxfId="28826" priority="9759"/>
    <cfRule type="duplicateValues" dxfId="28825" priority="9760"/>
    <cfRule type="duplicateValues" dxfId="28824" priority="9761"/>
    <cfRule type="duplicateValues" dxfId="28823" priority="9762"/>
    <cfRule type="duplicateValues" dxfId="28822" priority="9763"/>
    <cfRule type="duplicateValues" dxfId="28821" priority="9764"/>
    <cfRule type="duplicateValues" dxfId="28820" priority="9765"/>
    <cfRule type="duplicateValues" dxfId="28819" priority="9766"/>
    <cfRule type="duplicateValues" dxfId="28818" priority="9767"/>
    <cfRule type="duplicateValues" dxfId="28817" priority="9768"/>
    <cfRule type="duplicateValues" dxfId="28816" priority="9769"/>
    <cfRule type="duplicateValues" dxfId="28815" priority="9770"/>
    <cfRule type="duplicateValues" dxfId="28814" priority="9771"/>
    <cfRule type="duplicateValues" dxfId="28813" priority="9772"/>
    <cfRule type="duplicateValues" dxfId="28812" priority="9773"/>
    <cfRule type="duplicateValues" dxfId="28811" priority="9774"/>
    <cfRule type="duplicateValues" dxfId="28810" priority="9775"/>
    <cfRule type="duplicateValues" dxfId="28809" priority="9776"/>
  </conditionalFormatting>
  <conditionalFormatting sqref="C167">
    <cfRule type="duplicateValues" dxfId="28808" priority="29595"/>
    <cfRule type="duplicateValues" dxfId="28807" priority="29596"/>
    <cfRule type="duplicateValues" dxfId="28806" priority="29597"/>
    <cfRule type="duplicateValues" dxfId="28805" priority="29598"/>
    <cfRule type="duplicateValues" dxfId="28804" priority="29599"/>
    <cfRule type="duplicateValues" dxfId="28803" priority="29600"/>
    <cfRule type="duplicateValues" dxfId="28802" priority="29601"/>
    <cfRule type="duplicateValues" dxfId="28801" priority="29602"/>
    <cfRule type="duplicateValues" dxfId="28800" priority="29603"/>
    <cfRule type="duplicateValues" dxfId="28799" priority="29604"/>
    <cfRule type="duplicateValues" dxfId="28798" priority="29605"/>
    <cfRule type="duplicateValues" dxfId="28797" priority="29606"/>
    <cfRule type="duplicateValues" dxfId="28796" priority="29607"/>
    <cfRule type="duplicateValues" dxfId="28795" priority="29608"/>
    <cfRule type="duplicateValues" dxfId="28794" priority="29609"/>
    <cfRule type="duplicateValues" dxfId="28793" priority="29610"/>
    <cfRule type="duplicateValues" dxfId="28792" priority="29611"/>
    <cfRule type="duplicateValues" dxfId="28791" priority="29612"/>
    <cfRule type="duplicateValues" dxfId="28790" priority="29613"/>
    <cfRule type="duplicateValues" dxfId="28789" priority="29614"/>
    <cfRule type="duplicateValues" dxfId="28788" priority="29615"/>
    <cfRule type="duplicateValues" dxfId="28787" priority="29616"/>
    <cfRule type="duplicateValues" dxfId="28786" priority="29617"/>
    <cfRule type="duplicateValues" dxfId="28785" priority="29618"/>
    <cfRule type="duplicateValues" dxfId="28784" priority="29619"/>
    <cfRule type="duplicateValues" dxfId="28783" priority="29620"/>
    <cfRule type="duplicateValues" dxfId="28782" priority="29621"/>
    <cfRule type="duplicateValues" dxfId="28781" priority="29622"/>
    <cfRule type="duplicateValues" dxfId="28780" priority="29623"/>
    <cfRule type="duplicateValues" dxfId="28779" priority="29624"/>
    <cfRule type="duplicateValues" dxfId="28778" priority="29625"/>
    <cfRule type="duplicateValues" dxfId="28777" priority="29626"/>
    <cfRule type="duplicateValues" dxfId="28776" priority="29627"/>
    <cfRule type="duplicateValues" dxfId="28775" priority="29628"/>
    <cfRule type="duplicateValues" dxfId="28774" priority="29629"/>
    <cfRule type="duplicateValues" dxfId="28773" priority="29630"/>
    <cfRule type="duplicateValues" dxfId="28772" priority="29631"/>
    <cfRule type="duplicateValues" dxfId="28771" priority="29632"/>
    <cfRule type="duplicateValues" dxfId="28770" priority="29633"/>
    <cfRule type="duplicateValues" dxfId="28769" priority="29634"/>
    <cfRule type="duplicateValues" dxfId="28768" priority="29635"/>
    <cfRule type="duplicateValues" dxfId="28767" priority="29636"/>
    <cfRule type="duplicateValues" dxfId="28766" priority="29637"/>
    <cfRule type="duplicateValues" dxfId="28765" priority="29638"/>
    <cfRule type="duplicateValues" dxfId="28764" priority="29639"/>
    <cfRule type="duplicateValues" dxfId="28763" priority="29640"/>
    <cfRule type="duplicateValues" dxfId="28762" priority="29641"/>
    <cfRule type="duplicateValues" dxfId="28761" priority="29642"/>
    <cfRule type="duplicateValues" dxfId="28760" priority="29643"/>
    <cfRule type="duplicateValues" dxfId="28759" priority="29644"/>
    <cfRule type="duplicateValues" dxfId="28758" priority="29645"/>
    <cfRule type="duplicateValues" dxfId="28757" priority="29646"/>
    <cfRule type="duplicateValues" dxfId="28756" priority="29647"/>
  </conditionalFormatting>
  <conditionalFormatting sqref="C168:C169">
    <cfRule type="duplicateValues" dxfId="28755" priority="9671"/>
    <cfRule type="duplicateValues" dxfId="28754" priority="9672"/>
    <cfRule type="duplicateValues" dxfId="28753" priority="9673"/>
    <cfRule type="duplicateValues" dxfId="28752" priority="9674"/>
    <cfRule type="duplicateValues" dxfId="28751" priority="9675"/>
    <cfRule type="duplicateValues" dxfId="28750" priority="9676"/>
    <cfRule type="duplicateValues" dxfId="28749" priority="9677"/>
    <cfRule type="duplicateValues" dxfId="28748" priority="9678"/>
    <cfRule type="duplicateValues" dxfId="28747" priority="9679"/>
    <cfRule type="duplicateValues" dxfId="28746" priority="9680"/>
    <cfRule type="duplicateValues" dxfId="28745" priority="9681"/>
    <cfRule type="duplicateValues" dxfId="28744" priority="9682"/>
    <cfRule type="duplicateValues" dxfId="28743" priority="9683"/>
    <cfRule type="duplicateValues" dxfId="28742" priority="9684"/>
    <cfRule type="duplicateValues" dxfId="28741" priority="9685"/>
    <cfRule type="duplicateValues" dxfId="28740" priority="9686"/>
    <cfRule type="duplicateValues" dxfId="28739" priority="9687"/>
    <cfRule type="duplicateValues" dxfId="28738" priority="9688"/>
    <cfRule type="duplicateValues" dxfId="28737" priority="9689"/>
    <cfRule type="duplicateValues" dxfId="28736" priority="9690"/>
    <cfRule type="duplicateValues" dxfId="28735" priority="9691"/>
    <cfRule type="duplicateValues" dxfId="28734" priority="9692"/>
    <cfRule type="duplicateValues" dxfId="28733" priority="9693"/>
    <cfRule type="duplicateValues" dxfId="28732" priority="9694"/>
    <cfRule type="duplicateValues" dxfId="28731" priority="9695"/>
    <cfRule type="duplicateValues" dxfId="28730" priority="9696"/>
    <cfRule type="duplicateValues" dxfId="28729" priority="9697"/>
    <cfRule type="duplicateValues" dxfId="28728" priority="9698"/>
    <cfRule type="duplicateValues" dxfId="28727" priority="9699"/>
    <cfRule type="duplicateValues" dxfId="28726" priority="9700"/>
    <cfRule type="duplicateValues" dxfId="28725" priority="9701"/>
    <cfRule type="duplicateValues" dxfId="28724" priority="9702"/>
    <cfRule type="duplicateValues" dxfId="28723" priority="9703"/>
    <cfRule type="duplicateValues" dxfId="28722" priority="9704"/>
    <cfRule type="duplicateValues" dxfId="28721" priority="9705"/>
    <cfRule type="duplicateValues" dxfId="28720" priority="9706"/>
    <cfRule type="duplicateValues" dxfId="28719" priority="9707"/>
    <cfRule type="duplicateValues" dxfId="28718" priority="9708"/>
    <cfRule type="duplicateValues" dxfId="28717" priority="9709"/>
    <cfRule type="duplicateValues" dxfId="28716" priority="9710"/>
    <cfRule type="duplicateValues" dxfId="28715" priority="9711"/>
    <cfRule type="duplicateValues" dxfId="28714" priority="9712"/>
    <cfRule type="duplicateValues" dxfId="28713" priority="9713"/>
    <cfRule type="duplicateValues" dxfId="28712" priority="9714"/>
    <cfRule type="duplicateValues" dxfId="28711" priority="9715"/>
    <cfRule type="duplicateValues" dxfId="28710" priority="9716"/>
    <cfRule type="duplicateValues" dxfId="28709" priority="9717"/>
    <cfRule type="duplicateValues" dxfId="28708" priority="9718"/>
    <cfRule type="duplicateValues" dxfId="28707" priority="9719"/>
    <cfRule type="duplicateValues" dxfId="28706" priority="9720"/>
    <cfRule type="duplicateValues" dxfId="28705" priority="9721"/>
    <cfRule type="duplicateValues" dxfId="28704" priority="9722"/>
    <cfRule type="duplicateValues" dxfId="28703" priority="9723"/>
  </conditionalFormatting>
  <conditionalFormatting sqref="C170:C172">
    <cfRule type="duplicateValues" dxfId="28702" priority="9618"/>
    <cfRule type="duplicateValues" dxfId="28701" priority="9619"/>
    <cfRule type="duplicateValues" dxfId="28700" priority="9620"/>
    <cfRule type="duplicateValues" dxfId="28699" priority="9621"/>
    <cfRule type="duplicateValues" dxfId="28698" priority="9622"/>
    <cfRule type="duplicateValues" dxfId="28697" priority="9623"/>
    <cfRule type="duplicateValues" dxfId="28696" priority="9624"/>
    <cfRule type="duplicateValues" dxfId="28695" priority="9625"/>
    <cfRule type="duplicateValues" dxfId="28694" priority="9626"/>
    <cfRule type="duplicateValues" dxfId="28693" priority="9627"/>
    <cfRule type="duplicateValues" dxfId="28692" priority="9628"/>
    <cfRule type="duplicateValues" dxfId="28691" priority="9629"/>
    <cfRule type="duplicateValues" dxfId="28690" priority="9630"/>
    <cfRule type="duplicateValues" dxfId="28689" priority="9631"/>
    <cfRule type="duplicateValues" dxfId="28688" priority="9632"/>
    <cfRule type="duplicateValues" dxfId="28687" priority="9633"/>
    <cfRule type="duplicateValues" dxfId="28686" priority="9634"/>
    <cfRule type="duplicateValues" dxfId="28685" priority="9635"/>
    <cfRule type="duplicateValues" dxfId="28684" priority="9636"/>
    <cfRule type="duplicateValues" dxfId="28683" priority="9637"/>
    <cfRule type="duplicateValues" dxfId="28682" priority="9638"/>
    <cfRule type="duplicateValues" dxfId="28681" priority="9639"/>
    <cfRule type="duplicateValues" dxfId="28680" priority="9640"/>
    <cfRule type="duplicateValues" dxfId="28679" priority="9641"/>
    <cfRule type="duplicateValues" dxfId="28678" priority="9642"/>
    <cfRule type="duplicateValues" dxfId="28677" priority="9643"/>
    <cfRule type="duplicateValues" dxfId="28676" priority="9644"/>
    <cfRule type="duplicateValues" dxfId="28675" priority="9645"/>
    <cfRule type="duplicateValues" dxfId="28674" priority="9646"/>
    <cfRule type="duplicateValues" dxfId="28673" priority="9647"/>
    <cfRule type="duplicateValues" dxfId="28672" priority="9648"/>
    <cfRule type="duplicateValues" dxfId="28671" priority="9649"/>
    <cfRule type="duplicateValues" dxfId="28670" priority="9650"/>
    <cfRule type="duplicateValues" dxfId="28669" priority="9651"/>
    <cfRule type="duplicateValues" dxfId="28668" priority="9652"/>
    <cfRule type="duplicateValues" dxfId="28667" priority="9653"/>
    <cfRule type="duplicateValues" dxfId="28666" priority="9654"/>
    <cfRule type="duplicateValues" dxfId="28665" priority="9655"/>
    <cfRule type="duplicateValues" dxfId="28664" priority="9656"/>
    <cfRule type="duplicateValues" dxfId="28663" priority="9657"/>
    <cfRule type="duplicateValues" dxfId="28662" priority="9658"/>
    <cfRule type="duplicateValues" dxfId="28661" priority="9659"/>
    <cfRule type="duplicateValues" dxfId="28660" priority="9660"/>
    <cfRule type="duplicateValues" dxfId="28659" priority="9661"/>
    <cfRule type="duplicateValues" dxfId="28658" priority="9662"/>
    <cfRule type="duplicateValues" dxfId="28657" priority="9663"/>
    <cfRule type="duplicateValues" dxfId="28656" priority="9664"/>
    <cfRule type="duplicateValues" dxfId="28655" priority="9665"/>
    <cfRule type="duplicateValues" dxfId="28654" priority="9666"/>
    <cfRule type="duplicateValues" dxfId="28653" priority="9667"/>
    <cfRule type="duplicateValues" dxfId="28652" priority="9668"/>
    <cfRule type="duplicateValues" dxfId="28651" priority="9669"/>
    <cfRule type="duplicateValues" dxfId="28650" priority="9670"/>
  </conditionalFormatting>
  <conditionalFormatting sqref="C173">
    <cfRule type="duplicateValues" dxfId="28649" priority="29542"/>
    <cfRule type="duplicateValues" dxfId="28648" priority="29543"/>
    <cfRule type="duplicateValues" dxfId="28647" priority="29544"/>
    <cfRule type="duplicateValues" dxfId="28646" priority="29545"/>
    <cfRule type="duplicateValues" dxfId="28645" priority="29546"/>
    <cfRule type="duplicateValues" dxfId="28644" priority="29547"/>
    <cfRule type="duplicateValues" dxfId="28643" priority="29548"/>
    <cfRule type="duplicateValues" dxfId="28642" priority="29549"/>
    <cfRule type="duplicateValues" dxfId="28641" priority="29550"/>
    <cfRule type="duplicateValues" dxfId="28640" priority="29551"/>
    <cfRule type="duplicateValues" dxfId="28639" priority="29552"/>
    <cfRule type="duplicateValues" dxfId="28638" priority="29553"/>
    <cfRule type="duplicateValues" dxfId="28637" priority="29554"/>
    <cfRule type="duplicateValues" dxfId="28636" priority="29555"/>
    <cfRule type="duplicateValues" dxfId="28635" priority="29556"/>
    <cfRule type="duplicateValues" dxfId="28634" priority="29557"/>
    <cfRule type="duplicateValues" dxfId="28633" priority="29558"/>
    <cfRule type="duplicateValues" dxfId="28632" priority="29559"/>
    <cfRule type="duplicateValues" dxfId="28631" priority="29560"/>
    <cfRule type="duplicateValues" dxfId="28630" priority="29561"/>
    <cfRule type="duplicateValues" dxfId="28629" priority="29562"/>
    <cfRule type="duplicateValues" dxfId="28628" priority="29563"/>
    <cfRule type="duplicateValues" dxfId="28627" priority="29564"/>
    <cfRule type="duplicateValues" dxfId="28626" priority="29565"/>
    <cfRule type="duplicateValues" dxfId="28625" priority="29566"/>
    <cfRule type="duplicateValues" dxfId="28624" priority="29567"/>
    <cfRule type="duplicateValues" dxfId="28623" priority="29568"/>
    <cfRule type="duplicateValues" dxfId="28622" priority="29569"/>
    <cfRule type="duplicateValues" dxfId="28621" priority="29570"/>
    <cfRule type="duplicateValues" dxfId="28620" priority="29571"/>
    <cfRule type="duplicateValues" dxfId="28619" priority="29572"/>
    <cfRule type="duplicateValues" dxfId="28618" priority="29573"/>
    <cfRule type="duplicateValues" dxfId="28617" priority="29574"/>
    <cfRule type="duplicateValues" dxfId="28616" priority="29575"/>
    <cfRule type="duplicateValues" dxfId="28615" priority="29576"/>
    <cfRule type="duplicateValues" dxfId="28614" priority="29577"/>
    <cfRule type="duplicateValues" dxfId="28613" priority="29578"/>
    <cfRule type="duplicateValues" dxfId="28612" priority="29579"/>
    <cfRule type="duplicateValues" dxfId="28611" priority="29580"/>
    <cfRule type="duplicateValues" dxfId="28610" priority="29581"/>
    <cfRule type="duplicateValues" dxfId="28609" priority="29582"/>
    <cfRule type="duplicateValues" dxfId="28608" priority="29583"/>
    <cfRule type="duplicateValues" dxfId="28607" priority="29584"/>
    <cfRule type="duplicateValues" dxfId="28606" priority="29585"/>
    <cfRule type="duplicateValues" dxfId="28605" priority="29586"/>
    <cfRule type="duplicateValues" dxfId="28604" priority="29587"/>
    <cfRule type="duplicateValues" dxfId="28603" priority="29588"/>
    <cfRule type="duplicateValues" dxfId="28602" priority="29589"/>
    <cfRule type="duplicateValues" dxfId="28601" priority="29590"/>
    <cfRule type="duplicateValues" dxfId="28600" priority="29591"/>
    <cfRule type="duplicateValues" dxfId="28599" priority="29592"/>
    <cfRule type="duplicateValues" dxfId="28598" priority="29593"/>
    <cfRule type="duplicateValues" dxfId="28597" priority="29594"/>
  </conditionalFormatting>
  <conditionalFormatting sqref="C174">
    <cfRule type="duplicateValues" dxfId="28596" priority="29489"/>
    <cfRule type="duplicateValues" dxfId="28595" priority="29490"/>
    <cfRule type="duplicateValues" dxfId="28594" priority="29491"/>
    <cfRule type="duplicateValues" dxfId="28593" priority="29492"/>
    <cfRule type="duplicateValues" dxfId="28592" priority="29493"/>
    <cfRule type="duplicateValues" dxfId="28591" priority="29494"/>
    <cfRule type="duplicateValues" dxfId="28590" priority="29495"/>
    <cfRule type="duplicateValues" dxfId="28589" priority="29496"/>
    <cfRule type="duplicateValues" dxfId="28588" priority="29497"/>
    <cfRule type="duplicateValues" dxfId="28587" priority="29498"/>
    <cfRule type="duplicateValues" dxfId="28586" priority="29499"/>
    <cfRule type="duplicateValues" dxfId="28585" priority="29500"/>
    <cfRule type="duplicateValues" dxfId="28584" priority="29501"/>
    <cfRule type="duplicateValues" dxfId="28583" priority="29502"/>
    <cfRule type="duplicateValues" dxfId="28582" priority="29503"/>
    <cfRule type="duplicateValues" dxfId="28581" priority="29504"/>
    <cfRule type="duplicateValues" dxfId="28580" priority="29505"/>
    <cfRule type="duplicateValues" dxfId="28579" priority="29506"/>
    <cfRule type="duplicateValues" dxfId="28578" priority="29507"/>
    <cfRule type="duplicateValues" dxfId="28577" priority="29508"/>
    <cfRule type="duplicateValues" dxfId="28576" priority="29509"/>
    <cfRule type="duplicateValues" dxfId="28575" priority="29510"/>
    <cfRule type="duplicateValues" dxfId="28574" priority="29511"/>
    <cfRule type="duplicateValues" dxfId="28573" priority="29512"/>
    <cfRule type="duplicateValues" dxfId="28572" priority="29513"/>
    <cfRule type="duplicateValues" dxfId="28571" priority="29514"/>
    <cfRule type="duplicateValues" dxfId="28570" priority="29515"/>
    <cfRule type="duplicateValues" dxfId="28569" priority="29516"/>
    <cfRule type="duplicateValues" dxfId="28568" priority="29517"/>
    <cfRule type="duplicateValues" dxfId="28567" priority="29518"/>
    <cfRule type="duplicateValues" dxfId="28566" priority="29519"/>
    <cfRule type="duplicateValues" dxfId="28565" priority="29520"/>
    <cfRule type="duplicateValues" dxfId="28564" priority="29521"/>
    <cfRule type="duplicateValues" dxfId="28563" priority="29522"/>
    <cfRule type="duplicateValues" dxfId="28562" priority="29523"/>
    <cfRule type="duplicateValues" dxfId="28561" priority="29524"/>
    <cfRule type="duplicateValues" dxfId="28560" priority="29525"/>
    <cfRule type="duplicateValues" dxfId="28559" priority="29526"/>
    <cfRule type="duplicateValues" dxfId="28558" priority="29527"/>
    <cfRule type="duplicateValues" dxfId="28557" priority="29528"/>
    <cfRule type="duplicateValues" dxfId="28556" priority="29529"/>
    <cfRule type="duplicateValues" dxfId="28555" priority="29530"/>
    <cfRule type="duplicateValues" dxfId="28554" priority="29531"/>
    <cfRule type="duplicateValues" dxfId="28553" priority="29532"/>
    <cfRule type="duplicateValues" dxfId="28552" priority="29533"/>
    <cfRule type="duplicateValues" dxfId="28551" priority="29534"/>
    <cfRule type="duplicateValues" dxfId="28550" priority="29535"/>
    <cfRule type="duplicateValues" dxfId="28549" priority="29536"/>
    <cfRule type="duplicateValues" dxfId="28548" priority="29537"/>
    <cfRule type="duplicateValues" dxfId="28547" priority="29538"/>
    <cfRule type="duplicateValues" dxfId="28546" priority="29539"/>
    <cfRule type="duplicateValues" dxfId="28545" priority="29540"/>
    <cfRule type="duplicateValues" dxfId="28544" priority="29541"/>
  </conditionalFormatting>
  <conditionalFormatting sqref="C175">
    <cfRule type="duplicateValues" dxfId="28543" priority="29436"/>
    <cfRule type="duplicateValues" dxfId="28542" priority="29437"/>
    <cfRule type="duplicateValues" dxfId="28541" priority="29438"/>
    <cfRule type="duplicateValues" dxfId="28540" priority="29439"/>
    <cfRule type="duplicateValues" dxfId="28539" priority="29440"/>
    <cfRule type="duplicateValues" dxfId="28538" priority="29441"/>
    <cfRule type="duplicateValues" dxfId="28537" priority="29442"/>
    <cfRule type="duplicateValues" dxfId="28536" priority="29443"/>
    <cfRule type="duplicateValues" dxfId="28535" priority="29444"/>
    <cfRule type="duplicateValues" dxfId="28534" priority="29445"/>
    <cfRule type="duplicateValues" dxfId="28533" priority="29446"/>
    <cfRule type="duplicateValues" dxfId="28532" priority="29447"/>
    <cfRule type="duplicateValues" dxfId="28531" priority="29448"/>
    <cfRule type="duplicateValues" dxfId="28530" priority="29449"/>
    <cfRule type="duplicateValues" dxfId="28529" priority="29450"/>
    <cfRule type="duplicateValues" dxfId="28528" priority="29451"/>
    <cfRule type="duplicateValues" dxfId="28527" priority="29452"/>
    <cfRule type="duplicateValues" dxfId="28526" priority="29453"/>
    <cfRule type="duplicateValues" dxfId="28525" priority="29454"/>
    <cfRule type="duplicateValues" dxfId="28524" priority="29455"/>
    <cfRule type="duplicateValues" dxfId="28523" priority="29456"/>
    <cfRule type="duplicateValues" dxfId="28522" priority="29457"/>
    <cfRule type="duplicateValues" dxfId="28521" priority="29458"/>
    <cfRule type="duplicateValues" dxfId="28520" priority="29459"/>
    <cfRule type="duplicateValues" dxfId="28519" priority="29460"/>
    <cfRule type="duplicateValues" dxfId="28518" priority="29461"/>
    <cfRule type="duplicateValues" dxfId="28517" priority="29462"/>
    <cfRule type="duplicateValues" dxfId="28516" priority="29463"/>
    <cfRule type="duplicateValues" dxfId="28515" priority="29464"/>
    <cfRule type="duplicateValues" dxfId="28514" priority="29465"/>
    <cfRule type="duplicateValues" dxfId="28513" priority="29466"/>
    <cfRule type="duplicateValues" dxfId="28512" priority="29467"/>
    <cfRule type="duplicateValues" dxfId="28511" priority="29468"/>
    <cfRule type="duplicateValues" dxfId="28510" priority="29469"/>
    <cfRule type="duplicateValues" dxfId="28509" priority="29470"/>
    <cfRule type="duplicateValues" dxfId="28508" priority="29471"/>
    <cfRule type="duplicateValues" dxfId="28507" priority="29472"/>
    <cfRule type="duplicateValues" dxfId="28506" priority="29473"/>
    <cfRule type="duplicateValues" dxfId="28505" priority="29474"/>
    <cfRule type="duplicateValues" dxfId="28504" priority="29475"/>
    <cfRule type="duplicateValues" dxfId="28503" priority="29476"/>
    <cfRule type="duplicateValues" dxfId="28502" priority="29477"/>
    <cfRule type="duplicateValues" dxfId="28501" priority="29478"/>
    <cfRule type="duplicateValues" dxfId="28500" priority="29479"/>
    <cfRule type="duplicateValues" dxfId="28499" priority="29480"/>
    <cfRule type="duplicateValues" dxfId="28498" priority="29481"/>
    <cfRule type="duplicateValues" dxfId="28497" priority="29482"/>
    <cfRule type="duplicateValues" dxfId="28496" priority="29483"/>
    <cfRule type="duplicateValues" dxfId="28495" priority="29484"/>
    <cfRule type="duplicateValues" dxfId="28494" priority="29485"/>
    <cfRule type="duplicateValues" dxfId="28493" priority="29486"/>
    <cfRule type="duplicateValues" dxfId="28492" priority="29487"/>
    <cfRule type="duplicateValues" dxfId="28491" priority="29488"/>
  </conditionalFormatting>
  <conditionalFormatting sqref="C176">
    <cfRule type="duplicateValues" dxfId="28490" priority="29383"/>
    <cfRule type="duplicateValues" dxfId="28489" priority="29384"/>
    <cfRule type="duplicateValues" dxfId="28488" priority="29385"/>
    <cfRule type="duplicateValues" dxfId="28487" priority="29386"/>
    <cfRule type="duplicateValues" dxfId="28486" priority="29387"/>
    <cfRule type="duplicateValues" dxfId="28485" priority="29388"/>
    <cfRule type="duplicateValues" dxfId="28484" priority="29389"/>
    <cfRule type="duplicateValues" dxfId="28483" priority="29390"/>
    <cfRule type="duplicateValues" dxfId="28482" priority="29391"/>
    <cfRule type="duplicateValues" dxfId="28481" priority="29392"/>
    <cfRule type="duplicateValues" dxfId="28480" priority="29393"/>
    <cfRule type="duplicateValues" dxfId="28479" priority="29394"/>
    <cfRule type="duplicateValues" dxfId="28478" priority="29395"/>
    <cfRule type="duplicateValues" dxfId="28477" priority="29396"/>
    <cfRule type="duplicateValues" dxfId="28476" priority="29397"/>
    <cfRule type="duplicateValues" dxfId="28475" priority="29398"/>
    <cfRule type="duplicateValues" dxfId="28474" priority="29399"/>
    <cfRule type="duplicateValues" dxfId="28473" priority="29400"/>
    <cfRule type="duplicateValues" dxfId="28472" priority="29401"/>
    <cfRule type="duplicateValues" dxfId="28471" priority="29402"/>
    <cfRule type="duplicateValues" dxfId="28470" priority="29403"/>
    <cfRule type="duplicateValues" dxfId="28469" priority="29404"/>
    <cfRule type="duplicateValues" dxfId="28468" priority="29405"/>
    <cfRule type="duplicateValues" dxfId="28467" priority="29406"/>
    <cfRule type="duplicateValues" dxfId="28466" priority="29407"/>
    <cfRule type="duplicateValues" dxfId="28465" priority="29408"/>
    <cfRule type="duplicateValues" dxfId="28464" priority="29409"/>
    <cfRule type="duplicateValues" dxfId="28463" priority="29410"/>
    <cfRule type="duplicateValues" dxfId="28462" priority="29411"/>
    <cfRule type="duplicateValues" dxfId="28461" priority="29412"/>
    <cfRule type="duplicateValues" dxfId="28460" priority="29413"/>
    <cfRule type="duplicateValues" dxfId="28459" priority="29414"/>
    <cfRule type="duplicateValues" dxfId="28458" priority="29415"/>
    <cfRule type="duplicateValues" dxfId="28457" priority="29416"/>
    <cfRule type="duplicateValues" dxfId="28456" priority="29417"/>
    <cfRule type="duplicateValues" dxfId="28455" priority="29418"/>
    <cfRule type="duplicateValues" dxfId="28454" priority="29419"/>
    <cfRule type="duplicateValues" dxfId="28453" priority="29420"/>
    <cfRule type="duplicateValues" dxfId="28452" priority="29421"/>
    <cfRule type="duplicateValues" dxfId="28451" priority="29422"/>
    <cfRule type="duplicateValues" dxfId="28450" priority="29423"/>
    <cfRule type="duplicateValues" dxfId="28449" priority="29424"/>
    <cfRule type="duplicateValues" dxfId="28448" priority="29425"/>
    <cfRule type="duplicateValues" dxfId="28447" priority="29426"/>
    <cfRule type="duplicateValues" dxfId="28446" priority="29427"/>
    <cfRule type="duplicateValues" dxfId="28445" priority="29428"/>
    <cfRule type="duplicateValues" dxfId="28444" priority="29429"/>
    <cfRule type="duplicateValues" dxfId="28443" priority="29430"/>
    <cfRule type="duplicateValues" dxfId="28442" priority="29431"/>
    <cfRule type="duplicateValues" dxfId="28441" priority="29432"/>
    <cfRule type="duplicateValues" dxfId="28440" priority="29433"/>
    <cfRule type="duplicateValues" dxfId="28439" priority="29434"/>
    <cfRule type="duplicateValues" dxfId="28438" priority="29435"/>
  </conditionalFormatting>
  <conditionalFormatting sqref="C177">
    <cfRule type="duplicateValues" dxfId="28437" priority="29330"/>
    <cfRule type="duplicateValues" dxfId="28436" priority="29331"/>
    <cfRule type="duplicateValues" dxfId="28435" priority="29332"/>
    <cfRule type="duplicateValues" dxfId="28434" priority="29333"/>
    <cfRule type="duplicateValues" dxfId="28433" priority="29334"/>
    <cfRule type="duplicateValues" dxfId="28432" priority="29335"/>
    <cfRule type="duplicateValues" dxfId="28431" priority="29336"/>
    <cfRule type="duplicateValues" dxfId="28430" priority="29337"/>
    <cfRule type="duplicateValues" dxfId="28429" priority="29338"/>
    <cfRule type="duplicateValues" dxfId="28428" priority="29339"/>
    <cfRule type="duplicateValues" dxfId="28427" priority="29340"/>
    <cfRule type="duplicateValues" dxfId="28426" priority="29341"/>
    <cfRule type="duplicateValues" dxfId="28425" priority="29342"/>
    <cfRule type="duplicateValues" dxfId="28424" priority="29343"/>
    <cfRule type="duplicateValues" dxfId="28423" priority="29344"/>
    <cfRule type="duplicateValues" dxfId="28422" priority="29345"/>
    <cfRule type="duplicateValues" dxfId="28421" priority="29346"/>
    <cfRule type="duplicateValues" dxfId="28420" priority="29347"/>
    <cfRule type="duplicateValues" dxfId="28419" priority="29348"/>
    <cfRule type="duplicateValues" dxfId="28418" priority="29349"/>
    <cfRule type="duplicateValues" dxfId="28417" priority="29350"/>
    <cfRule type="duplicateValues" dxfId="28416" priority="29351"/>
    <cfRule type="duplicateValues" dxfId="28415" priority="29352"/>
    <cfRule type="duplicateValues" dxfId="28414" priority="29353"/>
    <cfRule type="duplicateValues" dxfId="28413" priority="29354"/>
    <cfRule type="duplicateValues" dxfId="28412" priority="29355"/>
    <cfRule type="duplicateValues" dxfId="28411" priority="29356"/>
    <cfRule type="duplicateValues" dxfId="28410" priority="29357"/>
    <cfRule type="duplicateValues" dxfId="28409" priority="29358"/>
    <cfRule type="duplicateValues" dxfId="28408" priority="29359"/>
    <cfRule type="duplicateValues" dxfId="28407" priority="29360"/>
    <cfRule type="duplicateValues" dxfId="28406" priority="29361"/>
    <cfRule type="duplicateValues" dxfId="28405" priority="29362"/>
    <cfRule type="duplicateValues" dxfId="28404" priority="29363"/>
    <cfRule type="duplicateValues" dxfId="28403" priority="29364"/>
    <cfRule type="duplicateValues" dxfId="28402" priority="29365"/>
    <cfRule type="duplicateValues" dxfId="28401" priority="29366"/>
    <cfRule type="duplicateValues" dxfId="28400" priority="29367"/>
    <cfRule type="duplicateValues" dxfId="28399" priority="29368"/>
    <cfRule type="duplicateValues" dxfId="28398" priority="29369"/>
    <cfRule type="duplicateValues" dxfId="28397" priority="29370"/>
    <cfRule type="duplicateValues" dxfId="28396" priority="29371"/>
    <cfRule type="duplicateValues" dxfId="28395" priority="29372"/>
    <cfRule type="duplicateValues" dxfId="28394" priority="29373"/>
    <cfRule type="duplicateValues" dxfId="28393" priority="29374"/>
    <cfRule type="duplicateValues" dxfId="28392" priority="29375"/>
    <cfRule type="duplicateValues" dxfId="28391" priority="29376"/>
    <cfRule type="duplicateValues" dxfId="28390" priority="29377"/>
    <cfRule type="duplicateValues" dxfId="28389" priority="29378"/>
    <cfRule type="duplicateValues" dxfId="28388" priority="29379"/>
    <cfRule type="duplicateValues" dxfId="28387" priority="29380"/>
    <cfRule type="duplicateValues" dxfId="28386" priority="29381"/>
    <cfRule type="duplicateValues" dxfId="28385" priority="29382"/>
  </conditionalFormatting>
  <conditionalFormatting sqref="C178">
    <cfRule type="duplicateValues" dxfId="28384" priority="29277"/>
    <cfRule type="duplicateValues" dxfId="28383" priority="29278"/>
    <cfRule type="duplicateValues" dxfId="28382" priority="29279"/>
    <cfRule type="duplicateValues" dxfId="28381" priority="29280"/>
    <cfRule type="duplicateValues" dxfId="28380" priority="29281"/>
    <cfRule type="duplicateValues" dxfId="28379" priority="29282"/>
    <cfRule type="duplicateValues" dxfId="28378" priority="29283"/>
    <cfRule type="duplicateValues" dxfId="28377" priority="29284"/>
    <cfRule type="duplicateValues" dxfId="28376" priority="29285"/>
    <cfRule type="duplicateValues" dxfId="28375" priority="29286"/>
    <cfRule type="duplicateValues" dxfId="28374" priority="29287"/>
    <cfRule type="duplicateValues" dxfId="28373" priority="29288"/>
    <cfRule type="duplicateValues" dxfId="28372" priority="29289"/>
    <cfRule type="duplicateValues" dxfId="28371" priority="29290"/>
    <cfRule type="duplicateValues" dxfId="28370" priority="29291"/>
    <cfRule type="duplicateValues" dxfId="28369" priority="29292"/>
    <cfRule type="duplicateValues" dxfId="28368" priority="29293"/>
    <cfRule type="duplicateValues" dxfId="28367" priority="29294"/>
    <cfRule type="duplicateValues" dxfId="28366" priority="29295"/>
    <cfRule type="duplicateValues" dxfId="28365" priority="29296"/>
    <cfRule type="duplicateValues" dxfId="28364" priority="29297"/>
    <cfRule type="duplicateValues" dxfId="28363" priority="29298"/>
    <cfRule type="duplicateValues" dxfId="28362" priority="29299"/>
    <cfRule type="duplicateValues" dxfId="28361" priority="29300"/>
    <cfRule type="duplicateValues" dxfId="28360" priority="29301"/>
    <cfRule type="duplicateValues" dxfId="28359" priority="29302"/>
    <cfRule type="duplicateValues" dxfId="28358" priority="29303"/>
    <cfRule type="duplicateValues" dxfId="28357" priority="29304"/>
    <cfRule type="duplicateValues" dxfId="28356" priority="29305"/>
    <cfRule type="duplicateValues" dxfId="28355" priority="29306"/>
    <cfRule type="duplicateValues" dxfId="28354" priority="29307"/>
    <cfRule type="duplicateValues" dxfId="28353" priority="29308"/>
    <cfRule type="duplicateValues" dxfId="28352" priority="29309"/>
    <cfRule type="duplicateValues" dxfId="28351" priority="29310"/>
    <cfRule type="duplicateValues" dxfId="28350" priority="29311"/>
    <cfRule type="duplicateValues" dxfId="28349" priority="29312"/>
    <cfRule type="duplicateValues" dxfId="28348" priority="29313"/>
    <cfRule type="duplicateValues" dxfId="28347" priority="29314"/>
    <cfRule type="duplicateValues" dxfId="28346" priority="29315"/>
    <cfRule type="duplicateValues" dxfId="28345" priority="29316"/>
    <cfRule type="duplicateValues" dxfId="28344" priority="29317"/>
    <cfRule type="duplicateValues" dxfId="28343" priority="29318"/>
    <cfRule type="duplicateValues" dxfId="28342" priority="29319"/>
    <cfRule type="duplicateValues" dxfId="28341" priority="29320"/>
    <cfRule type="duplicateValues" dxfId="28340" priority="29321"/>
    <cfRule type="duplicateValues" dxfId="28339" priority="29322"/>
    <cfRule type="duplicateValues" dxfId="28338" priority="29323"/>
    <cfRule type="duplicateValues" dxfId="28337" priority="29324"/>
    <cfRule type="duplicateValues" dxfId="28336" priority="29325"/>
    <cfRule type="duplicateValues" dxfId="28335" priority="29326"/>
    <cfRule type="duplicateValues" dxfId="28334" priority="29327"/>
    <cfRule type="duplicateValues" dxfId="28333" priority="29328"/>
    <cfRule type="duplicateValues" dxfId="28332" priority="29329"/>
  </conditionalFormatting>
  <conditionalFormatting sqref="C179">
    <cfRule type="duplicateValues" dxfId="28331" priority="29224"/>
    <cfRule type="duplicateValues" dxfId="28330" priority="29225"/>
    <cfRule type="duplicateValues" dxfId="28329" priority="29226"/>
    <cfRule type="duplicateValues" dxfId="28328" priority="29227"/>
    <cfRule type="duplicateValues" dxfId="28327" priority="29228"/>
    <cfRule type="duplicateValues" dxfId="28326" priority="29229"/>
    <cfRule type="duplicateValues" dxfId="28325" priority="29230"/>
    <cfRule type="duplicateValues" dxfId="28324" priority="29231"/>
    <cfRule type="duplicateValues" dxfId="28323" priority="29232"/>
    <cfRule type="duplicateValues" dxfId="28322" priority="29233"/>
    <cfRule type="duplicateValues" dxfId="28321" priority="29234"/>
    <cfRule type="duplicateValues" dxfId="28320" priority="29235"/>
    <cfRule type="duplicateValues" dxfId="28319" priority="29236"/>
    <cfRule type="duplicateValues" dxfId="28318" priority="29237"/>
    <cfRule type="duplicateValues" dxfId="28317" priority="29238"/>
    <cfRule type="duplicateValues" dxfId="28316" priority="29239"/>
    <cfRule type="duplicateValues" dxfId="28315" priority="29240"/>
    <cfRule type="duplicateValues" dxfId="28314" priority="29241"/>
    <cfRule type="duplicateValues" dxfId="28313" priority="29242"/>
    <cfRule type="duplicateValues" dxfId="28312" priority="29243"/>
    <cfRule type="duplicateValues" dxfId="28311" priority="29244"/>
    <cfRule type="duplicateValues" dxfId="28310" priority="29245"/>
    <cfRule type="duplicateValues" dxfId="28309" priority="29246"/>
    <cfRule type="duplicateValues" dxfId="28308" priority="29247"/>
    <cfRule type="duplicateValues" dxfId="28307" priority="29248"/>
    <cfRule type="duplicateValues" dxfId="28306" priority="29249"/>
    <cfRule type="duplicateValues" dxfId="28305" priority="29250"/>
    <cfRule type="duplicateValues" dxfId="28304" priority="29251"/>
    <cfRule type="duplicateValues" dxfId="28303" priority="29252"/>
    <cfRule type="duplicateValues" dxfId="28302" priority="29253"/>
    <cfRule type="duplicateValues" dxfId="28301" priority="29254"/>
    <cfRule type="duplicateValues" dxfId="28300" priority="29255"/>
    <cfRule type="duplicateValues" dxfId="28299" priority="29256"/>
    <cfRule type="duplicateValues" dxfId="28298" priority="29257"/>
    <cfRule type="duplicateValues" dxfId="28297" priority="29258"/>
    <cfRule type="duplicateValues" dxfId="28296" priority="29259"/>
    <cfRule type="duplicateValues" dxfId="28295" priority="29260"/>
    <cfRule type="duplicateValues" dxfId="28294" priority="29261"/>
    <cfRule type="duplicateValues" dxfId="28293" priority="29262"/>
    <cfRule type="duplicateValues" dxfId="28292" priority="29263"/>
    <cfRule type="duplicateValues" dxfId="28291" priority="29264"/>
    <cfRule type="duplicateValues" dxfId="28290" priority="29265"/>
    <cfRule type="duplicateValues" dxfId="28289" priority="29266"/>
    <cfRule type="duplicateValues" dxfId="28288" priority="29267"/>
    <cfRule type="duplicateValues" dxfId="28287" priority="29268"/>
    <cfRule type="duplicateValues" dxfId="28286" priority="29269"/>
    <cfRule type="duplicateValues" dxfId="28285" priority="29270"/>
    <cfRule type="duplicateValues" dxfId="28284" priority="29271"/>
    <cfRule type="duplicateValues" dxfId="28283" priority="29272"/>
    <cfRule type="duplicateValues" dxfId="28282" priority="29273"/>
    <cfRule type="duplicateValues" dxfId="28281" priority="29274"/>
    <cfRule type="duplicateValues" dxfId="28280" priority="29275"/>
    <cfRule type="duplicateValues" dxfId="28279" priority="29276"/>
  </conditionalFormatting>
  <conditionalFormatting sqref="C180">
    <cfRule type="duplicateValues" dxfId="28278" priority="29117"/>
    <cfRule type="duplicateValues" dxfId="28277" priority="29118"/>
    <cfRule type="duplicateValues" dxfId="28276" priority="29119"/>
    <cfRule type="duplicateValues" dxfId="28275" priority="29120"/>
    <cfRule type="duplicateValues" dxfId="28274" priority="29121"/>
    <cfRule type="duplicateValues" dxfId="28273" priority="29122"/>
    <cfRule type="duplicateValues" dxfId="28272" priority="29123"/>
    <cfRule type="duplicateValues" dxfId="28271" priority="29124"/>
    <cfRule type="duplicateValues" dxfId="28270" priority="29125"/>
    <cfRule type="duplicateValues" dxfId="28269" priority="29126"/>
    <cfRule type="duplicateValues" dxfId="28268" priority="29127"/>
    <cfRule type="duplicateValues" dxfId="28267" priority="29128"/>
    <cfRule type="duplicateValues" dxfId="28266" priority="29129"/>
    <cfRule type="duplicateValues" dxfId="28265" priority="29130"/>
    <cfRule type="duplicateValues" dxfId="28264" priority="29131"/>
    <cfRule type="duplicateValues" dxfId="28263" priority="29132"/>
    <cfRule type="duplicateValues" dxfId="28262" priority="29133"/>
    <cfRule type="duplicateValues" dxfId="28261" priority="29134"/>
    <cfRule type="duplicateValues" dxfId="28260" priority="29135"/>
    <cfRule type="duplicateValues" dxfId="28259" priority="29136"/>
    <cfRule type="duplicateValues" dxfId="28258" priority="29137"/>
    <cfRule type="duplicateValues" dxfId="28257" priority="29138"/>
    <cfRule type="duplicateValues" dxfId="28256" priority="29139"/>
    <cfRule type="duplicateValues" dxfId="28255" priority="29140"/>
    <cfRule type="duplicateValues" dxfId="28254" priority="29141"/>
    <cfRule type="duplicateValues" dxfId="28253" priority="29142"/>
    <cfRule type="duplicateValues" dxfId="28252" priority="29143"/>
    <cfRule type="duplicateValues" dxfId="28251" priority="29144"/>
    <cfRule type="duplicateValues" dxfId="28250" priority="29145"/>
    <cfRule type="duplicateValues" dxfId="28249" priority="29146"/>
    <cfRule type="duplicateValues" dxfId="28248" priority="29147"/>
    <cfRule type="duplicateValues" dxfId="28247" priority="29148"/>
    <cfRule type="duplicateValues" dxfId="28246" priority="29149"/>
    <cfRule type="duplicateValues" dxfId="28245" priority="29150"/>
    <cfRule type="duplicateValues" dxfId="28244" priority="29151"/>
    <cfRule type="duplicateValues" dxfId="28243" priority="29152"/>
    <cfRule type="duplicateValues" dxfId="28242" priority="29153"/>
    <cfRule type="duplicateValues" dxfId="28241" priority="29154"/>
    <cfRule type="duplicateValues" dxfId="28240" priority="29155"/>
    <cfRule type="duplicateValues" dxfId="28239" priority="29156"/>
    <cfRule type="duplicateValues" dxfId="28238" priority="29157"/>
    <cfRule type="duplicateValues" dxfId="28237" priority="29158"/>
    <cfRule type="duplicateValues" dxfId="28236" priority="29159"/>
    <cfRule type="duplicateValues" dxfId="28235" priority="29160"/>
    <cfRule type="duplicateValues" dxfId="28234" priority="29161"/>
    <cfRule type="duplicateValues" dxfId="28233" priority="29162"/>
    <cfRule type="duplicateValues" dxfId="28232" priority="29163"/>
    <cfRule type="duplicateValues" dxfId="28231" priority="29164"/>
    <cfRule type="duplicateValues" dxfId="28230" priority="29165"/>
    <cfRule type="duplicateValues" dxfId="28229" priority="29166"/>
    <cfRule type="duplicateValues" dxfId="28228" priority="29167"/>
    <cfRule type="duplicateValues" dxfId="28227" priority="29168"/>
    <cfRule type="duplicateValues" dxfId="28226" priority="29169"/>
    <cfRule type="duplicateValues" dxfId="28225" priority="29170"/>
    <cfRule type="duplicateValues" dxfId="28224" priority="29171"/>
    <cfRule type="duplicateValues" dxfId="28223" priority="29172"/>
    <cfRule type="duplicateValues" dxfId="28222" priority="29173"/>
    <cfRule type="duplicateValues" dxfId="28221" priority="29174"/>
    <cfRule type="duplicateValues" dxfId="28220" priority="29175"/>
    <cfRule type="duplicateValues" dxfId="28219" priority="29176"/>
    <cfRule type="duplicateValues" dxfId="28218" priority="29177"/>
    <cfRule type="duplicateValues" dxfId="28217" priority="29178"/>
    <cfRule type="duplicateValues" dxfId="28216" priority="29179"/>
    <cfRule type="duplicateValues" dxfId="28215" priority="29180"/>
    <cfRule type="duplicateValues" dxfId="28214" priority="29181"/>
    <cfRule type="duplicateValues" dxfId="28213" priority="29182"/>
    <cfRule type="duplicateValues" dxfId="28212" priority="29183"/>
    <cfRule type="duplicateValues" dxfId="28211" priority="29184"/>
    <cfRule type="duplicateValues" dxfId="28210" priority="29185"/>
    <cfRule type="duplicateValues" dxfId="28209" priority="29186"/>
    <cfRule type="duplicateValues" dxfId="28208" priority="29187"/>
    <cfRule type="duplicateValues" dxfId="28207" priority="29188"/>
    <cfRule type="duplicateValues" dxfId="28206" priority="29189"/>
    <cfRule type="duplicateValues" dxfId="28205" priority="29190"/>
    <cfRule type="duplicateValues" dxfId="28204" priority="29191"/>
    <cfRule type="duplicateValues" dxfId="28203" priority="29192"/>
    <cfRule type="duplicateValues" dxfId="28202" priority="29193"/>
    <cfRule type="duplicateValues" dxfId="28201" priority="29194"/>
    <cfRule type="duplicateValues" dxfId="28200" priority="29195"/>
    <cfRule type="duplicateValues" dxfId="28199" priority="29196"/>
    <cfRule type="duplicateValues" dxfId="28198" priority="29197"/>
    <cfRule type="duplicateValues" dxfId="28197" priority="29198"/>
    <cfRule type="duplicateValues" dxfId="28196" priority="29199"/>
    <cfRule type="duplicateValues" dxfId="28195" priority="29200"/>
    <cfRule type="duplicateValues" dxfId="28194" priority="29201"/>
    <cfRule type="duplicateValues" dxfId="28193" priority="29202"/>
    <cfRule type="duplicateValues" dxfId="28192" priority="29203"/>
    <cfRule type="duplicateValues" dxfId="28191" priority="29204"/>
    <cfRule type="duplicateValues" dxfId="28190" priority="29205"/>
    <cfRule type="duplicateValues" dxfId="28189" priority="29206"/>
    <cfRule type="duplicateValues" dxfId="28188" priority="29207"/>
    <cfRule type="duplicateValues" dxfId="28187" priority="29208"/>
    <cfRule type="duplicateValues" dxfId="28186" priority="29209"/>
    <cfRule type="duplicateValues" dxfId="28185" priority="29210"/>
    <cfRule type="duplicateValues" dxfId="28184" priority="29211"/>
    <cfRule type="duplicateValues" dxfId="28183" priority="29212"/>
    <cfRule type="duplicateValues" dxfId="28182" priority="29213"/>
    <cfRule type="duplicateValues" dxfId="28181" priority="29214"/>
    <cfRule type="duplicateValues" dxfId="28180" priority="29215"/>
    <cfRule type="duplicateValues" dxfId="28179" priority="29216"/>
    <cfRule type="duplicateValues" dxfId="28178" priority="29217"/>
    <cfRule type="duplicateValues" dxfId="28177" priority="29218"/>
    <cfRule type="duplicateValues" dxfId="28176" priority="29219"/>
    <cfRule type="duplicateValues" dxfId="28175" priority="29220"/>
    <cfRule type="duplicateValues" dxfId="28174" priority="29221"/>
    <cfRule type="duplicateValues" dxfId="28173" priority="29222"/>
    <cfRule type="duplicateValues" dxfId="28172" priority="29223"/>
  </conditionalFormatting>
  <conditionalFormatting sqref="C181:C182">
    <cfRule type="duplicateValues" dxfId="28171" priority="9511"/>
    <cfRule type="duplicateValues" dxfId="28170" priority="9512"/>
    <cfRule type="duplicateValues" dxfId="28169" priority="9513"/>
    <cfRule type="duplicateValues" dxfId="28168" priority="9514"/>
    <cfRule type="duplicateValues" dxfId="28167" priority="9515"/>
    <cfRule type="duplicateValues" dxfId="28166" priority="9516"/>
    <cfRule type="duplicateValues" dxfId="28165" priority="9517"/>
    <cfRule type="duplicateValues" dxfId="28164" priority="9518"/>
    <cfRule type="duplicateValues" dxfId="28163" priority="9519"/>
    <cfRule type="duplicateValues" dxfId="28162" priority="9520"/>
    <cfRule type="duplicateValues" dxfId="28161" priority="9521"/>
    <cfRule type="duplicateValues" dxfId="28160" priority="9522"/>
    <cfRule type="duplicateValues" dxfId="28159" priority="9523"/>
    <cfRule type="duplicateValues" dxfId="28158" priority="9524"/>
    <cfRule type="duplicateValues" dxfId="28157" priority="9525"/>
    <cfRule type="duplicateValues" dxfId="28156" priority="9526"/>
    <cfRule type="duplicateValues" dxfId="28155" priority="9527"/>
    <cfRule type="duplicateValues" dxfId="28154" priority="9528"/>
    <cfRule type="duplicateValues" dxfId="28153" priority="9529"/>
    <cfRule type="duplicateValues" dxfId="28152" priority="9530"/>
    <cfRule type="duplicateValues" dxfId="28151" priority="9531"/>
    <cfRule type="duplicateValues" dxfId="28150" priority="9532"/>
    <cfRule type="duplicateValues" dxfId="28149" priority="9533"/>
    <cfRule type="duplicateValues" dxfId="28148" priority="9534"/>
    <cfRule type="duplicateValues" dxfId="28147" priority="9535"/>
    <cfRule type="duplicateValues" dxfId="28146" priority="9536"/>
    <cfRule type="duplicateValues" dxfId="28145" priority="9537"/>
    <cfRule type="duplicateValues" dxfId="28144" priority="9538"/>
    <cfRule type="duplicateValues" dxfId="28143" priority="9539"/>
    <cfRule type="duplicateValues" dxfId="28142" priority="9540"/>
    <cfRule type="duplicateValues" dxfId="28141" priority="9541"/>
    <cfRule type="duplicateValues" dxfId="28140" priority="9542"/>
    <cfRule type="duplicateValues" dxfId="28139" priority="9543"/>
    <cfRule type="duplicateValues" dxfId="28138" priority="9544"/>
    <cfRule type="duplicateValues" dxfId="28137" priority="9545"/>
    <cfRule type="duplicateValues" dxfId="28136" priority="9546"/>
    <cfRule type="duplicateValues" dxfId="28135" priority="9547"/>
    <cfRule type="duplicateValues" dxfId="28134" priority="9548"/>
    <cfRule type="duplicateValues" dxfId="28133" priority="9549"/>
    <cfRule type="duplicateValues" dxfId="28132" priority="9550"/>
    <cfRule type="duplicateValues" dxfId="28131" priority="9551"/>
    <cfRule type="duplicateValues" dxfId="28130" priority="9552"/>
    <cfRule type="duplicateValues" dxfId="28129" priority="9553"/>
    <cfRule type="duplicateValues" dxfId="28128" priority="9554"/>
    <cfRule type="duplicateValues" dxfId="28127" priority="9555"/>
    <cfRule type="duplicateValues" dxfId="28126" priority="9556"/>
    <cfRule type="duplicateValues" dxfId="28125" priority="9557"/>
    <cfRule type="duplicateValues" dxfId="28124" priority="9558"/>
    <cfRule type="duplicateValues" dxfId="28123" priority="9559"/>
    <cfRule type="duplicateValues" dxfId="28122" priority="9560"/>
    <cfRule type="duplicateValues" dxfId="28121" priority="9561"/>
    <cfRule type="duplicateValues" dxfId="28120" priority="9562"/>
    <cfRule type="duplicateValues" dxfId="28119" priority="9563"/>
    <cfRule type="duplicateValues" dxfId="28118" priority="9564"/>
    <cfRule type="duplicateValues" dxfId="28117" priority="9565"/>
    <cfRule type="duplicateValues" dxfId="28116" priority="9566"/>
    <cfRule type="duplicateValues" dxfId="28115" priority="9567"/>
    <cfRule type="duplicateValues" dxfId="28114" priority="9568"/>
    <cfRule type="duplicateValues" dxfId="28113" priority="9569"/>
    <cfRule type="duplicateValues" dxfId="28112" priority="9570"/>
    <cfRule type="duplicateValues" dxfId="28111" priority="9571"/>
    <cfRule type="duplicateValues" dxfId="28110" priority="9572"/>
    <cfRule type="duplicateValues" dxfId="28109" priority="9573"/>
    <cfRule type="duplicateValues" dxfId="28108" priority="9574"/>
    <cfRule type="duplicateValues" dxfId="28107" priority="9575"/>
    <cfRule type="duplicateValues" dxfId="28106" priority="9576"/>
    <cfRule type="duplicateValues" dxfId="28105" priority="9577"/>
    <cfRule type="duplicateValues" dxfId="28104" priority="9578"/>
    <cfRule type="duplicateValues" dxfId="28103" priority="9579"/>
    <cfRule type="duplicateValues" dxfId="28102" priority="9580"/>
    <cfRule type="duplicateValues" dxfId="28101" priority="9581"/>
    <cfRule type="duplicateValues" dxfId="28100" priority="9582"/>
    <cfRule type="duplicateValues" dxfId="28099" priority="9583"/>
    <cfRule type="duplicateValues" dxfId="28098" priority="9584"/>
    <cfRule type="duplicateValues" dxfId="28097" priority="9585"/>
    <cfRule type="duplicateValues" dxfId="28096" priority="9586"/>
    <cfRule type="duplicateValues" dxfId="28095" priority="9587"/>
    <cfRule type="duplicateValues" dxfId="28094" priority="9588"/>
    <cfRule type="duplicateValues" dxfId="28093" priority="9589"/>
    <cfRule type="duplicateValues" dxfId="28092" priority="9590"/>
    <cfRule type="duplicateValues" dxfId="28091" priority="9591"/>
    <cfRule type="duplicateValues" dxfId="28090" priority="9592"/>
    <cfRule type="duplicateValues" dxfId="28089" priority="9593"/>
    <cfRule type="duplicateValues" dxfId="28088" priority="9594"/>
    <cfRule type="duplicateValues" dxfId="28087" priority="9595"/>
    <cfRule type="duplicateValues" dxfId="28086" priority="9596"/>
    <cfRule type="duplicateValues" dxfId="28085" priority="9597"/>
    <cfRule type="duplicateValues" dxfId="28084" priority="9598"/>
    <cfRule type="duplicateValues" dxfId="28083" priority="9599"/>
    <cfRule type="duplicateValues" dxfId="28082" priority="9600"/>
    <cfRule type="duplicateValues" dxfId="28081" priority="9601"/>
    <cfRule type="duplicateValues" dxfId="28080" priority="9602"/>
    <cfRule type="duplicateValues" dxfId="28079" priority="9603"/>
    <cfRule type="duplicateValues" dxfId="28078" priority="9604"/>
    <cfRule type="duplicateValues" dxfId="28077" priority="9605"/>
    <cfRule type="duplicateValues" dxfId="28076" priority="9606"/>
    <cfRule type="duplicateValues" dxfId="28075" priority="9607"/>
    <cfRule type="duplicateValues" dxfId="28074" priority="9608"/>
    <cfRule type="duplicateValues" dxfId="28073" priority="9609"/>
    <cfRule type="duplicateValues" dxfId="28072" priority="9610"/>
    <cfRule type="duplicateValues" dxfId="28071" priority="9611"/>
    <cfRule type="duplicateValues" dxfId="28070" priority="9612"/>
    <cfRule type="duplicateValues" dxfId="28069" priority="9613"/>
    <cfRule type="duplicateValues" dxfId="28068" priority="9614"/>
    <cfRule type="duplicateValues" dxfId="28067" priority="9615"/>
    <cfRule type="duplicateValues" dxfId="28066" priority="9616"/>
    <cfRule type="duplicateValues" dxfId="28065" priority="9617"/>
  </conditionalFormatting>
  <conditionalFormatting sqref="C183">
    <cfRule type="duplicateValues" dxfId="28064" priority="29010"/>
    <cfRule type="duplicateValues" dxfId="28063" priority="29011"/>
    <cfRule type="duplicateValues" dxfId="28062" priority="29012"/>
    <cfRule type="duplicateValues" dxfId="28061" priority="29013"/>
    <cfRule type="duplicateValues" dxfId="28060" priority="29014"/>
    <cfRule type="duplicateValues" dxfId="28059" priority="29015"/>
    <cfRule type="duplicateValues" dxfId="28058" priority="29016"/>
    <cfRule type="duplicateValues" dxfId="28057" priority="29017"/>
    <cfRule type="duplicateValues" dxfId="28056" priority="29018"/>
    <cfRule type="duplicateValues" dxfId="28055" priority="29019"/>
    <cfRule type="duplicateValues" dxfId="28054" priority="29020"/>
    <cfRule type="duplicateValues" dxfId="28053" priority="29021"/>
    <cfRule type="duplicateValues" dxfId="28052" priority="29022"/>
    <cfRule type="duplicateValues" dxfId="28051" priority="29023"/>
    <cfRule type="duplicateValues" dxfId="28050" priority="29024"/>
    <cfRule type="duplicateValues" dxfId="28049" priority="29025"/>
    <cfRule type="duplicateValues" dxfId="28048" priority="29026"/>
    <cfRule type="duplicateValues" dxfId="28047" priority="29027"/>
    <cfRule type="duplicateValues" dxfId="28046" priority="29028"/>
    <cfRule type="duplicateValues" dxfId="28045" priority="29029"/>
    <cfRule type="duplicateValues" dxfId="28044" priority="29030"/>
    <cfRule type="duplicateValues" dxfId="28043" priority="29031"/>
    <cfRule type="duplicateValues" dxfId="28042" priority="29032"/>
    <cfRule type="duplicateValues" dxfId="28041" priority="29033"/>
    <cfRule type="duplicateValues" dxfId="28040" priority="29034"/>
    <cfRule type="duplicateValues" dxfId="28039" priority="29035"/>
    <cfRule type="duplicateValues" dxfId="28038" priority="29036"/>
    <cfRule type="duplicateValues" dxfId="28037" priority="29037"/>
    <cfRule type="duplicateValues" dxfId="28036" priority="29038"/>
    <cfRule type="duplicateValues" dxfId="28035" priority="29039"/>
    <cfRule type="duplicateValues" dxfId="28034" priority="29040"/>
    <cfRule type="duplicateValues" dxfId="28033" priority="29041"/>
    <cfRule type="duplicateValues" dxfId="28032" priority="29042"/>
    <cfRule type="duplicateValues" dxfId="28031" priority="29043"/>
    <cfRule type="duplicateValues" dxfId="28030" priority="29044"/>
    <cfRule type="duplicateValues" dxfId="28029" priority="29045"/>
    <cfRule type="duplicateValues" dxfId="28028" priority="29046"/>
    <cfRule type="duplicateValues" dxfId="28027" priority="29047"/>
    <cfRule type="duplicateValues" dxfId="28026" priority="29048"/>
    <cfRule type="duplicateValues" dxfId="28025" priority="29049"/>
    <cfRule type="duplicateValues" dxfId="28024" priority="29050"/>
    <cfRule type="duplicateValues" dxfId="28023" priority="29051"/>
    <cfRule type="duplicateValues" dxfId="28022" priority="29052"/>
    <cfRule type="duplicateValues" dxfId="28021" priority="29053"/>
    <cfRule type="duplicateValues" dxfId="28020" priority="29054"/>
    <cfRule type="duplicateValues" dxfId="28019" priority="29055"/>
    <cfRule type="duplicateValues" dxfId="28018" priority="29056"/>
    <cfRule type="duplicateValues" dxfId="28017" priority="29057"/>
    <cfRule type="duplicateValues" dxfId="28016" priority="29058"/>
    <cfRule type="duplicateValues" dxfId="28015" priority="29059"/>
    <cfRule type="duplicateValues" dxfId="28014" priority="29060"/>
    <cfRule type="duplicateValues" dxfId="28013" priority="29061"/>
    <cfRule type="duplicateValues" dxfId="28012" priority="29062"/>
    <cfRule type="duplicateValues" dxfId="28011" priority="29063"/>
    <cfRule type="duplicateValues" dxfId="28010" priority="29064"/>
    <cfRule type="duplicateValues" dxfId="28009" priority="29065"/>
    <cfRule type="duplicateValues" dxfId="28008" priority="29066"/>
    <cfRule type="duplicateValues" dxfId="28007" priority="29067"/>
    <cfRule type="duplicateValues" dxfId="28006" priority="29068"/>
    <cfRule type="duplicateValues" dxfId="28005" priority="29069"/>
    <cfRule type="duplicateValues" dxfId="28004" priority="29070"/>
    <cfRule type="duplicateValues" dxfId="28003" priority="29071"/>
    <cfRule type="duplicateValues" dxfId="28002" priority="29072"/>
    <cfRule type="duplicateValues" dxfId="28001" priority="29073"/>
    <cfRule type="duplicateValues" dxfId="28000" priority="29074"/>
    <cfRule type="duplicateValues" dxfId="27999" priority="29075"/>
    <cfRule type="duplicateValues" dxfId="27998" priority="29076"/>
    <cfRule type="duplicateValues" dxfId="27997" priority="29077"/>
    <cfRule type="duplicateValues" dxfId="27996" priority="29078"/>
    <cfRule type="duplicateValues" dxfId="27995" priority="29079"/>
    <cfRule type="duplicateValues" dxfId="27994" priority="29080"/>
    <cfRule type="duplicateValues" dxfId="27993" priority="29081"/>
    <cfRule type="duplicateValues" dxfId="27992" priority="29082"/>
    <cfRule type="duplicateValues" dxfId="27991" priority="29083"/>
    <cfRule type="duplicateValues" dxfId="27990" priority="29084"/>
    <cfRule type="duplicateValues" dxfId="27989" priority="29085"/>
    <cfRule type="duplicateValues" dxfId="27988" priority="29086"/>
    <cfRule type="duplicateValues" dxfId="27987" priority="29087"/>
    <cfRule type="duplicateValues" dxfId="27986" priority="29088"/>
    <cfRule type="duplicateValues" dxfId="27985" priority="29089"/>
    <cfRule type="duplicateValues" dxfId="27984" priority="29090"/>
    <cfRule type="duplicateValues" dxfId="27983" priority="29091"/>
    <cfRule type="duplicateValues" dxfId="27982" priority="29092"/>
    <cfRule type="duplicateValues" dxfId="27981" priority="29093"/>
    <cfRule type="duplicateValues" dxfId="27980" priority="29094"/>
    <cfRule type="duplicateValues" dxfId="27979" priority="29095"/>
    <cfRule type="duplicateValues" dxfId="27978" priority="29096"/>
    <cfRule type="duplicateValues" dxfId="27977" priority="29097"/>
    <cfRule type="duplicateValues" dxfId="27976" priority="29098"/>
    <cfRule type="duplicateValues" dxfId="27975" priority="29099"/>
    <cfRule type="duplicateValues" dxfId="27974" priority="29100"/>
    <cfRule type="duplicateValues" dxfId="27973" priority="29101"/>
    <cfRule type="duplicateValues" dxfId="27972" priority="29102"/>
    <cfRule type="duplicateValues" dxfId="27971" priority="29103"/>
    <cfRule type="duplicateValues" dxfId="27970" priority="29104"/>
    <cfRule type="duplicateValues" dxfId="27969" priority="29105"/>
    <cfRule type="duplicateValues" dxfId="27968" priority="29106"/>
    <cfRule type="duplicateValues" dxfId="27967" priority="29107"/>
    <cfRule type="duplicateValues" dxfId="27966" priority="29108"/>
    <cfRule type="duplicateValues" dxfId="27965" priority="29109"/>
    <cfRule type="duplicateValues" dxfId="27964" priority="29110"/>
    <cfRule type="duplicateValues" dxfId="27963" priority="29111"/>
    <cfRule type="duplicateValues" dxfId="27962" priority="29112"/>
    <cfRule type="duplicateValues" dxfId="27961" priority="29113"/>
    <cfRule type="duplicateValues" dxfId="27960" priority="29114"/>
    <cfRule type="duplicateValues" dxfId="27959" priority="29115"/>
    <cfRule type="duplicateValues" dxfId="27958" priority="29116"/>
  </conditionalFormatting>
  <conditionalFormatting sqref="C184">
    <cfRule type="duplicateValues" dxfId="27957" priority="28903"/>
    <cfRule type="duplicateValues" dxfId="27956" priority="28904"/>
    <cfRule type="duplicateValues" dxfId="27955" priority="28905"/>
    <cfRule type="duplicateValues" dxfId="27954" priority="28906"/>
    <cfRule type="duplicateValues" dxfId="27953" priority="28907"/>
    <cfRule type="duplicateValues" dxfId="27952" priority="28908"/>
    <cfRule type="duplicateValues" dxfId="27951" priority="28909"/>
    <cfRule type="duplicateValues" dxfId="27950" priority="28910"/>
    <cfRule type="duplicateValues" dxfId="27949" priority="28911"/>
    <cfRule type="duplicateValues" dxfId="27948" priority="28912"/>
    <cfRule type="duplicateValues" dxfId="27947" priority="28913"/>
    <cfRule type="duplicateValues" dxfId="27946" priority="28914"/>
    <cfRule type="duplicateValues" dxfId="27945" priority="28915"/>
    <cfRule type="duplicateValues" dxfId="27944" priority="28916"/>
    <cfRule type="duplicateValues" dxfId="27943" priority="28917"/>
    <cfRule type="duplicateValues" dxfId="27942" priority="28918"/>
    <cfRule type="duplicateValues" dxfId="27941" priority="28919"/>
    <cfRule type="duplicateValues" dxfId="27940" priority="28920"/>
    <cfRule type="duplicateValues" dxfId="27939" priority="28921"/>
    <cfRule type="duplicateValues" dxfId="27938" priority="28922"/>
    <cfRule type="duplicateValues" dxfId="27937" priority="28923"/>
    <cfRule type="duplicateValues" dxfId="27936" priority="28924"/>
    <cfRule type="duplicateValues" dxfId="27935" priority="28925"/>
    <cfRule type="duplicateValues" dxfId="27934" priority="28926"/>
    <cfRule type="duplicateValues" dxfId="27933" priority="28927"/>
    <cfRule type="duplicateValues" dxfId="27932" priority="28928"/>
    <cfRule type="duplicateValues" dxfId="27931" priority="28929"/>
    <cfRule type="duplicateValues" dxfId="27930" priority="28930"/>
    <cfRule type="duplicateValues" dxfId="27929" priority="28931"/>
    <cfRule type="duplicateValues" dxfId="27928" priority="28932"/>
    <cfRule type="duplicateValues" dxfId="27927" priority="28933"/>
    <cfRule type="duplicateValues" dxfId="27926" priority="28934"/>
    <cfRule type="duplicateValues" dxfId="27925" priority="28935"/>
    <cfRule type="duplicateValues" dxfId="27924" priority="28936"/>
    <cfRule type="duplicateValues" dxfId="27923" priority="28937"/>
    <cfRule type="duplicateValues" dxfId="27922" priority="28938"/>
    <cfRule type="duplicateValues" dxfId="27921" priority="28939"/>
    <cfRule type="duplicateValues" dxfId="27920" priority="28940"/>
    <cfRule type="duplicateValues" dxfId="27919" priority="28941"/>
    <cfRule type="duplicateValues" dxfId="27918" priority="28942"/>
    <cfRule type="duplicateValues" dxfId="27917" priority="28943"/>
    <cfRule type="duplicateValues" dxfId="27916" priority="28944"/>
    <cfRule type="duplicateValues" dxfId="27915" priority="28945"/>
    <cfRule type="duplicateValues" dxfId="27914" priority="28946"/>
    <cfRule type="duplicateValues" dxfId="27913" priority="28947"/>
    <cfRule type="duplicateValues" dxfId="27912" priority="28948"/>
    <cfRule type="duplicateValues" dxfId="27911" priority="28949"/>
    <cfRule type="duplicateValues" dxfId="27910" priority="28950"/>
    <cfRule type="duplicateValues" dxfId="27909" priority="28951"/>
    <cfRule type="duplicateValues" dxfId="27908" priority="28952"/>
    <cfRule type="duplicateValues" dxfId="27907" priority="28953"/>
    <cfRule type="duplicateValues" dxfId="27906" priority="28954"/>
    <cfRule type="duplicateValues" dxfId="27905" priority="28955"/>
    <cfRule type="duplicateValues" dxfId="27904" priority="28956"/>
    <cfRule type="duplicateValues" dxfId="27903" priority="28957"/>
    <cfRule type="duplicateValues" dxfId="27902" priority="28958"/>
    <cfRule type="duplicateValues" dxfId="27901" priority="28959"/>
    <cfRule type="duplicateValues" dxfId="27900" priority="28960"/>
    <cfRule type="duplicateValues" dxfId="27899" priority="28961"/>
    <cfRule type="duplicateValues" dxfId="27898" priority="28962"/>
    <cfRule type="duplicateValues" dxfId="27897" priority="28963"/>
    <cfRule type="duplicateValues" dxfId="27896" priority="28964"/>
    <cfRule type="duplicateValues" dxfId="27895" priority="28965"/>
    <cfRule type="duplicateValues" dxfId="27894" priority="28966"/>
    <cfRule type="duplicateValues" dxfId="27893" priority="28967"/>
    <cfRule type="duplicateValues" dxfId="27892" priority="28968"/>
    <cfRule type="duplicateValues" dxfId="27891" priority="28969"/>
    <cfRule type="duplicateValues" dxfId="27890" priority="28970"/>
    <cfRule type="duplicateValues" dxfId="27889" priority="28971"/>
    <cfRule type="duplicateValues" dxfId="27888" priority="28972"/>
    <cfRule type="duplicateValues" dxfId="27887" priority="28973"/>
    <cfRule type="duplicateValues" dxfId="27886" priority="28974"/>
    <cfRule type="duplicateValues" dxfId="27885" priority="28975"/>
    <cfRule type="duplicateValues" dxfId="27884" priority="28976"/>
    <cfRule type="duplicateValues" dxfId="27883" priority="28977"/>
    <cfRule type="duplicateValues" dxfId="27882" priority="28978"/>
    <cfRule type="duplicateValues" dxfId="27881" priority="28979"/>
    <cfRule type="duplicateValues" dxfId="27880" priority="28980"/>
    <cfRule type="duplicateValues" dxfId="27879" priority="28981"/>
    <cfRule type="duplicateValues" dxfId="27878" priority="28982"/>
    <cfRule type="duplicateValues" dxfId="27877" priority="28983"/>
    <cfRule type="duplicateValues" dxfId="27876" priority="28984"/>
    <cfRule type="duplicateValues" dxfId="27875" priority="28985"/>
    <cfRule type="duplicateValues" dxfId="27874" priority="28986"/>
    <cfRule type="duplicateValues" dxfId="27873" priority="28987"/>
    <cfRule type="duplicateValues" dxfId="27872" priority="28988"/>
    <cfRule type="duplicateValues" dxfId="27871" priority="28989"/>
    <cfRule type="duplicateValues" dxfId="27870" priority="28990"/>
    <cfRule type="duplicateValues" dxfId="27869" priority="28991"/>
    <cfRule type="duplicateValues" dxfId="27868" priority="28992"/>
    <cfRule type="duplicateValues" dxfId="27867" priority="28993"/>
    <cfRule type="duplicateValues" dxfId="27866" priority="28994"/>
    <cfRule type="duplicateValues" dxfId="27865" priority="28995"/>
    <cfRule type="duplicateValues" dxfId="27864" priority="28996"/>
    <cfRule type="duplicateValues" dxfId="27863" priority="28997"/>
    <cfRule type="duplicateValues" dxfId="27862" priority="28998"/>
    <cfRule type="duplicateValues" dxfId="27861" priority="28999"/>
    <cfRule type="duplicateValues" dxfId="27860" priority="29000"/>
    <cfRule type="duplicateValues" dxfId="27859" priority="29001"/>
    <cfRule type="duplicateValues" dxfId="27858" priority="29002"/>
    <cfRule type="duplicateValues" dxfId="27857" priority="29003"/>
    <cfRule type="duplicateValues" dxfId="27856" priority="29004"/>
    <cfRule type="duplicateValues" dxfId="27855" priority="29005"/>
    <cfRule type="duplicateValues" dxfId="27854" priority="29006"/>
    <cfRule type="duplicateValues" dxfId="27853" priority="29007"/>
    <cfRule type="duplicateValues" dxfId="27852" priority="29008"/>
    <cfRule type="duplicateValues" dxfId="27851" priority="29009"/>
  </conditionalFormatting>
  <conditionalFormatting sqref="C185">
    <cfRule type="duplicateValues" dxfId="27850" priority="28849"/>
    <cfRule type="duplicateValues" dxfId="27849" priority="28850"/>
    <cfRule type="duplicateValues" dxfId="27848" priority="28851"/>
    <cfRule type="duplicateValues" dxfId="27847" priority="28852"/>
    <cfRule type="duplicateValues" dxfId="27846" priority="28853"/>
    <cfRule type="duplicateValues" dxfId="27845" priority="28854"/>
    <cfRule type="duplicateValues" dxfId="27844" priority="28855"/>
    <cfRule type="duplicateValues" dxfId="27843" priority="28856"/>
    <cfRule type="duplicateValues" dxfId="27842" priority="28857"/>
    <cfRule type="duplicateValues" dxfId="27841" priority="28858"/>
    <cfRule type="duplicateValues" dxfId="27840" priority="28859"/>
    <cfRule type="duplicateValues" dxfId="27839" priority="28860"/>
    <cfRule type="duplicateValues" dxfId="27838" priority="28861"/>
    <cfRule type="duplicateValues" dxfId="27837" priority="28862"/>
    <cfRule type="duplicateValues" dxfId="27836" priority="28863"/>
    <cfRule type="duplicateValues" dxfId="27835" priority="28864"/>
    <cfRule type="duplicateValues" dxfId="27834" priority="28865"/>
    <cfRule type="duplicateValues" dxfId="27833" priority="28866"/>
    <cfRule type="duplicateValues" dxfId="27832" priority="28867"/>
    <cfRule type="duplicateValues" dxfId="27831" priority="28868"/>
    <cfRule type="duplicateValues" dxfId="27830" priority="28869"/>
    <cfRule type="duplicateValues" dxfId="27829" priority="28870"/>
    <cfRule type="duplicateValues" dxfId="27828" priority="28871"/>
    <cfRule type="duplicateValues" dxfId="27827" priority="28872"/>
    <cfRule type="duplicateValues" dxfId="27826" priority="28873"/>
    <cfRule type="duplicateValues" dxfId="27825" priority="28874"/>
    <cfRule type="duplicateValues" dxfId="27824" priority="28875"/>
    <cfRule type="duplicateValues" dxfId="27823" priority="28876"/>
    <cfRule type="duplicateValues" dxfId="27822" priority="28877"/>
    <cfRule type="duplicateValues" dxfId="27821" priority="28878"/>
    <cfRule type="duplicateValues" dxfId="27820" priority="28879"/>
    <cfRule type="duplicateValues" dxfId="27819" priority="28880"/>
    <cfRule type="duplicateValues" dxfId="27818" priority="28881"/>
    <cfRule type="duplicateValues" dxfId="27817" priority="28882"/>
    <cfRule type="duplicateValues" dxfId="27816" priority="28883"/>
    <cfRule type="duplicateValues" dxfId="27815" priority="28884"/>
    <cfRule type="duplicateValues" dxfId="27814" priority="28885"/>
    <cfRule type="duplicateValues" dxfId="27813" priority="28886"/>
    <cfRule type="duplicateValues" dxfId="27812" priority="28887"/>
    <cfRule type="duplicateValues" dxfId="27811" priority="28888"/>
    <cfRule type="duplicateValues" dxfId="27810" priority="28889"/>
    <cfRule type="duplicateValues" dxfId="27809" priority="28890"/>
    <cfRule type="duplicateValues" dxfId="27808" priority="28891"/>
    <cfRule type="duplicateValues" dxfId="27807" priority="28892"/>
    <cfRule type="duplicateValues" dxfId="27806" priority="28893"/>
    <cfRule type="duplicateValues" dxfId="27805" priority="28894"/>
    <cfRule type="duplicateValues" dxfId="27804" priority="28895"/>
    <cfRule type="duplicateValues" dxfId="27803" priority="28896"/>
    <cfRule type="duplicateValues" dxfId="27802" priority="28897"/>
    <cfRule type="duplicateValues" dxfId="27801" priority="28898"/>
    <cfRule type="duplicateValues" dxfId="27800" priority="28899"/>
    <cfRule type="duplicateValues" dxfId="27799" priority="28900"/>
    <cfRule type="duplicateValues" dxfId="27798" priority="28901"/>
    <cfRule type="duplicateValues" dxfId="27797" priority="28902"/>
  </conditionalFormatting>
  <conditionalFormatting sqref="C185:C186">
    <cfRule type="duplicateValues" dxfId="27796" priority="9458"/>
    <cfRule type="duplicateValues" dxfId="27795" priority="9459"/>
    <cfRule type="duplicateValues" dxfId="27794" priority="9460"/>
    <cfRule type="duplicateValues" dxfId="27793" priority="9461"/>
    <cfRule type="duplicateValues" dxfId="27792" priority="9462"/>
    <cfRule type="duplicateValues" dxfId="27791" priority="9463"/>
    <cfRule type="duplicateValues" dxfId="27790" priority="9464"/>
    <cfRule type="duplicateValues" dxfId="27789" priority="9465"/>
    <cfRule type="duplicateValues" dxfId="27788" priority="9466"/>
    <cfRule type="duplicateValues" dxfId="27787" priority="9467"/>
    <cfRule type="duplicateValues" dxfId="27786" priority="9468"/>
    <cfRule type="duplicateValues" dxfId="27785" priority="9469"/>
    <cfRule type="duplicateValues" dxfId="27784" priority="9470"/>
    <cfRule type="duplicateValues" dxfId="27783" priority="9471"/>
    <cfRule type="duplicateValues" dxfId="27782" priority="9472"/>
    <cfRule type="duplicateValues" dxfId="27781" priority="9473"/>
    <cfRule type="duplicateValues" dxfId="27780" priority="9474"/>
    <cfRule type="duplicateValues" dxfId="27779" priority="9475"/>
    <cfRule type="duplicateValues" dxfId="27778" priority="9476"/>
    <cfRule type="duplicateValues" dxfId="27777" priority="9477"/>
    <cfRule type="duplicateValues" dxfId="27776" priority="9478"/>
    <cfRule type="duplicateValues" dxfId="27775" priority="9479"/>
    <cfRule type="duplicateValues" dxfId="27774" priority="9480"/>
    <cfRule type="duplicateValues" dxfId="27773" priority="9481"/>
    <cfRule type="duplicateValues" dxfId="27772" priority="9482"/>
    <cfRule type="duplicateValues" dxfId="27771" priority="9483"/>
    <cfRule type="duplicateValues" dxfId="27770" priority="9484"/>
    <cfRule type="duplicateValues" dxfId="27769" priority="9485"/>
    <cfRule type="duplicateValues" dxfId="27768" priority="9486"/>
    <cfRule type="duplicateValues" dxfId="27767" priority="9487"/>
    <cfRule type="duplicateValues" dxfId="27766" priority="9488"/>
    <cfRule type="duplicateValues" dxfId="27765" priority="9489"/>
    <cfRule type="duplicateValues" dxfId="27764" priority="9490"/>
    <cfRule type="duplicateValues" dxfId="27763" priority="9491"/>
    <cfRule type="duplicateValues" dxfId="27762" priority="9492"/>
    <cfRule type="duplicateValues" dxfId="27761" priority="9493"/>
    <cfRule type="duplicateValues" dxfId="27760" priority="9494"/>
    <cfRule type="duplicateValues" dxfId="27759" priority="9495"/>
    <cfRule type="duplicateValues" dxfId="27758" priority="9496"/>
    <cfRule type="duplicateValues" dxfId="27757" priority="9497"/>
    <cfRule type="duplicateValues" dxfId="27756" priority="9498"/>
    <cfRule type="duplicateValues" dxfId="27755" priority="9499"/>
    <cfRule type="duplicateValues" dxfId="27754" priority="9500"/>
    <cfRule type="duplicateValues" dxfId="27753" priority="9501"/>
    <cfRule type="duplicateValues" dxfId="27752" priority="9502"/>
    <cfRule type="duplicateValues" dxfId="27751" priority="9503"/>
    <cfRule type="duplicateValues" dxfId="27750" priority="9504"/>
    <cfRule type="duplicateValues" dxfId="27749" priority="9505"/>
    <cfRule type="duplicateValues" dxfId="27748" priority="9506"/>
    <cfRule type="duplicateValues" dxfId="27747" priority="9507"/>
    <cfRule type="duplicateValues" dxfId="27746" priority="9508"/>
    <cfRule type="duplicateValues" dxfId="27745" priority="9509"/>
    <cfRule type="duplicateValues" dxfId="27744" priority="9510"/>
  </conditionalFormatting>
  <conditionalFormatting sqref="C186">
    <cfRule type="duplicateValues" dxfId="27743" priority="28795"/>
    <cfRule type="duplicateValues" dxfId="27742" priority="28796"/>
    <cfRule type="duplicateValues" dxfId="27741" priority="28797"/>
    <cfRule type="duplicateValues" dxfId="27740" priority="28798"/>
    <cfRule type="duplicateValues" dxfId="27739" priority="28799"/>
    <cfRule type="duplicateValues" dxfId="27738" priority="28800"/>
    <cfRule type="duplicateValues" dxfId="27737" priority="28801"/>
    <cfRule type="duplicateValues" dxfId="27736" priority="28802"/>
    <cfRule type="duplicateValues" dxfId="27735" priority="28803"/>
    <cfRule type="duplicateValues" dxfId="27734" priority="28804"/>
    <cfRule type="duplicateValues" dxfId="27733" priority="28805"/>
    <cfRule type="duplicateValues" dxfId="27732" priority="28806"/>
    <cfRule type="duplicateValues" dxfId="27731" priority="28807"/>
    <cfRule type="duplicateValues" dxfId="27730" priority="28808"/>
    <cfRule type="duplicateValues" dxfId="27729" priority="28809"/>
    <cfRule type="duplicateValues" dxfId="27728" priority="28810"/>
    <cfRule type="duplicateValues" dxfId="27727" priority="28811"/>
    <cfRule type="duplicateValues" dxfId="27726" priority="28812"/>
    <cfRule type="duplicateValues" dxfId="27725" priority="28813"/>
    <cfRule type="duplicateValues" dxfId="27724" priority="28814"/>
    <cfRule type="duplicateValues" dxfId="27723" priority="28815"/>
    <cfRule type="duplicateValues" dxfId="27722" priority="28816"/>
    <cfRule type="duplicateValues" dxfId="27721" priority="28817"/>
    <cfRule type="duplicateValues" dxfId="27720" priority="28818"/>
    <cfRule type="duplicateValues" dxfId="27719" priority="28819"/>
    <cfRule type="duplicateValues" dxfId="27718" priority="28820"/>
    <cfRule type="duplicateValues" dxfId="27717" priority="28821"/>
    <cfRule type="duplicateValues" dxfId="27716" priority="28822"/>
    <cfRule type="duplicateValues" dxfId="27715" priority="28823"/>
    <cfRule type="duplicateValues" dxfId="27714" priority="28824"/>
    <cfRule type="duplicateValues" dxfId="27713" priority="28825"/>
    <cfRule type="duplicateValues" dxfId="27712" priority="28826"/>
    <cfRule type="duplicateValues" dxfId="27711" priority="28827"/>
    <cfRule type="duplicateValues" dxfId="27710" priority="28828"/>
    <cfRule type="duplicateValues" dxfId="27709" priority="28829"/>
    <cfRule type="duplicateValues" dxfId="27708" priority="28830"/>
    <cfRule type="duplicateValues" dxfId="27707" priority="28831"/>
    <cfRule type="duplicateValues" dxfId="27706" priority="28832"/>
    <cfRule type="duplicateValues" dxfId="27705" priority="28833"/>
    <cfRule type="duplicateValues" dxfId="27704" priority="28834"/>
    <cfRule type="duplicateValues" dxfId="27703" priority="28835"/>
    <cfRule type="duplicateValues" dxfId="27702" priority="28836"/>
    <cfRule type="duplicateValues" dxfId="27701" priority="28837"/>
    <cfRule type="duplicateValues" dxfId="27700" priority="28838"/>
    <cfRule type="duplicateValues" dxfId="27699" priority="28839"/>
    <cfRule type="duplicateValues" dxfId="27698" priority="28840"/>
    <cfRule type="duplicateValues" dxfId="27697" priority="28841"/>
    <cfRule type="duplicateValues" dxfId="27696" priority="28842"/>
    <cfRule type="duplicateValues" dxfId="27695" priority="28843"/>
    <cfRule type="duplicateValues" dxfId="27694" priority="28844"/>
    <cfRule type="duplicateValues" dxfId="27693" priority="28845"/>
    <cfRule type="duplicateValues" dxfId="27692" priority="28846"/>
    <cfRule type="duplicateValues" dxfId="27691" priority="28847"/>
    <cfRule type="duplicateValues" dxfId="27690" priority="28848"/>
  </conditionalFormatting>
  <conditionalFormatting sqref="C187">
    <cfRule type="duplicateValues" dxfId="27689" priority="28688"/>
    <cfRule type="duplicateValues" dxfId="27688" priority="28689"/>
    <cfRule type="duplicateValues" dxfId="27687" priority="28690"/>
    <cfRule type="duplicateValues" dxfId="27686" priority="28691"/>
    <cfRule type="duplicateValues" dxfId="27685" priority="28692"/>
    <cfRule type="duplicateValues" dxfId="27684" priority="28693"/>
    <cfRule type="duplicateValues" dxfId="27683" priority="28694"/>
    <cfRule type="duplicateValues" dxfId="27682" priority="28695"/>
    <cfRule type="duplicateValues" dxfId="27681" priority="28696"/>
    <cfRule type="duplicateValues" dxfId="27680" priority="28697"/>
    <cfRule type="duplicateValues" dxfId="27679" priority="28698"/>
    <cfRule type="duplicateValues" dxfId="27678" priority="28699"/>
    <cfRule type="duplicateValues" dxfId="27677" priority="28700"/>
    <cfRule type="duplicateValues" dxfId="27676" priority="28701"/>
    <cfRule type="duplicateValues" dxfId="27675" priority="28702"/>
    <cfRule type="duplicateValues" dxfId="27674" priority="28703"/>
    <cfRule type="duplicateValues" dxfId="27673" priority="28704"/>
    <cfRule type="duplicateValues" dxfId="27672" priority="28705"/>
    <cfRule type="duplicateValues" dxfId="27671" priority="28706"/>
    <cfRule type="duplicateValues" dxfId="27670" priority="28707"/>
    <cfRule type="duplicateValues" dxfId="27669" priority="28708"/>
    <cfRule type="duplicateValues" dxfId="27668" priority="28709"/>
    <cfRule type="duplicateValues" dxfId="27667" priority="28710"/>
    <cfRule type="duplicateValues" dxfId="27666" priority="28711"/>
    <cfRule type="duplicateValues" dxfId="27665" priority="28712"/>
    <cfRule type="duplicateValues" dxfId="27664" priority="28713"/>
    <cfRule type="duplicateValues" dxfId="27663" priority="28714"/>
    <cfRule type="duplicateValues" dxfId="27662" priority="28715"/>
    <cfRule type="duplicateValues" dxfId="27661" priority="28716"/>
    <cfRule type="duplicateValues" dxfId="27660" priority="28717"/>
    <cfRule type="duplicateValues" dxfId="27659" priority="28718"/>
    <cfRule type="duplicateValues" dxfId="27658" priority="28719"/>
    <cfRule type="duplicateValues" dxfId="27657" priority="28720"/>
    <cfRule type="duplicateValues" dxfId="27656" priority="28721"/>
    <cfRule type="duplicateValues" dxfId="27655" priority="28722"/>
    <cfRule type="duplicateValues" dxfId="27654" priority="28723"/>
    <cfRule type="duplicateValues" dxfId="27653" priority="28724"/>
    <cfRule type="duplicateValues" dxfId="27652" priority="28725"/>
    <cfRule type="duplicateValues" dxfId="27651" priority="28726"/>
    <cfRule type="duplicateValues" dxfId="27650" priority="28727"/>
    <cfRule type="duplicateValues" dxfId="27649" priority="28728"/>
    <cfRule type="duplicateValues" dxfId="27648" priority="28729"/>
    <cfRule type="duplicateValues" dxfId="27647" priority="28730"/>
    <cfRule type="duplicateValues" dxfId="27646" priority="28731"/>
    <cfRule type="duplicateValues" dxfId="27645" priority="28732"/>
    <cfRule type="duplicateValues" dxfId="27644" priority="28733"/>
    <cfRule type="duplicateValues" dxfId="27643" priority="28734"/>
    <cfRule type="duplicateValues" dxfId="27642" priority="28735"/>
    <cfRule type="duplicateValues" dxfId="27641" priority="28736"/>
    <cfRule type="duplicateValues" dxfId="27640" priority="28737"/>
    <cfRule type="duplicateValues" dxfId="27639" priority="28738"/>
    <cfRule type="duplicateValues" dxfId="27638" priority="28739"/>
    <cfRule type="duplicateValues" dxfId="27637" priority="28740"/>
    <cfRule type="duplicateValues" dxfId="27636" priority="28741"/>
    <cfRule type="duplicateValues" dxfId="27635" priority="28742"/>
    <cfRule type="duplicateValues" dxfId="27634" priority="28743"/>
    <cfRule type="duplicateValues" dxfId="27633" priority="28744"/>
    <cfRule type="duplicateValues" dxfId="27632" priority="28745"/>
    <cfRule type="duplicateValues" dxfId="27631" priority="28746"/>
    <cfRule type="duplicateValues" dxfId="27630" priority="28747"/>
    <cfRule type="duplicateValues" dxfId="27629" priority="28748"/>
    <cfRule type="duplicateValues" dxfId="27628" priority="28749"/>
    <cfRule type="duplicateValues" dxfId="27627" priority="28750"/>
    <cfRule type="duplicateValues" dxfId="27626" priority="28751"/>
    <cfRule type="duplicateValues" dxfId="27625" priority="28752"/>
    <cfRule type="duplicateValues" dxfId="27624" priority="28753"/>
    <cfRule type="duplicateValues" dxfId="27623" priority="28754"/>
    <cfRule type="duplicateValues" dxfId="27622" priority="28755"/>
    <cfRule type="duplicateValues" dxfId="27621" priority="28756"/>
    <cfRule type="duplicateValues" dxfId="27620" priority="28757"/>
    <cfRule type="duplicateValues" dxfId="27619" priority="28758"/>
    <cfRule type="duplicateValues" dxfId="27618" priority="28759"/>
    <cfRule type="duplicateValues" dxfId="27617" priority="28760"/>
    <cfRule type="duplicateValues" dxfId="27616" priority="28761"/>
    <cfRule type="duplicateValues" dxfId="27615" priority="28762"/>
    <cfRule type="duplicateValues" dxfId="27614" priority="28763"/>
    <cfRule type="duplicateValues" dxfId="27613" priority="28764"/>
    <cfRule type="duplicateValues" dxfId="27612" priority="28765"/>
    <cfRule type="duplicateValues" dxfId="27611" priority="28766"/>
    <cfRule type="duplicateValues" dxfId="27610" priority="28767"/>
    <cfRule type="duplicateValues" dxfId="27609" priority="28768"/>
    <cfRule type="duplicateValues" dxfId="27608" priority="28769"/>
    <cfRule type="duplicateValues" dxfId="27607" priority="28770"/>
    <cfRule type="duplicateValues" dxfId="27606" priority="28771"/>
    <cfRule type="duplicateValues" dxfId="27605" priority="28772"/>
    <cfRule type="duplicateValues" dxfId="27604" priority="28773"/>
    <cfRule type="duplicateValues" dxfId="27603" priority="28774"/>
    <cfRule type="duplicateValues" dxfId="27602" priority="28775"/>
    <cfRule type="duplicateValues" dxfId="27601" priority="28776"/>
    <cfRule type="duplicateValues" dxfId="27600" priority="28777"/>
    <cfRule type="duplicateValues" dxfId="27599" priority="28778"/>
    <cfRule type="duplicateValues" dxfId="27598" priority="28779"/>
    <cfRule type="duplicateValues" dxfId="27597" priority="28780"/>
    <cfRule type="duplicateValues" dxfId="27596" priority="28781"/>
    <cfRule type="duplicateValues" dxfId="27595" priority="28782"/>
    <cfRule type="duplicateValues" dxfId="27594" priority="28783"/>
    <cfRule type="duplicateValues" dxfId="27593" priority="28784"/>
    <cfRule type="duplicateValues" dxfId="27592" priority="28785"/>
    <cfRule type="duplicateValues" dxfId="27591" priority="28786"/>
    <cfRule type="duplicateValues" dxfId="27590" priority="28787"/>
    <cfRule type="duplicateValues" dxfId="27589" priority="28788"/>
    <cfRule type="duplicateValues" dxfId="27588" priority="28789"/>
    <cfRule type="duplicateValues" dxfId="27587" priority="28790"/>
    <cfRule type="duplicateValues" dxfId="27586" priority="28791"/>
    <cfRule type="duplicateValues" dxfId="27585" priority="28792"/>
    <cfRule type="duplicateValues" dxfId="27584" priority="28793"/>
    <cfRule type="duplicateValues" dxfId="27583" priority="28794"/>
  </conditionalFormatting>
  <conditionalFormatting sqref="C188:C189">
    <cfRule type="duplicateValues" dxfId="27582" priority="9351"/>
    <cfRule type="duplicateValues" dxfId="27581" priority="9352"/>
    <cfRule type="duplicateValues" dxfId="27580" priority="9353"/>
    <cfRule type="duplicateValues" dxfId="27579" priority="9354"/>
    <cfRule type="duplicateValues" dxfId="27578" priority="9355"/>
    <cfRule type="duplicateValues" dxfId="27577" priority="9356"/>
    <cfRule type="duplicateValues" dxfId="27576" priority="9357"/>
    <cfRule type="duplicateValues" dxfId="27575" priority="9358"/>
    <cfRule type="duplicateValues" dxfId="27574" priority="9359"/>
    <cfRule type="duplicateValues" dxfId="27573" priority="9360"/>
    <cfRule type="duplicateValues" dxfId="27572" priority="9361"/>
    <cfRule type="duplicateValues" dxfId="27571" priority="9362"/>
    <cfRule type="duplicateValues" dxfId="27570" priority="9363"/>
    <cfRule type="duplicateValues" dxfId="27569" priority="9364"/>
    <cfRule type="duplicateValues" dxfId="27568" priority="9365"/>
    <cfRule type="duplicateValues" dxfId="27567" priority="9366"/>
    <cfRule type="duplicateValues" dxfId="27566" priority="9367"/>
    <cfRule type="duplicateValues" dxfId="27565" priority="9368"/>
    <cfRule type="duplicateValues" dxfId="27564" priority="9369"/>
    <cfRule type="duplicateValues" dxfId="27563" priority="9370"/>
    <cfRule type="duplicateValues" dxfId="27562" priority="9371"/>
    <cfRule type="duplicateValues" dxfId="27561" priority="9372"/>
    <cfRule type="duplicateValues" dxfId="27560" priority="9373"/>
    <cfRule type="duplicateValues" dxfId="27559" priority="9374"/>
    <cfRule type="duplicateValues" dxfId="27558" priority="9375"/>
    <cfRule type="duplicateValues" dxfId="27557" priority="9376"/>
    <cfRule type="duplicateValues" dxfId="27556" priority="9377"/>
    <cfRule type="duplicateValues" dxfId="27555" priority="9378"/>
    <cfRule type="duplicateValues" dxfId="27554" priority="9379"/>
    <cfRule type="duplicateValues" dxfId="27553" priority="9380"/>
    <cfRule type="duplicateValues" dxfId="27552" priority="9381"/>
    <cfRule type="duplicateValues" dxfId="27551" priority="9382"/>
    <cfRule type="duplicateValues" dxfId="27550" priority="9383"/>
    <cfRule type="duplicateValues" dxfId="27549" priority="9384"/>
    <cfRule type="duplicateValues" dxfId="27548" priority="9385"/>
    <cfRule type="duplicateValues" dxfId="27547" priority="9386"/>
    <cfRule type="duplicateValues" dxfId="27546" priority="9387"/>
    <cfRule type="duplicateValues" dxfId="27545" priority="9388"/>
    <cfRule type="duplicateValues" dxfId="27544" priority="9389"/>
    <cfRule type="duplicateValues" dxfId="27543" priority="9390"/>
    <cfRule type="duplicateValues" dxfId="27542" priority="9391"/>
    <cfRule type="duplicateValues" dxfId="27541" priority="9392"/>
    <cfRule type="duplicateValues" dxfId="27540" priority="9393"/>
    <cfRule type="duplicateValues" dxfId="27539" priority="9394"/>
    <cfRule type="duplicateValues" dxfId="27538" priority="9395"/>
    <cfRule type="duplicateValues" dxfId="27537" priority="9396"/>
    <cfRule type="duplicateValues" dxfId="27536" priority="9397"/>
    <cfRule type="duplicateValues" dxfId="27535" priority="9398"/>
    <cfRule type="duplicateValues" dxfId="27534" priority="9399"/>
    <cfRule type="duplicateValues" dxfId="27533" priority="9400"/>
    <cfRule type="duplicateValues" dxfId="27532" priority="9401"/>
    <cfRule type="duplicateValues" dxfId="27531" priority="9402"/>
    <cfRule type="duplicateValues" dxfId="27530" priority="9403"/>
    <cfRule type="duplicateValues" dxfId="27529" priority="9404"/>
    <cfRule type="duplicateValues" dxfId="27528" priority="9405"/>
    <cfRule type="duplicateValues" dxfId="27527" priority="9406"/>
    <cfRule type="duplicateValues" dxfId="27526" priority="9407"/>
    <cfRule type="duplicateValues" dxfId="27525" priority="9408"/>
    <cfRule type="duplicateValues" dxfId="27524" priority="9409"/>
    <cfRule type="duplicateValues" dxfId="27523" priority="9410"/>
    <cfRule type="duplicateValues" dxfId="27522" priority="9411"/>
    <cfRule type="duplicateValues" dxfId="27521" priority="9412"/>
    <cfRule type="duplicateValues" dxfId="27520" priority="9413"/>
    <cfRule type="duplicateValues" dxfId="27519" priority="9414"/>
    <cfRule type="duplicateValues" dxfId="27518" priority="9415"/>
    <cfRule type="duplicateValues" dxfId="27517" priority="9416"/>
    <cfRule type="duplicateValues" dxfId="27516" priority="9417"/>
    <cfRule type="duplicateValues" dxfId="27515" priority="9418"/>
    <cfRule type="duplicateValues" dxfId="27514" priority="9419"/>
    <cfRule type="duplicateValues" dxfId="27513" priority="9420"/>
    <cfRule type="duplicateValues" dxfId="27512" priority="9421"/>
    <cfRule type="duplicateValues" dxfId="27511" priority="9422"/>
    <cfRule type="duplicateValues" dxfId="27510" priority="9423"/>
    <cfRule type="duplicateValues" dxfId="27509" priority="9424"/>
    <cfRule type="duplicateValues" dxfId="27508" priority="9425"/>
    <cfRule type="duplicateValues" dxfId="27507" priority="9426"/>
    <cfRule type="duplicateValues" dxfId="27506" priority="9427"/>
    <cfRule type="duplicateValues" dxfId="27505" priority="9428"/>
    <cfRule type="duplicateValues" dxfId="27504" priority="9429"/>
    <cfRule type="duplicateValues" dxfId="27503" priority="9430"/>
    <cfRule type="duplicateValues" dxfId="27502" priority="9431"/>
    <cfRule type="duplicateValues" dxfId="27501" priority="9432"/>
    <cfRule type="duplicateValues" dxfId="27500" priority="9433"/>
    <cfRule type="duplicateValues" dxfId="27499" priority="9434"/>
    <cfRule type="duplicateValues" dxfId="27498" priority="9435"/>
    <cfRule type="duplicateValues" dxfId="27497" priority="9436"/>
    <cfRule type="duplicateValues" dxfId="27496" priority="9437"/>
    <cfRule type="duplicateValues" dxfId="27495" priority="9438"/>
    <cfRule type="duplicateValues" dxfId="27494" priority="9439"/>
    <cfRule type="duplicateValues" dxfId="27493" priority="9440"/>
    <cfRule type="duplicateValues" dxfId="27492" priority="9441"/>
    <cfRule type="duplicateValues" dxfId="27491" priority="9442"/>
    <cfRule type="duplicateValues" dxfId="27490" priority="9443"/>
    <cfRule type="duplicateValues" dxfId="27489" priority="9444"/>
    <cfRule type="duplicateValues" dxfId="27488" priority="9445"/>
    <cfRule type="duplicateValues" dxfId="27487" priority="9446"/>
    <cfRule type="duplicateValues" dxfId="27486" priority="9447"/>
    <cfRule type="duplicateValues" dxfId="27485" priority="9448"/>
    <cfRule type="duplicateValues" dxfId="27484" priority="9449"/>
    <cfRule type="duplicateValues" dxfId="27483" priority="9450"/>
    <cfRule type="duplicateValues" dxfId="27482" priority="9451"/>
    <cfRule type="duplicateValues" dxfId="27481" priority="9452"/>
    <cfRule type="duplicateValues" dxfId="27480" priority="9453"/>
    <cfRule type="duplicateValues" dxfId="27479" priority="9454"/>
    <cfRule type="duplicateValues" dxfId="27478" priority="9455"/>
    <cfRule type="duplicateValues" dxfId="27477" priority="9456"/>
    <cfRule type="duplicateValues" dxfId="27476" priority="9457"/>
  </conditionalFormatting>
  <conditionalFormatting sqref="C190">
    <cfRule type="duplicateValues" dxfId="27475" priority="28581"/>
    <cfRule type="duplicateValues" dxfId="27474" priority="28582"/>
    <cfRule type="duplicateValues" dxfId="27473" priority="28583"/>
    <cfRule type="duplicateValues" dxfId="27472" priority="28584"/>
    <cfRule type="duplicateValues" dxfId="27471" priority="28585"/>
    <cfRule type="duplicateValues" dxfId="27470" priority="28586"/>
    <cfRule type="duplicateValues" dxfId="27469" priority="28587"/>
    <cfRule type="duplicateValues" dxfId="27468" priority="28588"/>
    <cfRule type="duplicateValues" dxfId="27467" priority="28589"/>
    <cfRule type="duplicateValues" dxfId="27466" priority="28590"/>
    <cfRule type="duplicateValues" dxfId="27465" priority="28591"/>
    <cfRule type="duplicateValues" dxfId="27464" priority="28592"/>
    <cfRule type="duplicateValues" dxfId="27463" priority="28593"/>
    <cfRule type="duplicateValues" dxfId="27462" priority="28594"/>
    <cfRule type="duplicateValues" dxfId="27461" priority="28595"/>
    <cfRule type="duplicateValues" dxfId="27460" priority="28596"/>
    <cfRule type="duplicateValues" dxfId="27459" priority="28597"/>
    <cfRule type="duplicateValues" dxfId="27458" priority="28598"/>
    <cfRule type="duplicateValues" dxfId="27457" priority="28599"/>
    <cfRule type="duplicateValues" dxfId="27456" priority="28600"/>
    <cfRule type="duplicateValues" dxfId="27455" priority="28601"/>
    <cfRule type="duplicateValues" dxfId="27454" priority="28602"/>
    <cfRule type="duplicateValues" dxfId="27453" priority="28603"/>
    <cfRule type="duplicateValues" dxfId="27452" priority="28604"/>
    <cfRule type="duplicateValues" dxfId="27451" priority="28605"/>
    <cfRule type="duplicateValues" dxfId="27450" priority="28606"/>
    <cfRule type="duplicateValues" dxfId="27449" priority="28607"/>
    <cfRule type="duplicateValues" dxfId="27448" priority="28608"/>
    <cfRule type="duplicateValues" dxfId="27447" priority="28609"/>
    <cfRule type="duplicateValues" dxfId="27446" priority="28610"/>
    <cfRule type="duplicateValues" dxfId="27445" priority="28611"/>
    <cfRule type="duplicateValues" dxfId="27444" priority="28612"/>
    <cfRule type="duplicateValues" dxfId="27443" priority="28613"/>
    <cfRule type="duplicateValues" dxfId="27442" priority="28614"/>
    <cfRule type="duplicateValues" dxfId="27441" priority="28615"/>
    <cfRule type="duplicateValues" dxfId="27440" priority="28616"/>
    <cfRule type="duplicateValues" dxfId="27439" priority="28617"/>
    <cfRule type="duplicateValues" dxfId="27438" priority="28618"/>
    <cfRule type="duplicateValues" dxfId="27437" priority="28619"/>
    <cfRule type="duplicateValues" dxfId="27436" priority="28620"/>
    <cfRule type="duplicateValues" dxfId="27435" priority="28621"/>
    <cfRule type="duplicateValues" dxfId="27434" priority="28622"/>
    <cfRule type="duplicateValues" dxfId="27433" priority="28623"/>
    <cfRule type="duplicateValues" dxfId="27432" priority="28624"/>
    <cfRule type="duplicateValues" dxfId="27431" priority="28625"/>
    <cfRule type="duplicateValues" dxfId="27430" priority="28626"/>
    <cfRule type="duplicateValues" dxfId="27429" priority="28627"/>
    <cfRule type="duplicateValues" dxfId="27428" priority="28628"/>
    <cfRule type="duplicateValues" dxfId="27427" priority="28629"/>
    <cfRule type="duplicateValues" dxfId="27426" priority="28630"/>
    <cfRule type="duplicateValues" dxfId="27425" priority="28631"/>
    <cfRule type="duplicateValues" dxfId="27424" priority="28632"/>
    <cfRule type="duplicateValues" dxfId="27423" priority="28633"/>
    <cfRule type="duplicateValues" dxfId="27422" priority="28634"/>
    <cfRule type="duplicateValues" dxfId="27421" priority="28635"/>
    <cfRule type="duplicateValues" dxfId="27420" priority="28636"/>
    <cfRule type="duplicateValues" dxfId="27419" priority="28637"/>
    <cfRule type="duplicateValues" dxfId="27418" priority="28638"/>
    <cfRule type="duplicateValues" dxfId="27417" priority="28639"/>
    <cfRule type="duplicateValues" dxfId="27416" priority="28640"/>
    <cfRule type="duplicateValues" dxfId="27415" priority="28641"/>
    <cfRule type="duplicateValues" dxfId="27414" priority="28642"/>
    <cfRule type="duplicateValues" dxfId="27413" priority="28643"/>
    <cfRule type="duplicateValues" dxfId="27412" priority="28644"/>
    <cfRule type="duplicateValues" dxfId="27411" priority="28645"/>
    <cfRule type="duplicateValues" dxfId="27410" priority="28646"/>
    <cfRule type="duplicateValues" dxfId="27409" priority="28647"/>
    <cfRule type="duplicateValues" dxfId="27408" priority="28648"/>
    <cfRule type="duplicateValues" dxfId="27407" priority="28649"/>
    <cfRule type="duplicateValues" dxfId="27406" priority="28650"/>
    <cfRule type="duplicateValues" dxfId="27405" priority="28651"/>
    <cfRule type="duplicateValues" dxfId="27404" priority="28652"/>
    <cfRule type="duplicateValues" dxfId="27403" priority="28653"/>
    <cfRule type="duplicateValues" dxfId="27402" priority="28654"/>
    <cfRule type="duplicateValues" dxfId="27401" priority="28655"/>
    <cfRule type="duplicateValues" dxfId="27400" priority="28656"/>
    <cfRule type="duplicateValues" dxfId="27399" priority="28657"/>
    <cfRule type="duplicateValues" dxfId="27398" priority="28658"/>
    <cfRule type="duplicateValues" dxfId="27397" priority="28659"/>
    <cfRule type="duplicateValues" dxfId="27396" priority="28660"/>
    <cfRule type="duplicateValues" dxfId="27395" priority="28661"/>
    <cfRule type="duplicateValues" dxfId="27394" priority="28662"/>
    <cfRule type="duplicateValues" dxfId="27393" priority="28663"/>
    <cfRule type="duplicateValues" dxfId="27392" priority="28664"/>
    <cfRule type="duplicateValues" dxfId="27391" priority="28665"/>
    <cfRule type="duplicateValues" dxfId="27390" priority="28666"/>
    <cfRule type="duplicateValues" dxfId="27389" priority="28667"/>
    <cfRule type="duplicateValues" dxfId="27388" priority="28668"/>
    <cfRule type="duplicateValues" dxfId="27387" priority="28669"/>
    <cfRule type="duplicateValues" dxfId="27386" priority="28670"/>
    <cfRule type="duplicateValues" dxfId="27385" priority="28671"/>
    <cfRule type="duplicateValues" dxfId="27384" priority="28672"/>
    <cfRule type="duplicateValues" dxfId="27383" priority="28673"/>
    <cfRule type="duplicateValues" dxfId="27382" priority="28674"/>
    <cfRule type="duplicateValues" dxfId="27381" priority="28675"/>
    <cfRule type="duplicateValues" dxfId="27380" priority="28676"/>
    <cfRule type="duplicateValues" dxfId="27379" priority="28677"/>
    <cfRule type="duplicateValues" dxfId="27378" priority="28678"/>
    <cfRule type="duplicateValues" dxfId="27377" priority="28679"/>
    <cfRule type="duplicateValues" dxfId="27376" priority="28680"/>
    <cfRule type="duplicateValues" dxfId="27375" priority="28681"/>
    <cfRule type="duplicateValues" dxfId="27374" priority="28682"/>
    <cfRule type="duplicateValues" dxfId="27373" priority="28683"/>
    <cfRule type="duplicateValues" dxfId="27372" priority="28684"/>
    <cfRule type="duplicateValues" dxfId="27371" priority="28685"/>
    <cfRule type="duplicateValues" dxfId="27370" priority="28686"/>
    <cfRule type="duplicateValues" dxfId="27369" priority="28687"/>
  </conditionalFormatting>
  <conditionalFormatting sqref="C191:C192">
    <cfRule type="duplicateValues" dxfId="27368" priority="9244"/>
    <cfRule type="duplicateValues" dxfId="27367" priority="9245"/>
    <cfRule type="duplicateValues" dxfId="27366" priority="9246"/>
    <cfRule type="duplicateValues" dxfId="27365" priority="9247"/>
    <cfRule type="duplicateValues" dxfId="27364" priority="9248"/>
    <cfRule type="duplicateValues" dxfId="27363" priority="9249"/>
    <cfRule type="duplicateValues" dxfId="27362" priority="9250"/>
    <cfRule type="duplicateValues" dxfId="27361" priority="9251"/>
    <cfRule type="duplicateValues" dxfId="27360" priority="9252"/>
    <cfRule type="duplicateValues" dxfId="27359" priority="9253"/>
    <cfRule type="duplicateValues" dxfId="27358" priority="9254"/>
    <cfRule type="duplicateValues" dxfId="27357" priority="9255"/>
    <cfRule type="duplicateValues" dxfId="27356" priority="9256"/>
    <cfRule type="duplicateValues" dxfId="27355" priority="9257"/>
    <cfRule type="duplicateValues" dxfId="27354" priority="9258"/>
    <cfRule type="duplicateValues" dxfId="27353" priority="9259"/>
    <cfRule type="duplicateValues" dxfId="27352" priority="9260"/>
    <cfRule type="duplicateValues" dxfId="27351" priority="9261"/>
    <cfRule type="duplicateValues" dxfId="27350" priority="9262"/>
    <cfRule type="duplicateValues" dxfId="27349" priority="9263"/>
    <cfRule type="duplicateValues" dxfId="27348" priority="9264"/>
    <cfRule type="duplicateValues" dxfId="27347" priority="9265"/>
    <cfRule type="duplicateValues" dxfId="27346" priority="9266"/>
    <cfRule type="duplicateValues" dxfId="27345" priority="9267"/>
    <cfRule type="duplicateValues" dxfId="27344" priority="9268"/>
    <cfRule type="duplicateValues" dxfId="27343" priority="9269"/>
    <cfRule type="duplicateValues" dxfId="27342" priority="9270"/>
    <cfRule type="duplicateValues" dxfId="27341" priority="9271"/>
    <cfRule type="duplicateValues" dxfId="27340" priority="9272"/>
    <cfRule type="duplicateValues" dxfId="27339" priority="9273"/>
    <cfRule type="duplicateValues" dxfId="27338" priority="9274"/>
    <cfRule type="duplicateValues" dxfId="27337" priority="9275"/>
    <cfRule type="duplicateValues" dxfId="27336" priority="9276"/>
    <cfRule type="duplicateValues" dxfId="27335" priority="9277"/>
    <cfRule type="duplicateValues" dxfId="27334" priority="9278"/>
    <cfRule type="duplicateValues" dxfId="27333" priority="9279"/>
    <cfRule type="duplicateValues" dxfId="27332" priority="9280"/>
    <cfRule type="duplicateValues" dxfId="27331" priority="9281"/>
    <cfRule type="duplicateValues" dxfId="27330" priority="9282"/>
    <cfRule type="duplicateValues" dxfId="27329" priority="9283"/>
    <cfRule type="duplicateValues" dxfId="27328" priority="9284"/>
    <cfRule type="duplicateValues" dxfId="27327" priority="9285"/>
    <cfRule type="duplicateValues" dxfId="27326" priority="9286"/>
    <cfRule type="duplicateValues" dxfId="27325" priority="9287"/>
    <cfRule type="duplicateValues" dxfId="27324" priority="9288"/>
    <cfRule type="duplicateValues" dxfId="27323" priority="9289"/>
    <cfRule type="duplicateValues" dxfId="27322" priority="9290"/>
    <cfRule type="duplicateValues" dxfId="27321" priority="9291"/>
    <cfRule type="duplicateValues" dxfId="27320" priority="9292"/>
    <cfRule type="duplicateValues" dxfId="27319" priority="9293"/>
    <cfRule type="duplicateValues" dxfId="27318" priority="9294"/>
    <cfRule type="duplicateValues" dxfId="27317" priority="9295"/>
    <cfRule type="duplicateValues" dxfId="27316" priority="9296"/>
    <cfRule type="duplicateValues" dxfId="27315" priority="9297"/>
    <cfRule type="duplicateValues" dxfId="27314" priority="9298"/>
    <cfRule type="duplicateValues" dxfId="27313" priority="9299"/>
    <cfRule type="duplicateValues" dxfId="27312" priority="9300"/>
    <cfRule type="duplicateValues" dxfId="27311" priority="9301"/>
    <cfRule type="duplicateValues" dxfId="27310" priority="9302"/>
    <cfRule type="duplicateValues" dxfId="27309" priority="9303"/>
    <cfRule type="duplicateValues" dxfId="27308" priority="9304"/>
    <cfRule type="duplicateValues" dxfId="27307" priority="9305"/>
    <cfRule type="duplicateValues" dxfId="27306" priority="9306"/>
    <cfRule type="duplicateValues" dxfId="27305" priority="9307"/>
    <cfRule type="duplicateValues" dxfId="27304" priority="9308"/>
    <cfRule type="duplicateValues" dxfId="27303" priority="9309"/>
    <cfRule type="duplicateValues" dxfId="27302" priority="9310"/>
    <cfRule type="duplicateValues" dxfId="27301" priority="9311"/>
    <cfRule type="duplicateValues" dxfId="27300" priority="9312"/>
    <cfRule type="duplicateValues" dxfId="27299" priority="9313"/>
    <cfRule type="duplicateValues" dxfId="27298" priority="9314"/>
    <cfRule type="duplicateValues" dxfId="27297" priority="9315"/>
    <cfRule type="duplicateValues" dxfId="27296" priority="9316"/>
    <cfRule type="duplicateValues" dxfId="27295" priority="9317"/>
    <cfRule type="duplicateValues" dxfId="27294" priority="9318"/>
    <cfRule type="duplicateValues" dxfId="27293" priority="9319"/>
    <cfRule type="duplicateValues" dxfId="27292" priority="9320"/>
    <cfRule type="duplicateValues" dxfId="27291" priority="9321"/>
    <cfRule type="duplicateValues" dxfId="27290" priority="9322"/>
    <cfRule type="duplicateValues" dxfId="27289" priority="9323"/>
    <cfRule type="duplicateValues" dxfId="27288" priority="9324"/>
    <cfRule type="duplicateValues" dxfId="27287" priority="9325"/>
    <cfRule type="duplicateValues" dxfId="27286" priority="9326"/>
    <cfRule type="duplicateValues" dxfId="27285" priority="9327"/>
    <cfRule type="duplicateValues" dxfId="27284" priority="9328"/>
    <cfRule type="duplicateValues" dxfId="27283" priority="9329"/>
    <cfRule type="duplicateValues" dxfId="27282" priority="9330"/>
    <cfRule type="duplicateValues" dxfId="27281" priority="9331"/>
    <cfRule type="duplicateValues" dxfId="27280" priority="9332"/>
    <cfRule type="duplicateValues" dxfId="27279" priority="9333"/>
    <cfRule type="duplicateValues" dxfId="27278" priority="9334"/>
    <cfRule type="duplicateValues" dxfId="27277" priority="9335"/>
    <cfRule type="duplicateValues" dxfId="27276" priority="9336"/>
    <cfRule type="duplicateValues" dxfId="27275" priority="9337"/>
    <cfRule type="duplicateValues" dxfId="27274" priority="9338"/>
    <cfRule type="duplicateValues" dxfId="27273" priority="9339"/>
    <cfRule type="duplicateValues" dxfId="27272" priority="9340"/>
    <cfRule type="duplicateValues" dxfId="27271" priority="9341"/>
    <cfRule type="duplicateValues" dxfId="27270" priority="9342"/>
    <cfRule type="duplicateValues" dxfId="27269" priority="9343"/>
    <cfRule type="duplicateValues" dxfId="27268" priority="9344"/>
    <cfRule type="duplicateValues" dxfId="27267" priority="9345"/>
    <cfRule type="duplicateValues" dxfId="27266" priority="9346"/>
    <cfRule type="duplicateValues" dxfId="27265" priority="9347"/>
    <cfRule type="duplicateValues" dxfId="27264" priority="9348"/>
    <cfRule type="duplicateValues" dxfId="27263" priority="9349"/>
    <cfRule type="duplicateValues" dxfId="27262" priority="9350"/>
  </conditionalFormatting>
  <conditionalFormatting sqref="C193">
    <cfRule type="duplicateValues" dxfId="27261" priority="28471"/>
    <cfRule type="duplicateValues" dxfId="27260" priority="28472"/>
    <cfRule type="duplicateValues" dxfId="27259" priority="28473"/>
    <cfRule type="duplicateValues" dxfId="27258" priority="28474"/>
    <cfRule type="duplicateValues" dxfId="27257" priority="28475"/>
    <cfRule type="duplicateValues" dxfId="27256" priority="28476"/>
    <cfRule type="duplicateValues" dxfId="27255" priority="28477"/>
    <cfRule type="duplicateValues" dxfId="27254" priority="28478"/>
    <cfRule type="duplicateValues" dxfId="27253" priority="28479"/>
    <cfRule type="duplicateValues" dxfId="27252" priority="28480"/>
    <cfRule type="duplicateValues" dxfId="27251" priority="28481"/>
    <cfRule type="duplicateValues" dxfId="27250" priority="28482"/>
    <cfRule type="duplicateValues" dxfId="27249" priority="28483"/>
    <cfRule type="duplicateValues" dxfId="27248" priority="28484"/>
    <cfRule type="duplicateValues" dxfId="27247" priority="28485"/>
    <cfRule type="duplicateValues" dxfId="27246" priority="28486"/>
    <cfRule type="duplicateValues" dxfId="27245" priority="28487"/>
    <cfRule type="duplicateValues" dxfId="27244" priority="28488"/>
    <cfRule type="duplicateValues" dxfId="27243" priority="28489"/>
    <cfRule type="duplicateValues" dxfId="27242" priority="28490"/>
    <cfRule type="duplicateValues" dxfId="27241" priority="28491"/>
    <cfRule type="duplicateValues" dxfId="27240" priority="28492"/>
    <cfRule type="duplicateValues" dxfId="27239" priority="28493"/>
    <cfRule type="duplicateValues" dxfId="27238" priority="28494"/>
    <cfRule type="duplicateValues" dxfId="27237" priority="28495"/>
    <cfRule type="duplicateValues" dxfId="27236" priority="28496"/>
    <cfRule type="duplicateValues" dxfId="27235" priority="28497"/>
    <cfRule type="duplicateValues" dxfId="27234" priority="28498"/>
    <cfRule type="duplicateValues" dxfId="27233" priority="28499"/>
    <cfRule type="duplicateValues" dxfId="27232" priority="28500"/>
    <cfRule type="duplicateValues" dxfId="27231" priority="28501"/>
    <cfRule type="duplicateValues" dxfId="27230" priority="28502"/>
    <cfRule type="duplicateValues" dxfId="27229" priority="28503"/>
    <cfRule type="duplicateValues" dxfId="27228" priority="28504"/>
    <cfRule type="duplicateValues" dxfId="27227" priority="28505"/>
    <cfRule type="duplicateValues" dxfId="27226" priority="28506"/>
    <cfRule type="duplicateValues" dxfId="27225" priority="28507"/>
    <cfRule type="duplicateValues" dxfId="27224" priority="28508"/>
    <cfRule type="duplicateValues" dxfId="27223" priority="28509"/>
    <cfRule type="duplicateValues" dxfId="27222" priority="28510"/>
    <cfRule type="duplicateValues" dxfId="27221" priority="28511"/>
    <cfRule type="duplicateValues" dxfId="27220" priority="28512"/>
    <cfRule type="duplicateValues" dxfId="27219" priority="28513"/>
    <cfRule type="duplicateValues" dxfId="27218" priority="28514"/>
    <cfRule type="duplicateValues" dxfId="27217" priority="28515"/>
    <cfRule type="duplicateValues" dxfId="27216" priority="28516"/>
    <cfRule type="duplicateValues" dxfId="27215" priority="28517"/>
    <cfRule type="duplicateValues" dxfId="27214" priority="28518"/>
    <cfRule type="duplicateValues" dxfId="27213" priority="28519"/>
    <cfRule type="duplicateValues" dxfId="27212" priority="28520"/>
    <cfRule type="duplicateValues" dxfId="27211" priority="28521"/>
    <cfRule type="duplicateValues" dxfId="27210" priority="28522"/>
    <cfRule type="duplicateValues" dxfId="27209" priority="28523"/>
    <cfRule type="duplicateValues" dxfId="27208" priority="28524"/>
    <cfRule type="duplicateValues" dxfId="27207" priority="28525"/>
    <cfRule type="duplicateValues" dxfId="27206" priority="28526"/>
    <cfRule type="duplicateValues" dxfId="27205" priority="28527"/>
    <cfRule type="duplicateValues" dxfId="27204" priority="28528"/>
    <cfRule type="duplicateValues" dxfId="27203" priority="28529"/>
    <cfRule type="duplicateValues" dxfId="27202" priority="28530"/>
    <cfRule type="duplicateValues" dxfId="27201" priority="28531"/>
    <cfRule type="duplicateValues" dxfId="27200" priority="28532"/>
    <cfRule type="duplicateValues" dxfId="27199" priority="28533"/>
    <cfRule type="duplicateValues" dxfId="27198" priority="28534"/>
    <cfRule type="duplicateValues" dxfId="27197" priority="28535"/>
    <cfRule type="duplicateValues" dxfId="27196" priority="28536"/>
    <cfRule type="duplicateValues" dxfId="27195" priority="28537"/>
    <cfRule type="duplicateValues" dxfId="27194" priority="28538"/>
    <cfRule type="duplicateValues" dxfId="27193" priority="28539"/>
    <cfRule type="duplicateValues" dxfId="27192" priority="28540"/>
    <cfRule type="duplicateValues" dxfId="27191" priority="28541"/>
    <cfRule type="duplicateValues" dxfId="27190" priority="28542"/>
    <cfRule type="duplicateValues" dxfId="27189" priority="28543"/>
    <cfRule type="duplicateValues" dxfId="27188" priority="28544"/>
    <cfRule type="duplicateValues" dxfId="27187" priority="28545"/>
    <cfRule type="duplicateValues" dxfId="27186" priority="28546"/>
    <cfRule type="duplicateValues" dxfId="27185" priority="28547"/>
    <cfRule type="duplicateValues" dxfId="27184" priority="28548"/>
    <cfRule type="duplicateValues" dxfId="27183" priority="28549"/>
    <cfRule type="duplicateValues" dxfId="27182" priority="28550"/>
    <cfRule type="duplicateValues" dxfId="27181" priority="28551"/>
    <cfRule type="duplicateValues" dxfId="27180" priority="28552"/>
    <cfRule type="duplicateValues" dxfId="27179" priority="28553"/>
    <cfRule type="duplicateValues" dxfId="27178" priority="28554"/>
    <cfRule type="duplicateValues" dxfId="27177" priority="28555"/>
    <cfRule type="duplicateValues" dxfId="27176" priority="28556"/>
    <cfRule type="duplicateValues" dxfId="27175" priority="28557"/>
    <cfRule type="duplicateValues" dxfId="27174" priority="28558"/>
    <cfRule type="duplicateValues" dxfId="27173" priority="28559"/>
    <cfRule type="duplicateValues" dxfId="27172" priority="28560"/>
    <cfRule type="duplicateValues" dxfId="27171" priority="28561"/>
    <cfRule type="duplicateValues" dxfId="27170" priority="28562"/>
    <cfRule type="duplicateValues" dxfId="27169" priority="28563"/>
    <cfRule type="duplicateValues" dxfId="27168" priority="28564"/>
    <cfRule type="duplicateValues" dxfId="27167" priority="28565"/>
    <cfRule type="duplicateValues" dxfId="27166" priority="28566"/>
    <cfRule type="duplicateValues" dxfId="27165" priority="28567"/>
    <cfRule type="duplicateValues" dxfId="27164" priority="28568"/>
    <cfRule type="duplicateValues" dxfId="27163" priority="28569"/>
    <cfRule type="duplicateValues" dxfId="27162" priority="28570"/>
    <cfRule type="duplicateValues" dxfId="27161" priority="28571"/>
    <cfRule type="duplicateValues" dxfId="27160" priority="28572"/>
    <cfRule type="duplicateValues" dxfId="27159" priority="28573"/>
    <cfRule type="duplicateValues" dxfId="27158" priority="28574"/>
    <cfRule type="duplicateValues" dxfId="27157" priority="28575"/>
    <cfRule type="duplicateValues" dxfId="27156" priority="28576"/>
    <cfRule type="duplicateValues" dxfId="27155" priority="28577"/>
    <cfRule type="duplicateValues" dxfId="27154" priority="28578"/>
    <cfRule type="duplicateValues" dxfId="27153" priority="28579"/>
    <cfRule type="duplicateValues" dxfId="27152" priority="28580"/>
  </conditionalFormatting>
  <conditionalFormatting sqref="C194">
    <cfRule type="duplicateValues" dxfId="27151" priority="28181"/>
    <cfRule type="duplicateValues" dxfId="27150" priority="28182"/>
    <cfRule type="duplicateValues" dxfId="27149" priority="28183"/>
    <cfRule type="duplicateValues" dxfId="27148" priority="28184"/>
    <cfRule type="duplicateValues" dxfId="27147" priority="28185"/>
    <cfRule type="duplicateValues" dxfId="27146" priority="28186"/>
    <cfRule type="duplicateValues" dxfId="27145" priority="28187"/>
    <cfRule type="duplicateValues" dxfId="27144" priority="28188"/>
    <cfRule type="duplicateValues" dxfId="27143" priority="28189"/>
    <cfRule type="duplicateValues" dxfId="27142" priority="28190"/>
    <cfRule type="duplicateValues" dxfId="27141" priority="28191"/>
    <cfRule type="duplicateValues" dxfId="27140" priority="28192"/>
    <cfRule type="duplicateValues" dxfId="27139" priority="28193"/>
    <cfRule type="duplicateValues" dxfId="27138" priority="28194"/>
    <cfRule type="duplicateValues" dxfId="27137" priority="28195"/>
    <cfRule type="duplicateValues" dxfId="27136" priority="28196"/>
    <cfRule type="duplicateValues" dxfId="27135" priority="28197"/>
    <cfRule type="duplicateValues" dxfId="27134" priority="28198"/>
    <cfRule type="duplicateValues" dxfId="27133" priority="28199"/>
    <cfRule type="duplicateValues" dxfId="27132" priority="28200"/>
    <cfRule type="duplicateValues" dxfId="27131" priority="28201"/>
    <cfRule type="duplicateValues" dxfId="27130" priority="28202"/>
    <cfRule type="duplicateValues" dxfId="27129" priority="28203"/>
    <cfRule type="duplicateValues" dxfId="27128" priority="28204"/>
    <cfRule type="duplicateValues" dxfId="27127" priority="28205"/>
    <cfRule type="duplicateValues" dxfId="27126" priority="28206"/>
    <cfRule type="duplicateValues" dxfId="27125" priority="28207"/>
    <cfRule type="duplicateValues" dxfId="27124" priority="28208"/>
    <cfRule type="duplicateValues" dxfId="27123" priority="28209"/>
    <cfRule type="duplicateValues" dxfId="27122" priority="28210"/>
    <cfRule type="duplicateValues" dxfId="27121" priority="28211"/>
    <cfRule type="duplicateValues" dxfId="27120" priority="28212"/>
    <cfRule type="duplicateValues" dxfId="27119" priority="28213"/>
    <cfRule type="duplicateValues" dxfId="27118" priority="28214"/>
    <cfRule type="duplicateValues" dxfId="27117" priority="28215"/>
    <cfRule type="duplicateValues" dxfId="27116" priority="28216"/>
    <cfRule type="duplicateValues" dxfId="27115" priority="28217"/>
    <cfRule type="duplicateValues" dxfId="27114" priority="28218"/>
    <cfRule type="duplicateValues" dxfId="27113" priority="28219"/>
    <cfRule type="duplicateValues" dxfId="27112" priority="28220"/>
    <cfRule type="duplicateValues" dxfId="27111" priority="28221"/>
    <cfRule type="duplicateValues" dxfId="27110" priority="28222"/>
    <cfRule type="duplicateValues" dxfId="27109" priority="28223"/>
    <cfRule type="duplicateValues" dxfId="27108" priority="28224"/>
    <cfRule type="duplicateValues" dxfId="27107" priority="28225"/>
    <cfRule type="duplicateValues" dxfId="27106" priority="28226"/>
    <cfRule type="duplicateValues" dxfId="27105" priority="28227"/>
    <cfRule type="duplicateValues" dxfId="27104" priority="28228"/>
    <cfRule type="duplicateValues" dxfId="27103" priority="28229"/>
    <cfRule type="duplicateValues" dxfId="27102" priority="28230"/>
    <cfRule type="duplicateValues" dxfId="27101" priority="28231"/>
    <cfRule type="duplicateValues" dxfId="27100" priority="28232"/>
    <cfRule type="duplicateValues" dxfId="27099" priority="28233"/>
    <cfRule type="duplicateValues" dxfId="27098" priority="28234"/>
    <cfRule type="duplicateValues" dxfId="27097" priority="28235"/>
    <cfRule type="duplicateValues" dxfId="27096" priority="28236"/>
    <cfRule type="duplicateValues" dxfId="27095" priority="28237"/>
    <cfRule type="duplicateValues" dxfId="27094" priority="28238"/>
    <cfRule type="duplicateValues" dxfId="27093" priority="28239"/>
    <cfRule type="duplicateValues" dxfId="27092" priority="28240"/>
    <cfRule type="duplicateValues" dxfId="27091" priority="28241"/>
    <cfRule type="duplicateValues" dxfId="27090" priority="28242"/>
    <cfRule type="duplicateValues" dxfId="27089" priority="28243"/>
    <cfRule type="duplicateValues" dxfId="27088" priority="28244"/>
    <cfRule type="duplicateValues" dxfId="27087" priority="28245"/>
    <cfRule type="duplicateValues" dxfId="27086" priority="28246"/>
    <cfRule type="duplicateValues" dxfId="27085" priority="28247"/>
    <cfRule type="duplicateValues" dxfId="27084" priority="28248"/>
    <cfRule type="duplicateValues" dxfId="27083" priority="28249"/>
    <cfRule type="duplicateValues" dxfId="27082" priority="28250"/>
    <cfRule type="duplicateValues" dxfId="27081" priority="28251"/>
    <cfRule type="duplicateValues" dxfId="27080" priority="28252"/>
    <cfRule type="duplicateValues" dxfId="27079" priority="28253"/>
    <cfRule type="duplicateValues" dxfId="27078" priority="28254"/>
    <cfRule type="duplicateValues" dxfId="27077" priority="28255"/>
    <cfRule type="duplicateValues" dxfId="27076" priority="28256"/>
    <cfRule type="duplicateValues" dxfId="27075" priority="28257"/>
    <cfRule type="duplicateValues" dxfId="27074" priority="28258"/>
    <cfRule type="duplicateValues" dxfId="27073" priority="28259"/>
    <cfRule type="duplicateValues" dxfId="27072" priority="28260"/>
    <cfRule type="duplicateValues" dxfId="27071" priority="28261"/>
    <cfRule type="duplicateValues" dxfId="27070" priority="28262"/>
    <cfRule type="duplicateValues" dxfId="27069" priority="28263"/>
    <cfRule type="duplicateValues" dxfId="27068" priority="28264"/>
    <cfRule type="duplicateValues" dxfId="27067" priority="28265"/>
    <cfRule type="duplicateValues" dxfId="27066" priority="28266"/>
    <cfRule type="duplicateValues" dxfId="27065" priority="28267"/>
    <cfRule type="duplicateValues" dxfId="27064" priority="28268"/>
    <cfRule type="duplicateValues" dxfId="27063" priority="28269"/>
    <cfRule type="duplicateValues" dxfId="27062" priority="28270"/>
    <cfRule type="duplicateValues" dxfId="27061" priority="28271"/>
    <cfRule type="duplicateValues" dxfId="27060" priority="28272"/>
    <cfRule type="duplicateValues" dxfId="27059" priority="28273"/>
    <cfRule type="duplicateValues" dxfId="27058" priority="28274"/>
    <cfRule type="duplicateValues" dxfId="27057" priority="28275"/>
    <cfRule type="duplicateValues" dxfId="27056" priority="28276"/>
    <cfRule type="duplicateValues" dxfId="27055" priority="28277"/>
    <cfRule type="duplicateValues" dxfId="27054" priority="28278"/>
    <cfRule type="duplicateValues" dxfId="27053" priority="28279"/>
    <cfRule type="duplicateValues" dxfId="27052" priority="28280"/>
    <cfRule type="duplicateValues" dxfId="27051" priority="28281"/>
    <cfRule type="duplicateValues" dxfId="27050" priority="28282"/>
    <cfRule type="duplicateValues" dxfId="27049" priority="28283"/>
    <cfRule type="duplicateValues" dxfId="27048" priority="28284"/>
    <cfRule type="duplicateValues" dxfId="27047" priority="28285"/>
    <cfRule type="duplicateValues" dxfId="27046" priority="28286"/>
    <cfRule type="duplicateValues" dxfId="27045" priority="28287"/>
    <cfRule type="duplicateValues" dxfId="27044" priority="28288"/>
    <cfRule type="duplicateValues" dxfId="27043" priority="28289"/>
    <cfRule type="duplicateValues" dxfId="27042" priority="28290"/>
    <cfRule type="duplicateValues" dxfId="27041" priority="28291"/>
    <cfRule type="duplicateValues" dxfId="27040" priority="28292"/>
    <cfRule type="duplicateValues" dxfId="27039" priority="28293"/>
    <cfRule type="duplicateValues" dxfId="27038" priority="28294"/>
    <cfRule type="duplicateValues" dxfId="27037" priority="28295"/>
    <cfRule type="duplicateValues" dxfId="27036" priority="28296"/>
    <cfRule type="duplicateValues" dxfId="27035" priority="28297"/>
    <cfRule type="duplicateValues" dxfId="27034" priority="28298"/>
    <cfRule type="duplicateValues" dxfId="27033" priority="28299"/>
    <cfRule type="duplicateValues" dxfId="27032" priority="28300"/>
    <cfRule type="duplicateValues" dxfId="27031" priority="28301"/>
    <cfRule type="duplicateValues" dxfId="27030" priority="28302"/>
    <cfRule type="duplicateValues" dxfId="27029" priority="28303"/>
    <cfRule type="duplicateValues" dxfId="27028" priority="28304"/>
    <cfRule type="duplicateValues" dxfId="27027" priority="28305"/>
    <cfRule type="duplicateValues" dxfId="27026" priority="28306"/>
    <cfRule type="duplicateValues" dxfId="27025" priority="28307"/>
    <cfRule type="duplicateValues" dxfId="27024" priority="28308"/>
    <cfRule type="duplicateValues" dxfId="27023" priority="28309"/>
    <cfRule type="duplicateValues" dxfId="27022" priority="28310"/>
    <cfRule type="duplicateValues" dxfId="27021" priority="28311"/>
    <cfRule type="duplicateValues" dxfId="27020" priority="28312"/>
    <cfRule type="duplicateValues" dxfId="27019" priority="28313"/>
    <cfRule type="duplicateValues" dxfId="27018" priority="28314"/>
    <cfRule type="duplicateValues" dxfId="27017" priority="28315"/>
    <cfRule type="duplicateValues" dxfId="27016" priority="28316"/>
    <cfRule type="duplicateValues" dxfId="27015" priority="28317"/>
    <cfRule type="duplicateValues" dxfId="27014" priority="28318"/>
    <cfRule type="duplicateValues" dxfId="27013" priority="28319"/>
    <cfRule type="duplicateValues" dxfId="27012" priority="28320"/>
    <cfRule type="duplicateValues" dxfId="27011" priority="28321"/>
    <cfRule type="duplicateValues" dxfId="27010" priority="28322"/>
    <cfRule type="duplicateValues" dxfId="27009" priority="28323"/>
    <cfRule type="duplicateValues" dxfId="27008" priority="28324"/>
    <cfRule type="duplicateValues" dxfId="27007" priority="28325"/>
    <cfRule type="duplicateValues" dxfId="27006" priority="28326"/>
    <cfRule type="duplicateValues" dxfId="27005" priority="28327"/>
    <cfRule type="duplicateValues" dxfId="27004" priority="28328"/>
    <cfRule type="duplicateValues" dxfId="27003" priority="28329"/>
    <cfRule type="duplicateValues" dxfId="27002" priority="28330"/>
    <cfRule type="duplicateValues" dxfId="27001" priority="28331"/>
    <cfRule type="duplicateValues" dxfId="27000" priority="28332"/>
    <cfRule type="duplicateValues" dxfId="26999" priority="28333"/>
    <cfRule type="duplicateValues" dxfId="26998" priority="28334"/>
    <cfRule type="duplicateValues" dxfId="26997" priority="28335"/>
    <cfRule type="duplicateValues" dxfId="26996" priority="28336"/>
    <cfRule type="duplicateValues" dxfId="26995" priority="28337"/>
    <cfRule type="duplicateValues" dxfId="26994" priority="28338"/>
    <cfRule type="duplicateValues" dxfId="26993" priority="28339"/>
    <cfRule type="duplicateValues" dxfId="26992" priority="28340"/>
    <cfRule type="duplicateValues" dxfId="26991" priority="28341"/>
    <cfRule type="duplicateValues" dxfId="26990" priority="28342"/>
    <cfRule type="duplicateValues" dxfId="26989" priority="28343"/>
    <cfRule type="duplicateValues" dxfId="26988" priority="28344"/>
    <cfRule type="duplicateValues" dxfId="26987" priority="28345"/>
    <cfRule type="duplicateValues" dxfId="26986" priority="28346"/>
    <cfRule type="duplicateValues" dxfId="26985" priority="28347"/>
    <cfRule type="duplicateValues" dxfId="26984" priority="28348"/>
    <cfRule type="duplicateValues" dxfId="26983" priority="28349"/>
    <cfRule type="duplicateValues" dxfId="26982" priority="28350"/>
    <cfRule type="duplicateValues" dxfId="26981" priority="28351"/>
    <cfRule type="duplicateValues" dxfId="26980" priority="28352"/>
    <cfRule type="duplicateValues" dxfId="26979" priority="28353"/>
    <cfRule type="duplicateValues" dxfId="26978" priority="28354"/>
    <cfRule type="duplicateValues" dxfId="26977" priority="28355"/>
    <cfRule type="duplicateValues" dxfId="26976" priority="28356"/>
    <cfRule type="duplicateValues" dxfId="26975" priority="28357"/>
    <cfRule type="duplicateValues" dxfId="26974" priority="28358"/>
    <cfRule type="duplicateValues" dxfId="26973" priority="28359"/>
    <cfRule type="duplicateValues" dxfId="26972" priority="28360"/>
    <cfRule type="duplicateValues" dxfId="26971" priority="28361"/>
    <cfRule type="duplicateValues" dxfId="26970" priority="28362"/>
    <cfRule type="duplicateValues" dxfId="26969" priority="28363"/>
    <cfRule type="duplicateValues" dxfId="26968" priority="28364"/>
    <cfRule type="duplicateValues" dxfId="26967" priority="28365"/>
    <cfRule type="duplicateValues" dxfId="26966" priority="28366"/>
    <cfRule type="duplicateValues" dxfId="26965" priority="28367"/>
    <cfRule type="duplicateValues" dxfId="26964" priority="28368"/>
    <cfRule type="duplicateValues" dxfId="26963" priority="28369"/>
    <cfRule type="duplicateValues" dxfId="26962" priority="28370"/>
    <cfRule type="duplicateValues" dxfId="26961" priority="28371"/>
    <cfRule type="duplicateValues" dxfId="26960" priority="28372"/>
    <cfRule type="duplicateValues" dxfId="26959" priority="28373"/>
    <cfRule type="duplicateValues" dxfId="26958" priority="28374"/>
    <cfRule type="duplicateValues" dxfId="26957" priority="28375"/>
    <cfRule type="duplicateValues" dxfId="26956" priority="28376"/>
    <cfRule type="duplicateValues" dxfId="26955" priority="28377"/>
    <cfRule type="duplicateValues" dxfId="26954" priority="28378"/>
    <cfRule type="duplicateValues" dxfId="26953" priority="28379"/>
    <cfRule type="duplicateValues" dxfId="26952" priority="28380"/>
    <cfRule type="duplicateValues" dxfId="26951" priority="28381"/>
    <cfRule type="duplicateValues" dxfId="26950" priority="28382"/>
    <cfRule type="duplicateValues" dxfId="26949" priority="28383"/>
    <cfRule type="duplicateValues" dxfId="26948" priority="28384"/>
    <cfRule type="duplicateValues" dxfId="26947" priority="28385"/>
    <cfRule type="duplicateValues" dxfId="26946" priority="28386"/>
    <cfRule type="duplicateValues" dxfId="26945" priority="28387"/>
    <cfRule type="duplicateValues" dxfId="26944" priority="28388"/>
    <cfRule type="duplicateValues" dxfId="26943" priority="28389"/>
    <cfRule type="duplicateValues" dxfId="26942" priority="28390"/>
    <cfRule type="duplicateValues" dxfId="26941" priority="28391"/>
    <cfRule type="duplicateValues" dxfId="26940" priority="28392"/>
    <cfRule type="duplicateValues" dxfId="26939" priority="28393"/>
    <cfRule type="duplicateValues" dxfId="26938" priority="28394"/>
    <cfRule type="duplicateValues" dxfId="26937" priority="28395"/>
    <cfRule type="duplicateValues" dxfId="26936" priority="28396"/>
    <cfRule type="duplicateValues" dxfId="26935" priority="28397"/>
    <cfRule type="duplicateValues" dxfId="26934" priority="28398"/>
    <cfRule type="duplicateValues" dxfId="26933" priority="28399"/>
    <cfRule type="duplicateValues" dxfId="26932" priority="28400"/>
    <cfRule type="duplicateValues" dxfId="26931" priority="28401"/>
    <cfRule type="duplicateValues" dxfId="26930" priority="28402"/>
    <cfRule type="duplicateValues" dxfId="26929" priority="28403"/>
    <cfRule type="duplicateValues" dxfId="26928" priority="28404"/>
    <cfRule type="duplicateValues" dxfId="26927" priority="28405"/>
    <cfRule type="duplicateValues" dxfId="26926" priority="28406"/>
    <cfRule type="duplicateValues" dxfId="26925" priority="28407"/>
    <cfRule type="duplicateValues" dxfId="26924" priority="28408"/>
    <cfRule type="duplicateValues" dxfId="26923" priority="28409"/>
    <cfRule type="duplicateValues" dxfId="26922" priority="28410"/>
    <cfRule type="duplicateValues" dxfId="26921" priority="28411"/>
    <cfRule type="duplicateValues" dxfId="26920" priority="28412"/>
    <cfRule type="duplicateValues" dxfId="26919" priority="28413"/>
    <cfRule type="duplicateValues" dxfId="26918" priority="28414"/>
    <cfRule type="duplicateValues" dxfId="26917" priority="28415"/>
    <cfRule type="duplicateValues" dxfId="26916" priority="28416"/>
    <cfRule type="duplicateValues" dxfId="26915" priority="28417"/>
    <cfRule type="duplicateValues" dxfId="26914" priority="28418"/>
    <cfRule type="duplicateValues" dxfId="26913" priority="28419"/>
    <cfRule type="duplicateValues" dxfId="26912" priority="28420"/>
    <cfRule type="duplicateValues" dxfId="26911" priority="28421"/>
    <cfRule type="duplicateValues" dxfId="26910" priority="28422"/>
    <cfRule type="duplicateValues" dxfId="26909" priority="28423"/>
    <cfRule type="duplicateValues" dxfId="26908" priority="28424"/>
    <cfRule type="duplicateValues" dxfId="26907" priority="28425"/>
    <cfRule type="duplicateValues" dxfId="26906" priority="28426"/>
    <cfRule type="duplicateValues" dxfId="26905" priority="28427"/>
    <cfRule type="duplicateValues" dxfId="26904" priority="28428"/>
    <cfRule type="duplicateValues" dxfId="26903" priority="28429"/>
    <cfRule type="duplicateValues" dxfId="26902" priority="28430"/>
    <cfRule type="duplicateValues" dxfId="26901" priority="28431"/>
    <cfRule type="duplicateValues" dxfId="26900" priority="28432"/>
    <cfRule type="duplicateValues" dxfId="26899" priority="28433"/>
    <cfRule type="duplicateValues" dxfId="26898" priority="28434"/>
    <cfRule type="duplicateValues" dxfId="26897" priority="28435"/>
    <cfRule type="duplicateValues" dxfId="26896" priority="28436"/>
    <cfRule type="duplicateValues" dxfId="26895" priority="28437"/>
    <cfRule type="duplicateValues" dxfId="26894" priority="28438"/>
    <cfRule type="duplicateValues" dxfId="26893" priority="28439"/>
    <cfRule type="duplicateValues" dxfId="26892" priority="28440"/>
    <cfRule type="duplicateValues" dxfId="26891" priority="28441"/>
    <cfRule type="duplicateValues" dxfId="26890" priority="28442"/>
    <cfRule type="duplicateValues" dxfId="26889" priority="28443"/>
    <cfRule type="duplicateValues" dxfId="26888" priority="28444"/>
    <cfRule type="duplicateValues" dxfId="26887" priority="28445"/>
    <cfRule type="duplicateValues" dxfId="26886" priority="28446"/>
    <cfRule type="duplicateValues" dxfId="26885" priority="28447"/>
    <cfRule type="duplicateValues" dxfId="26884" priority="28448"/>
    <cfRule type="duplicateValues" dxfId="26883" priority="28449"/>
    <cfRule type="duplicateValues" dxfId="26882" priority="28450"/>
    <cfRule type="duplicateValues" dxfId="26881" priority="28451"/>
    <cfRule type="duplicateValues" dxfId="26880" priority="28452"/>
    <cfRule type="duplicateValues" dxfId="26879" priority="28453"/>
    <cfRule type="duplicateValues" dxfId="26878" priority="28454"/>
    <cfRule type="duplicateValues" dxfId="26877" priority="28455"/>
    <cfRule type="duplicateValues" dxfId="26876" priority="28456"/>
    <cfRule type="duplicateValues" dxfId="26875" priority="28457"/>
    <cfRule type="duplicateValues" dxfId="26874" priority="28458"/>
    <cfRule type="duplicateValues" dxfId="26873" priority="28459"/>
    <cfRule type="duplicateValues" dxfId="26872" priority="28460"/>
    <cfRule type="duplicateValues" dxfId="26871" priority="28461"/>
    <cfRule type="duplicateValues" dxfId="26870" priority="28462"/>
    <cfRule type="duplicateValues" dxfId="26869" priority="28463"/>
    <cfRule type="duplicateValues" dxfId="26868" priority="28464"/>
    <cfRule type="duplicateValues" dxfId="26867" priority="28465"/>
    <cfRule type="duplicateValues" dxfId="26866" priority="28466"/>
    <cfRule type="duplicateValues" dxfId="26865" priority="28467"/>
    <cfRule type="duplicateValues" dxfId="26864" priority="28468"/>
    <cfRule type="duplicateValues" dxfId="26863" priority="28469"/>
    <cfRule type="duplicateValues" dxfId="26862" priority="28470"/>
  </conditionalFormatting>
  <conditionalFormatting sqref="C195:C198">
    <cfRule type="duplicateValues" dxfId="26861" priority="8952"/>
    <cfRule type="duplicateValues" dxfId="26860" priority="8953"/>
    <cfRule type="duplicateValues" dxfId="26859" priority="8954"/>
    <cfRule type="duplicateValues" dxfId="26858" priority="8955"/>
    <cfRule type="duplicateValues" dxfId="26857" priority="8956"/>
    <cfRule type="duplicateValues" dxfId="26856" priority="8957"/>
    <cfRule type="duplicateValues" dxfId="26855" priority="8958"/>
    <cfRule type="duplicateValues" dxfId="26854" priority="8959"/>
    <cfRule type="duplicateValues" dxfId="26853" priority="8960"/>
    <cfRule type="duplicateValues" dxfId="26852" priority="8961"/>
    <cfRule type="duplicateValues" dxfId="26851" priority="8962"/>
    <cfRule type="duplicateValues" dxfId="26850" priority="8963"/>
    <cfRule type="duplicateValues" dxfId="26849" priority="8964"/>
    <cfRule type="duplicateValues" dxfId="26848" priority="8965"/>
    <cfRule type="duplicateValues" dxfId="26847" priority="8966"/>
    <cfRule type="duplicateValues" dxfId="26846" priority="8967"/>
    <cfRule type="duplicateValues" dxfId="26845" priority="8968"/>
    <cfRule type="duplicateValues" dxfId="26844" priority="8969"/>
    <cfRule type="duplicateValues" dxfId="26843" priority="8970"/>
    <cfRule type="duplicateValues" dxfId="26842" priority="8971"/>
    <cfRule type="duplicateValues" dxfId="26841" priority="8972"/>
    <cfRule type="duplicateValues" dxfId="26840" priority="8973"/>
    <cfRule type="duplicateValues" dxfId="26839" priority="8974"/>
    <cfRule type="duplicateValues" dxfId="26838" priority="8975"/>
    <cfRule type="duplicateValues" dxfId="26837" priority="8976"/>
    <cfRule type="duplicateValues" dxfId="26836" priority="8977"/>
    <cfRule type="duplicateValues" dxfId="26835" priority="8978"/>
    <cfRule type="duplicateValues" dxfId="26834" priority="8979"/>
    <cfRule type="duplicateValues" dxfId="26833" priority="8980"/>
    <cfRule type="duplicateValues" dxfId="26832" priority="8981"/>
    <cfRule type="duplicateValues" dxfId="26831" priority="8982"/>
    <cfRule type="duplicateValues" dxfId="26830" priority="8983"/>
    <cfRule type="duplicateValues" dxfId="26829" priority="8984"/>
    <cfRule type="duplicateValues" dxfId="26828" priority="8985"/>
    <cfRule type="duplicateValues" dxfId="26827" priority="8986"/>
    <cfRule type="duplicateValues" dxfId="26826" priority="8987"/>
    <cfRule type="duplicateValues" dxfId="26825" priority="8988"/>
    <cfRule type="duplicateValues" dxfId="26824" priority="8989"/>
    <cfRule type="duplicateValues" dxfId="26823" priority="8990"/>
    <cfRule type="duplicateValues" dxfId="26822" priority="8991"/>
    <cfRule type="duplicateValues" dxfId="26821" priority="8992"/>
    <cfRule type="duplicateValues" dxfId="26820" priority="8993"/>
    <cfRule type="duplicateValues" dxfId="26819" priority="8994"/>
    <cfRule type="duplicateValues" dxfId="26818" priority="8995"/>
    <cfRule type="duplicateValues" dxfId="26817" priority="8996"/>
    <cfRule type="duplicateValues" dxfId="26816" priority="8997"/>
    <cfRule type="duplicateValues" dxfId="26815" priority="8998"/>
    <cfRule type="duplicateValues" dxfId="26814" priority="8999"/>
    <cfRule type="duplicateValues" dxfId="26813" priority="9000"/>
    <cfRule type="duplicateValues" dxfId="26812" priority="9001"/>
    <cfRule type="duplicateValues" dxfId="26811" priority="9002"/>
    <cfRule type="duplicateValues" dxfId="26810" priority="9003"/>
    <cfRule type="duplicateValues" dxfId="26809" priority="9004"/>
    <cfRule type="duplicateValues" dxfId="26808" priority="9005"/>
    <cfRule type="duplicateValues" dxfId="26807" priority="9006"/>
    <cfRule type="duplicateValues" dxfId="26806" priority="9007"/>
    <cfRule type="duplicateValues" dxfId="26805" priority="9008"/>
    <cfRule type="duplicateValues" dxfId="26804" priority="9009"/>
    <cfRule type="duplicateValues" dxfId="26803" priority="9010"/>
    <cfRule type="duplicateValues" dxfId="26802" priority="9011"/>
    <cfRule type="duplicateValues" dxfId="26801" priority="9012"/>
    <cfRule type="duplicateValues" dxfId="26800" priority="9013"/>
    <cfRule type="duplicateValues" dxfId="26799" priority="9014"/>
    <cfRule type="duplicateValues" dxfId="26798" priority="9015"/>
    <cfRule type="duplicateValues" dxfId="26797" priority="9016"/>
    <cfRule type="duplicateValues" dxfId="26796" priority="9017"/>
    <cfRule type="duplicateValues" dxfId="26795" priority="9018"/>
    <cfRule type="duplicateValues" dxfId="26794" priority="9019"/>
    <cfRule type="duplicateValues" dxfId="26793" priority="9020"/>
    <cfRule type="duplicateValues" dxfId="26792" priority="9021"/>
    <cfRule type="duplicateValues" dxfId="26791" priority="9022"/>
    <cfRule type="duplicateValues" dxfId="26790" priority="9023"/>
    <cfRule type="duplicateValues" dxfId="26789" priority="9024"/>
    <cfRule type="duplicateValues" dxfId="26788" priority="9025"/>
    <cfRule type="duplicateValues" dxfId="26787" priority="9026"/>
    <cfRule type="duplicateValues" dxfId="26786" priority="9027"/>
    <cfRule type="duplicateValues" dxfId="26785" priority="9028"/>
    <cfRule type="duplicateValues" dxfId="26784" priority="9029"/>
    <cfRule type="duplicateValues" dxfId="26783" priority="9030"/>
    <cfRule type="duplicateValues" dxfId="26782" priority="9031"/>
    <cfRule type="duplicateValues" dxfId="26781" priority="9032"/>
    <cfRule type="duplicateValues" dxfId="26780" priority="9033"/>
    <cfRule type="duplicateValues" dxfId="26779" priority="9034"/>
    <cfRule type="duplicateValues" dxfId="26778" priority="9035"/>
    <cfRule type="duplicateValues" dxfId="26777" priority="9036"/>
    <cfRule type="duplicateValues" dxfId="26776" priority="9037"/>
    <cfRule type="duplicateValues" dxfId="26775" priority="9038"/>
    <cfRule type="duplicateValues" dxfId="26774" priority="9039"/>
    <cfRule type="duplicateValues" dxfId="26773" priority="9040"/>
    <cfRule type="duplicateValues" dxfId="26772" priority="9041"/>
    <cfRule type="duplicateValues" dxfId="26771" priority="9042"/>
    <cfRule type="duplicateValues" dxfId="26770" priority="9043"/>
    <cfRule type="duplicateValues" dxfId="26769" priority="9044"/>
    <cfRule type="duplicateValues" dxfId="26768" priority="9045"/>
    <cfRule type="duplicateValues" dxfId="26767" priority="9046"/>
    <cfRule type="duplicateValues" dxfId="26766" priority="9047"/>
    <cfRule type="duplicateValues" dxfId="26765" priority="9048"/>
    <cfRule type="duplicateValues" dxfId="26764" priority="9049"/>
    <cfRule type="duplicateValues" dxfId="26763" priority="9050"/>
    <cfRule type="duplicateValues" dxfId="26762" priority="9051"/>
    <cfRule type="duplicateValues" dxfId="26761" priority="9052"/>
    <cfRule type="duplicateValues" dxfId="26760" priority="9053"/>
    <cfRule type="duplicateValues" dxfId="26759" priority="9054"/>
    <cfRule type="duplicateValues" dxfId="26758" priority="9055"/>
    <cfRule type="duplicateValues" dxfId="26757" priority="9056"/>
    <cfRule type="duplicateValues" dxfId="26756" priority="9057"/>
    <cfRule type="duplicateValues" dxfId="26755" priority="9058"/>
    <cfRule type="duplicateValues" dxfId="26754" priority="9059"/>
    <cfRule type="duplicateValues" dxfId="26753" priority="9060"/>
    <cfRule type="duplicateValues" dxfId="26752" priority="9061"/>
    <cfRule type="duplicateValues" dxfId="26751" priority="9062"/>
    <cfRule type="duplicateValues" dxfId="26750" priority="9063"/>
    <cfRule type="duplicateValues" dxfId="26749" priority="9064"/>
    <cfRule type="duplicateValues" dxfId="26748" priority="9065"/>
    <cfRule type="duplicateValues" dxfId="26747" priority="9066"/>
    <cfRule type="duplicateValues" dxfId="26746" priority="9067"/>
    <cfRule type="duplicateValues" dxfId="26745" priority="9068"/>
    <cfRule type="duplicateValues" dxfId="26744" priority="9069"/>
    <cfRule type="duplicateValues" dxfId="26743" priority="9070"/>
    <cfRule type="duplicateValues" dxfId="26742" priority="9071"/>
    <cfRule type="duplicateValues" dxfId="26741" priority="9072"/>
    <cfRule type="duplicateValues" dxfId="26740" priority="9073"/>
    <cfRule type="duplicateValues" dxfId="26739" priority="9074"/>
    <cfRule type="duplicateValues" dxfId="26738" priority="9075"/>
    <cfRule type="duplicateValues" dxfId="26737" priority="9076"/>
    <cfRule type="duplicateValues" dxfId="26736" priority="9077"/>
    <cfRule type="duplicateValues" dxfId="26735" priority="9078"/>
    <cfRule type="duplicateValues" dxfId="26734" priority="9079"/>
    <cfRule type="duplicateValues" dxfId="26733" priority="9080"/>
    <cfRule type="duplicateValues" dxfId="26732" priority="9081"/>
    <cfRule type="duplicateValues" dxfId="26731" priority="9082"/>
    <cfRule type="duplicateValues" dxfId="26730" priority="9083"/>
    <cfRule type="duplicateValues" dxfId="26729" priority="9084"/>
    <cfRule type="duplicateValues" dxfId="26728" priority="9085"/>
    <cfRule type="duplicateValues" dxfId="26727" priority="9086"/>
    <cfRule type="duplicateValues" dxfId="26726" priority="9087"/>
    <cfRule type="duplicateValues" dxfId="26725" priority="9088"/>
    <cfRule type="duplicateValues" dxfId="26724" priority="9089"/>
    <cfRule type="duplicateValues" dxfId="26723" priority="9090"/>
    <cfRule type="duplicateValues" dxfId="26722" priority="9091"/>
    <cfRule type="duplicateValues" dxfId="26721" priority="9092"/>
    <cfRule type="duplicateValues" dxfId="26720" priority="9093"/>
    <cfRule type="duplicateValues" dxfId="26719" priority="9094"/>
    <cfRule type="duplicateValues" dxfId="26718" priority="9095"/>
    <cfRule type="duplicateValues" dxfId="26717" priority="9096"/>
    <cfRule type="duplicateValues" dxfId="26716" priority="9097"/>
    <cfRule type="duplicateValues" dxfId="26715" priority="9098"/>
    <cfRule type="duplicateValues" dxfId="26714" priority="9099"/>
    <cfRule type="duplicateValues" dxfId="26713" priority="9100"/>
    <cfRule type="duplicateValues" dxfId="26712" priority="9101"/>
    <cfRule type="duplicateValues" dxfId="26711" priority="9102"/>
    <cfRule type="duplicateValues" dxfId="26710" priority="9103"/>
    <cfRule type="duplicateValues" dxfId="26709" priority="9104"/>
    <cfRule type="duplicateValues" dxfId="26708" priority="9105"/>
    <cfRule type="duplicateValues" dxfId="26707" priority="9106"/>
    <cfRule type="duplicateValues" dxfId="26706" priority="9107"/>
    <cfRule type="duplicateValues" dxfId="26705" priority="9108"/>
    <cfRule type="duplicateValues" dxfId="26704" priority="9109"/>
    <cfRule type="duplicateValues" dxfId="26703" priority="9110"/>
    <cfRule type="duplicateValues" dxfId="26702" priority="9111"/>
    <cfRule type="duplicateValues" dxfId="26701" priority="9112"/>
    <cfRule type="duplicateValues" dxfId="26700" priority="9113"/>
    <cfRule type="duplicateValues" dxfId="26699" priority="9114"/>
    <cfRule type="duplicateValues" dxfId="26698" priority="9115"/>
    <cfRule type="duplicateValues" dxfId="26697" priority="9116"/>
    <cfRule type="duplicateValues" dxfId="26696" priority="9117"/>
    <cfRule type="duplicateValues" dxfId="26695" priority="9118"/>
    <cfRule type="duplicateValues" dxfId="26694" priority="9119"/>
    <cfRule type="duplicateValues" dxfId="26693" priority="9120"/>
    <cfRule type="duplicateValues" dxfId="26692" priority="9121"/>
    <cfRule type="duplicateValues" dxfId="26691" priority="9122"/>
    <cfRule type="duplicateValues" dxfId="26690" priority="9123"/>
    <cfRule type="duplicateValues" dxfId="26689" priority="9124"/>
    <cfRule type="duplicateValues" dxfId="26688" priority="9125"/>
    <cfRule type="duplicateValues" dxfId="26687" priority="9126"/>
    <cfRule type="duplicateValues" dxfId="26686" priority="9127"/>
    <cfRule type="duplicateValues" dxfId="26685" priority="9128"/>
    <cfRule type="duplicateValues" dxfId="26684" priority="9129"/>
    <cfRule type="duplicateValues" dxfId="26683" priority="9130"/>
    <cfRule type="duplicateValues" dxfId="26682" priority="9131"/>
    <cfRule type="duplicateValues" dxfId="26681" priority="9132"/>
    <cfRule type="duplicateValues" dxfId="26680" priority="9133"/>
    <cfRule type="duplicateValues" dxfId="26679" priority="9134"/>
    <cfRule type="duplicateValues" dxfId="26678" priority="9135"/>
    <cfRule type="duplicateValues" dxfId="26677" priority="9136"/>
    <cfRule type="duplicateValues" dxfId="26676" priority="9137"/>
    <cfRule type="duplicateValues" dxfId="26675" priority="9138"/>
    <cfRule type="duplicateValues" dxfId="26674" priority="9139"/>
    <cfRule type="duplicateValues" dxfId="26673" priority="9140"/>
    <cfRule type="duplicateValues" dxfId="26672" priority="9141"/>
    <cfRule type="duplicateValues" dxfId="26671" priority="9142"/>
    <cfRule type="duplicateValues" dxfId="26670" priority="9143"/>
    <cfRule type="duplicateValues" dxfId="26669" priority="9144"/>
    <cfRule type="duplicateValues" dxfId="26668" priority="9145"/>
    <cfRule type="duplicateValues" dxfId="26667" priority="9146"/>
    <cfRule type="duplicateValues" dxfId="26666" priority="9147"/>
    <cfRule type="duplicateValues" dxfId="26665" priority="9148"/>
    <cfRule type="duplicateValues" dxfId="26664" priority="9149"/>
    <cfRule type="duplicateValues" dxfId="26663" priority="9150"/>
    <cfRule type="duplicateValues" dxfId="26662" priority="9151"/>
    <cfRule type="duplicateValues" dxfId="26661" priority="9152"/>
    <cfRule type="duplicateValues" dxfId="26660" priority="9153"/>
    <cfRule type="duplicateValues" dxfId="26659" priority="9154"/>
    <cfRule type="duplicateValues" dxfId="26658" priority="9155"/>
    <cfRule type="duplicateValues" dxfId="26657" priority="9156"/>
    <cfRule type="duplicateValues" dxfId="26656" priority="9157"/>
    <cfRule type="duplicateValues" dxfId="26655" priority="9158"/>
    <cfRule type="duplicateValues" dxfId="26654" priority="9159"/>
    <cfRule type="duplicateValues" dxfId="26653" priority="9160"/>
    <cfRule type="duplicateValues" dxfId="26652" priority="9161"/>
    <cfRule type="duplicateValues" dxfId="26651" priority="9162"/>
    <cfRule type="duplicateValues" dxfId="26650" priority="9163"/>
    <cfRule type="duplicateValues" dxfId="26649" priority="9164"/>
    <cfRule type="duplicateValues" dxfId="26648" priority="9165"/>
    <cfRule type="duplicateValues" dxfId="26647" priority="9166"/>
    <cfRule type="duplicateValues" dxfId="26646" priority="9167"/>
    <cfRule type="duplicateValues" dxfId="26645" priority="9168"/>
    <cfRule type="duplicateValues" dxfId="26644" priority="9169"/>
    <cfRule type="duplicateValues" dxfId="26643" priority="9170"/>
    <cfRule type="duplicateValues" dxfId="26642" priority="9171"/>
    <cfRule type="duplicateValues" dxfId="26641" priority="9172"/>
    <cfRule type="duplicateValues" dxfId="26640" priority="9173"/>
    <cfRule type="duplicateValues" dxfId="26639" priority="9174"/>
    <cfRule type="duplicateValues" dxfId="26638" priority="9175"/>
    <cfRule type="duplicateValues" dxfId="26637" priority="9176"/>
    <cfRule type="duplicateValues" dxfId="26636" priority="9177"/>
    <cfRule type="duplicateValues" dxfId="26635" priority="9178"/>
    <cfRule type="duplicateValues" dxfId="26634" priority="9179"/>
    <cfRule type="duplicateValues" dxfId="26633" priority="9180"/>
    <cfRule type="duplicateValues" dxfId="26632" priority="9181"/>
    <cfRule type="duplicateValues" dxfId="26631" priority="9182"/>
    <cfRule type="duplicateValues" dxfId="26630" priority="9183"/>
    <cfRule type="duplicateValues" dxfId="26629" priority="9184"/>
    <cfRule type="duplicateValues" dxfId="26628" priority="9185"/>
    <cfRule type="duplicateValues" dxfId="26627" priority="9186"/>
    <cfRule type="duplicateValues" dxfId="26626" priority="9187"/>
    <cfRule type="duplicateValues" dxfId="26625" priority="9188"/>
    <cfRule type="duplicateValues" dxfId="26624" priority="9189"/>
    <cfRule type="duplicateValues" dxfId="26623" priority="9190"/>
    <cfRule type="duplicateValues" dxfId="26622" priority="9191"/>
    <cfRule type="duplicateValues" dxfId="26621" priority="9192"/>
    <cfRule type="duplicateValues" dxfId="26620" priority="9193"/>
    <cfRule type="duplicateValues" dxfId="26619" priority="9194"/>
    <cfRule type="duplicateValues" dxfId="26618" priority="9195"/>
    <cfRule type="duplicateValues" dxfId="26617" priority="9196"/>
    <cfRule type="duplicateValues" dxfId="26616" priority="9197"/>
    <cfRule type="duplicateValues" dxfId="26615" priority="9198"/>
    <cfRule type="duplicateValues" dxfId="26614" priority="9199"/>
    <cfRule type="duplicateValues" dxfId="26613" priority="9200"/>
    <cfRule type="duplicateValues" dxfId="26612" priority="9201"/>
    <cfRule type="duplicateValues" dxfId="26611" priority="9202"/>
    <cfRule type="duplicateValues" dxfId="26610" priority="9203"/>
    <cfRule type="duplicateValues" dxfId="26609" priority="9204"/>
    <cfRule type="duplicateValues" dxfId="26608" priority="9205"/>
    <cfRule type="duplicateValues" dxfId="26607" priority="9206"/>
    <cfRule type="duplicateValues" dxfId="26606" priority="9207"/>
    <cfRule type="duplicateValues" dxfId="26605" priority="9208"/>
    <cfRule type="duplicateValues" dxfId="26604" priority="9209"/>
    <cfRule type="duplicateValues" dxfId="26603" priority="9210"/>
    <cfRule type="duplicateValues" dxfId="26602" priority="9211"/>
    <cfRule type="duplicateValues" dxfId="26601" priority="9212"/>
    <cfRule type="duplicateValues" dxfId="26600" priority="9213"/>
    <cfRule type="duplicateValues" dxfId="26599" priority="9214"/>
    <cfRule type="duplicateValues" dxfId="26598" priority="9215"/>
    <cfRule type="duplicateValues" dxfId="26597" priority="9216"/>
    <cfRule type="duplicateValues" dxfId="26596" priority="9217"/>
    <cfRule type="duplicateValues" dxfId="26595" priority="9218"/>
    <cfRule type="duplicateValues" dxfId="26594" priority="9219"/>
    <cfRule type="duplicateValues" dxfId="26593" priority="9220"/>
    <cfRule type="duplicateValues" dxfId="26592" priority="9221"/>
    <cfRule type="duplicateValues" dxfId="26591" priority="9222"/>
    <cfRule type="duplicateValues" dxfId="26590" priority="9223"/>
    <cfRule type="duplicateValues" dxfId="26589" priority="9224"/>
    <cfRule type="duplicateValues" dxfId="26588" priority="9225"/>
    <cfRule type="duplicateValues" dxfId="26587" priority="9226"/>
    <cfRule type="duplicateValues" dxfId="26586" priority="9227"/>
    <cfRule type="duplicateValues" dxfId="26585" priority="9228"/>
    <cfRule type="duplicateValues" dxfId="26584" priority="9229"/>
    <cfRule type="duplicateValues" dxfId="26583" priority="9230"/>
    <cfRule type="duplicateValues" dxfId="26582" priority="9231"/>
    <cfRule type="duplicateValues" dxfId="26581" priority="9232"/>
    <cfRule type="duplicateValues" dxfId="26580" priority="9233"/>
    <cfRule type="duplicateValues" dxfId="26579" priority="9234"/>
    <cfRule type="duplicateValues" dxfId="26578" priority="9235"/>
    <cfRule type="duplicateValues" dxfId="26577" priority="9236"/>
    <cfRule type="duplicateValues" dxfId="26576" priority="9237"/>
    <cfRule type="duplicateValues" dxfId="26575" priority="9238"/>
    <cfRule type="duplicateValues" dxfId="26574" priority="9239"/>
    <cfRule type="duplicateValues" dxfId="26573" priority="9240"/>
    <cfRule type="duplicateValues" dxfId="26572" priority="9241"/>
    <cfRule type="duplicateValues" dxfId="26571" priority="9242"/>
    <cfRule type="duplicateValues" dxfId="26570" priority="9243"/>
  </conditionalFormatting>
  <conditionalFormatting sqref="C199">
    <cfRule type="duplicateValues" dxfId="26569" priority="27889"/>
    <cfRule type="duplicateValues" dxfId="26568" priority="27890"/>
    <cfRule type="duplicateValues" dxfId="26567" priority="27891"/>
    <cfRule type="duplicateValues" dxfId="26566" priority="27892"/>
    <cfRule type="duplicateValues" dxfId="26565" priority="27893"/>
    <cfRule type="duplicateValues" dxfId="26564" priority="27894"/>
    <cfRule type="duplicateValues" dxfId="26563" priority="27895"/>
    <cfRule type="duplicateValues" dxfId="26562" priority="27896"/>
    <cfRule type="duplicateValues" dxfId="26561" priority="27897"/>
    <cfRule type="duplicateValues" dxfId="26560" priority="27898"/>
    <cfRule type="duplicateValues" dxfId="26559" priority="27899"/>
    <cfRule type="duplicateValues" dxfId="26558" priority="27900"/>
    <cfRule type="duplicateValues" dxfId="26557" priority="27901"/>
    <cfRule type="duplicateValues" dxfId="26556" priority="27902"/>
    <cfRule type="duplicateValues" dxfId="26555" priority="27903"/>
    <cfRule type="duplicateValues" dxfId="26554" priority="27904"/>
    <cfRule type="duplicateValues" dxfId="26553" priority="27905"/>
    <cfRule type="duplicateValues" dxfId="26552" priority="27906"/>
    <cfRule type="duplicateValues" dxfId="26551" priority="27907"/>
    <cfRule type="duplicateValues" dxfId="26550" priority="27908"/>
    <cfRule type="duplicateValues" dxfId="26549" priority="27909"/>
    <cfRule type="duplicateValues" dxfId="26548" priority="27910"/>
    <cfRule type="duplicateValues" dxfId="26547" priority="27911"/>
    <cfRule type="duplicateValues" dxfId="26546" priority="27912"/>
    <cfRule type="duplicateValues" dxfId="26545" priority="27913"/>
    <cfRule type="duplicateValues" dxfId="26544" priority="27914"/>
    <cfRule type="duplicateValues" dxfId="26543" priority="27915"/>
    <cfRule type="duplicateValues" dxfId="26542" priority="27916"/>
    <cfRule type="duplicateValues" dxfId="26541" priority="27917"/>
    <cfRule type="duplicateValues" dxfId="26540" priority="27918"/>
    <cfRule type="duplicateValues" dxfId="26539" priority="27919"/>
    <cfRule type="duplicateValues" dxfId="26538" priority="27920"/>
    <cfRule type="duplicateValues" dxfId="26537" priority="27921"/>
    <cfRule type="duplicateValues" dxfId="26536" priority="27922"/>
    <cfRule type="duplicateValues" dxfId="26535" priority="27923"/>
    <cfRule type="duplicateValues" dxfId="26534" priority="27924"/>
    <cfRule type="duplicateValues" dxfId="26533" priority="27925"/>
    <cfRule type="duplicateValues" dxfId="26532" priority="27926"/>
    <cfRule type="duplicateValues" dxfId="26531" priority="27927"/>
    <cfRule type="duplicateValues" dxfId="26530" priority="27928"/>
    <cfRule type="duplicateValues" dxfId="26529" priority="27929"/>
    <cfRule type="duplicateValues" dxfId="26528" priority="27930"/>
    <cfRule type="duplicateValues" dxfId="26527" priority="27931"/>
    <cfRule type="duplicateValues" dxfId="26526" priority="27932"/>
    <cfRule type="duplicateValues" dxfId="26525" priority="27933"/>
    <cfRule type="duplicateValues" dxfId="26524" priority="27934"/>
    <cfRule type="duplicateValues" dxfId="26523" priority="27935"/>
    <cfRule type="duplicateValues" dxfId="26522" priority="27936"/>
    <cfRule type="duplicateValues" dxfId="26521" priority="27937"/>
    <cfRule type="duplicateValues" dxfId="26520" priority="27938"/>
    <cfRule type="duplicateValues" dxfId="26519" priority="27939"/>
    <cfRule type="duplicateValues" dxfId="26518" priority="27940"/>
    <cfRule type="duplicateValues" dxfId="26517" priority="27941"/>
    <cfRule type="duplicateValues" dxfId="26516" priority="27942"/>
    <cfRule type="duplicateValues" dxfId="26515" priority="27943"/>
    <cfRule type="duplicateValues" dxfId="26514" priority="27944"/>
    <cfRule type="duplicateValues" dxfId="26513" priority="27945"/>
    <cfRule type="duplicateValues" dxfId="26512" priority="27946"/>
    <cfRule type="duplicateValues" dxfId="26511" priority="27947"/>
    <cfRule type="duplicateValues" dxfId="26510" priority="27948"/>
    <cfRule type="duplicateValues" dxfId="26509" priority="27949"/>
    <cfRule type="duplicateValues" dxfId="26508" priority="27950"/>
    <cfRule type="duplicateValues" dxfId="26507" priority="27951"/>
    <cfRule type="duplicateValues" dxfId="26506" priority="27952"/>
    <cfRule type="duplicateValues" dxfId="26505" priority="27953"/>
    <cfRule type="duplicateValues" dxfId="26504" priority="27954"/>
    <cfRule type="duplicateValues" dxfId="26503" priority="27955"/>
    <cfRule type="duplicateValues" dxfId="26502" priority="27956"/>
    <cfRule type="duplicateValues" dxfId="26501" priority="27957"/>
    <cfRule type="duplicateValues" dxfId="26500" priority="27958"/>
    <cfRule type="duplicateValues" dxfId="26499" priority="27959"/>
    <cfRule type="duplicateValues" dxfId="26498" priority="27960"/>
    <cfRule type="duplicateValues" dxfId="26497" priority="27961"/>
    <cfRule type="duplicateValues" dxfId="26496" priority="27962"/>
    <cfRule type="duplicateValues" dxfId="26495" priority="27963"/>
    <cfRule type="duplicateValues" dxfId="26494" priority="27964"/>
    <cfRule type="duplicateValues" dxfId="26493" priority="27965"/>
    <cfRule type="duplicateValues" dxfId="26492" priority="27966"/>
    <cfRule type="duplicateValues" dxfId="26491" priority="27967"/>
    <cfRule type="duplicateValues" dxfId="26490" priority="27968"/>
    <cfRule type="duplicateValues" dxfId="26489" priority="27969"/>
    <cfRule type="duplicateValues" dxfId="26488" priority="27970"/>
    <cfRule type="duplicateValues" dxfId="26487" priority="27971"/>
    <cfRule type="duplicateValues" dxfId="26486" priority="27972"/>
    <cfRule type="duplicateValues" dxfId="26485" priority="27973"/>
    <cfRule type="duplicateValues" dxfId="26484" priority="27974"/>
    <cfRule type="duplicateValues" dxfId="26483" priority="27975"/>
    <cfRule type="duplicateValues" dxfId="26482" priority="27976"/>
    <cfRule type="duplicateValues" dxfId="26481" priority="27977"/>
    <cfRule type="duplicateValues" dxfId="26480" priority="27978"/>
    <cfRule type="duplicateValues" dxfId="26479" priority="27979"/>
    <cfRule type="duplicateValues" dxfId="26478" priority="27980"/>
    <cfRule type="duplicateValues" dxfId="26477" priority="27981"/>
    <cfRule type="duplicateValues" dxfId="26476" priority="27982"/>
    <cfRule type="duplicateValues" dxfId="26475" priority="27983"/>
    <cfRule type="duplicateValues" dxfId="26474" priority="27984"/>
    <cfRule type="duplicateValues" dxfId="26473" priority="27985"/>
    <cfRule type="duplicateValues" dxfId="26472" priority="27986"/>
    <cfRule type="duplicateValues" dxfId="26471" priority="27987"/>
    <cfRule type="duplicateValues" dxfId="26470" priority="27988"/>
    <cfRule type="duplicateValues" dxfId="26469" priority="27989"/>
    <cfRule type="duplicateValues" dxfId="26468" priority="27990"/>
    <cfRule type="duplicateValues" dxfId="26467" priority="27991"/>
    <cfRule type="duplicateValues" dxfId="26466" priority="27992"/>
    <cfRule type="duplicateValues" dxfId="26465" priority="27993"/>
    <cfRule type="duplicateValues" dxfId="26464" priority="27994"/>
    <cfRule type="duplicateValues" dxfId="26463" priority="27995"/>
    <cfRule type="duplicateValues" dxfId="26462" priority="27996"/>
    <cfRule type="duplicateValues" dxfId="26461" priority="27997"/>
    <cfRule type="duplicateValues" dxfId="26460" priority="27998"/>
    <cfRule type="duplicateValues" dxfId="26459" priority="27999"/>
    <cfRule type="duplicateValues" dxfId="26458" priority="28000"/>
    <cfRule type="duplicateValues" dxfId="26457" priority="28001"/>
    <cfRule type="duplicateValues" dxfId="26456" priority="28002"/>
    <cfRule type="duplicateValues" dxfId="26455" priority="28003"/>
    <cfRule type="duplicateValues" dxfId="26454" priority="28004"/>
    <cfRule type="duplicateValues" dxfId="26453" priority="28005"/>
    <cfRule type="duplicateValues" dxfId="26452" priority="28006"/>
    <cfRule type="duplicateValues" dxfId="26451" priority="28007"/>
    <cfRule type="duplicateValues" dxfId="26450" priority="28008"/>
    <cfRule type="duplicateValues" dxfId="26449" priority="28009"/>
    <cfRule type="duplicateValues" dxfId="26448" priority="28010"/>
    <cfRule type="duplicateValues" dxfId="26447" priority="28011"/>
    <cfRule type="duplicateValues" dxfId="26446" priority="28012"/>
    <cfRule type="duplicateValues" dxfId="26445" priority="28013"/>
    <cfRule type="duplicateValues" dxfId="26444" priority="28014"/>
    <cfRule type="duplicateValues" dxfId="26443" priority="28015"/>
    <cfRule type="duplicateValues" dxfId="26442" priority="28016"/>
    <cfRule type="duplicateValues" dxfId="26441" priority="28017"/>
    <cfRule type="duplicateValues" dxfId="26440" priority="28018"/>
    <cfRule type="duplicateValues" dxfId="26439" priority="28019"/>
    <cfRule type="duplicateValues" dxfId="26438" priority="28020"/>
    <cfRule type="duplicateValues" dxfId="26437" priority="28021"/>
    <cfRule type="duplicateValues" dxfId="26436" priority="28022"/>
    <cfRule type="duplicateValues" dxfId="26435" priority="28023"/>
    <cfRule type="duplicateValues" dxfId="26434" priority="28024"/>
    <cfRule type="duplicateValues" dxfId="26433" priority="28025"/>
    <cfRule type="duplicateValues" dxfId="26432" priority="28026"/>
    <cfRule type="duplicateValues" dxfId="26431" priority="28027"/>
    <cfRule type="duplicateValues" dxfId="26430" priority="28028"/>
    <cfRule type="duplicateValues" dxfId="26429" priority="28029"/>
    <cfRule type="duplicateValues" dxfId="26428" priority="28030"/>
    <cfRule type="duplicateValues" dxfId="26427" priority="28031"/>
    <cfRule type="duplicateValues" dxfId="26426" priority="28032"/>
    <cfRule type="duplicateValues" dxfId="26425" priority="28033"/>
    <cfRule type="duplicateValues" dxfId="26424" priority="28034"/>
    <cfRule type="duplicateValues" dxfId="26423" priority="28035"/>
    <cfRule type="duplicateValues" dxfId="26422" priority="28036"/>
    <cfRule type="duplicateValues" dxfId="26421" priority="28037"/>
    <cfRule type="duplicateValues" dxfId="26420" priority="28038"/>
    <cfRule type="duplicateValues" dxfId="26419" priority="28039"/>
    <cfRule type="duplicateValues" dxfId="26418" priority="28040"/>
    <cfRule type="duplicateValues" dxfId="26417" priority="28041"/>
    <cfRule type="duplicateValues" dxfId="26416" priority="28042"/>
    <cfRule type="duplicateValues" dxfId="26415" priority="28043"/>
    <cfRule type="duplicateValues" dxfId="26414" priority="28044"/>
    <cfRule type="duplicateValues" dxfId="26413" priority="28045"/>
    <cfRule type="duplicateValues" dxfId="26412" priority="28046"/>
    <cfRule type="duplicateValues" dxfId="26411" priority="28047"/>
    <cfRule type="duplicateValues" dxfId="26410" priority="28048"/>
    <cfRule type="duplicateValues" dxfId="26409" priority="28049"/>
    <cfRule type="duplicateValues" dxfId="26408" priority="28050"/>
    <cfRule type="duplicateValues" dxfId="26407" priority="28051"/>
    <cfRule type="duplicateValues" dxfId="26406" priority="28052"/>
    <cfRule type="duplicateValues" dxfId="26405" priority="28053"/>
    <cfRule type="duplicateValues" dxfId="26404" priority="28054"/>
    <cfRule type="duplicateValues" dxfId="26403" priority="28055"/>
    <cfRule type="duplicateValues" dxfId="26402" priority="28056"/>
    <cfRule type="duplicateValues" dxfId="26401" priority="28057"/>
    <cfRule type="duplicateValues" dxfId="26400" priority="28058"/>
    <cfRule type="duplicateValues" dxfId="26399" priority="28059"/>
    <cfRule type="duplicateValues" dxfId="26398" priority="28060"/>
    <cfRule type="duplicateValues" dxfId="26397" priority="28061"/>
    <cfRule type="duplicateValues" dxfId="26396" priority="28062"/>
    <cfRule type="duplicateValues" dxfId="26395" priority="28063"/>
    <cfRule type="duplicateValues" dxfId="26394" priority="28064"/>
    <cfRule type="duplicateValues" dxfId="26393" priority="28065"/>
    <cfRule type="duplicateValues" dxfId="26392" priority="28066"/>
    <cfRule type="duplicateValues" dxfId="26391" priority="28067"/>
    <cfRule type="duplicateValues" dxfId="26390" priority="28068"/>
    <cfRule type="duplicateValues" dxfId="26389" priority="28069"/>
    <cfRule type="duplicateValues" dxfId="26388" priority="28070"/>
    <cfRule type="duplicateValues" dxfId="26387" priority="28071"/>
    <cfRule type="duplicateValues" dxfId="26386" priority="28072"/>
    <cfRule type="duplicateValues" dxfId="26385" priority="28073"/>
    <cfRule type="duplicateValues" dxfId="26384" priority="28074"/>
    <cfRule type="duplicateValues" dxfId="26383" priority="28075"/>
    <cfRule type="duplicateValues" dxfId="26382" priority="28076"/>
    <cfRule type="duplicateValues" dxfId="26381" priority="28077"/>
    <cfRule type="duplicateValues" dxfId="26380" priority="28078"/>
    <cfRule type="duplicateValues" dxfId="26379" priority="28079"/>
    <cfRule type="duplicateValues" dxfId="26378" priority="28080"/>
    <cfRule type="duplicateValues" dxfId="26377" priority="28081"/>
    <cfRule type="duplicateValues" dxfId="26376" priority="28082"/>
    <cfRule type="duplicateValues" dxfId="26375" priority="28083"/>
    <cfRule type="duplicateValues" dxfId="26374" priority="28084"/>
    <cfRule type="duplicateValues" dxfId="26373" priority="28085"/>
    <cfRule type="duplicateValues" dxfId="26372" priority="28086"/>
    <cfRule type="duplicateValues" dxfId="26371" priority="28087"/>
    <cfRule type="duplicateValues" dxfId="26370" priority="28088"/>
    <cfRule type="duplicateValues" dxfId="26369" priority="28089"/>
    <cfRule type="duplicateValues" dxfId="26368" priority="28090"/>
    <cfRule type="duplicateValues" dxfId="26367" priority="28091"/>
    <cfRule type="duplicateValues" dxfId="26366" priority="28092"/>
    <cfRule type="duplicateValues" dxfId="26365" priority="28093"/>
    <cfRule type="duplicateValues" dxfId="26364" priority="28094"/>
    <cfRule type="duplicateValues" dxfId="26363" priority="28095"/>
    <cfRule type="duplicateValues" dxfId="26362" priority="28096"/>
    <cfRule type="duplicateValues" dxfId="26361" priority="28097"/>
    <cfRule type="duplicateValues" dxfId="26360" priority="28098"/>
    <cfRule type="duplicateValues" dxfId="26359" priority="28099"/>
    <cfRule type="duplicateValues" dxfId="26358" priority="28100"/>
    <cfRule type="duplicateValues" dxfId="26357" priority="28101"/>
    <cfRule type="duplicateValues" dxfId="26356" priority="28102"/>
    <cfRule type="duplicateValues" dxfId="26355" priority="28103"/>
    <cfRule type="duplicateValues" dxfId="26354" priority="28104"/>
    <cfRule type="duplicateValues" dxfId="26353" priority="28105"/>
    <cfRule type="duplicateValues" dxfId="26352" priority="28106"/>
    <cfRule type="duplicateValues" dxfId="26351" priority="28107"/>
    <cfRule type="duplicateValues" dxfId="26350" priority="28108"/>
    <cfRule type="duplicateValues" dxfId="26349" priority="28109"/>
    <cfRule type="duplicateValues" dxfId="26348" priority="28110"/>
    <cfRule type="duplicateValues" dxfId="26347" priority="28111"/>
    <cfRule type="duplicateValues" dxfId="26346" priority="28112"/>
    <cfRule type="duplicateValues" dxfId="26345" priority="28113"/>
    <cfRule type="duplicateValues" dxfId="26344" priority="28114"/>
    <cfRule type="duplicateValues" dxfId="26343" priority="28115"/>
    <cfRule type="duplicateValues" dxfId="26342" priority="28116"/>
    <cfRule type="duplicateValues" dxfId="26341" priority="28117"/>
    <cfRule type="duplicateValues" dxfId="26340" priority="28118"/>
    <cfRule type="duplicateValues" dxfId="26339" priority="28119"/>
    <cfRule type="duplicateValues" dxfId="26338" priority="28120"/>
    <cfRule type="duplicateValues" dxfId="26337" priority="28121"/>
    <cfRule type="duplicateValues" dxfId="26336" priority="28122"/>
    <cfRule type="duplicateValues" dxfId="26335" priority="28123"/>
    <cfRule type="duplicateValues" dxfId="26334" priority="28124"/>
    <cfRule type="duplicateValues" dxfId="26333" priority="28125"/>
    <cfRule type="duplicateValues" dxfId="26332" priority="28126"/>
    <cfRule type="duplicateValues" dxfId="26331" priority="28127"/>
    <cfRule type="duplicateValues" dxfId="26330" priority="28128"/>
    <cfRule type="duplicateValues" dxfId="26329" priority="28129"/>
    <cfRule type="duplicateValues" dxfId="26328" priority="28130"/>
    <cfRule type="duplicateValues" dxfId="26327" priority="28131"/>
    <cfRule type="duplicateValues" dxfId="26326" priority="28132"/>
    <cfRule type="duplicateValues" dxfId="26325" priority="28133"/>
    <cfRule type="duplicateValues" dxfId="26324" priority="28134"/>
    <cfRule type="duplicateValues" dxfId="26323" priority="28135"/>
    <cfRule type="duplicateValues" dxfId="26322" priority="28136"/>
    <cfRule type="duplicateValues" dxfId="26321" priority="28137"/>
    <cfRule type="duplicateValues" dxfId="26320" priority="28138"/>
    <cfRule type="duplicateValues" dxfId="26319" priority="28139"/>
    <cfRule type="duplicateValues" dxfId="26318" priority="28140"/>
    <cfRule type="duplicateValues" dxfId="26317" priority="28141"/>
    <cfRule type="duplicateValues" dxfId="26316" priority="28142"/>
    <cfRule type="duplicateValues" dxfId="26315" priority="28143"/>
    <cfRule type="duplicateValues" dxfId="26314" priority="28144"/>
    <cfRule type="duplicateValues" dxfId="26313" priority="28145"/>
    <cfRule type="duplicateValues" dxfId="26312" priority="28146"/>
    <cfRule type="duplicateValues" dxfId="26311" priority="28147"/>
    <cfRule type="duplicateValues" dxfId="26310" priority="28148"/>
    <cfRule type="duplicateValues" dxfId="26309" priority="28149"/>
    <cfRule type="duplicateValues" dxfId="26308" priority="28150"/>
    <cfRule type="duplicateValues" dxfId="26307" priority="28151"/>
    <cfRule type="duplicateValues" dxfId="26306" priority="28152"/>
    <cfRule type="duplicateValues" dxfId="26305" priority="28153"/>
    <cfRule type="duplicateValues" dxfId="26304" priority="28154"/>
    <cfRule type="duplicateValues" dxfId="26303" priority="28155"/>
    <cfRule type="duplicateValues" dxfId="26302" priority="28156"/>
    <cfRule type="duplicateValues" dxfId="26301" priority="28157"/>
    <cfRule type="duplicateValues" dxfId="26300" priority="28158"/>
    <cfRule type="duplicateValues" dxfId="26299" priority="28159"/>
    <cfRule type="duplicateValues" dxfId="26298" priority="28160"/>
    <cfRule type="duplicateValues" dxfId="26297" priority="28161"/>
    <cfRule type="duplicateValues" dxfId="26296" priority="28162"/>
    <cfRule type="duplicateValues" dxfId="26295" priority="28163"/>
    <cfRule type="duplicateValues" dxfId="26294" priority="28164"/>
    <cfRule type="duplicateValues" dxfId="26293" priority="28165"/>
    <cfRule type="duplicateValues" dxfId="26292" priority="28166"/>
    <cfRule type="duplicateValues" dxfId="26291" priority="28167"/>
    <cfRule type="duplicateValues" dxfId="26290" priority="28168"/>
    <cfRule type="duplicateValues" dxfId="26289" priority="28169"/>
    <cfRule type="duplicateValues" dxfId="26288" priority="28170"/>
    <cfRule type="duplicateValues" dxfId="26287" priority="28171"/>
    <cfRule type="duplicateValues" dxfId="26286" priority="28172"/>
    <cfRule type="duplicateValues" dxfId="26285" priority="28173"/>
    <cfRule type="duplicateValues" dxfId="26284" priority="28174"/>
    <cfRule type="duplicateValues" dxfId="26283" priority="28175"/>
    <cfRule type="duplicateValues" dxfId="26282" priority="28176"/>
    <cfRule type="duplicateValues" dxfId="26281" priority="28177"/>
    <cfRule type="duplicateValues" dxfId="26280" priority="28178"/>
    <cfRule type="duplicateValues" dxfId="26279" priority="28179"/>
    <cfRule type="duplicateValues" dxfId="26278" priority="28180"/>
  </conditionalFormatting>
  <conditionalFormatting sqref="C200">
    <cfRule type="duplicateValues" dxfId="26277" priority="27485"/>
    <cfRule type="duplicateValues" dxfId="26276" priority="27486"/>
    <cfRule type="duplicateValues" dxfId="26275" priority="27487"/>
    <cfRule type="duplicateValues" dxfId="26274" priority="27488"/>
    <cfRule type="duplicateValues" dxfId="26273" priority="27489"/>
    <cfRule type="duplicateValues" dxfId="26272" priority="27490"/>
    <cfRule type="duplicateValues" dxfId="26271" priority="27491"/>
    <cfRule type="duplicateValues" dxfId="26270" priority="27492"/>
    <cfRule type="duplicateValues" dxfId="26269" priority="27493"/>
    <cfRule type="duplicateValues" dxfId="26268" priority="27494"/>
    <cfRule type="duplicateValues" dxfId="26267" priority="27495"/>
    <cfRule type="duplicateValues" dxfId="26266" priority="27496"/>
    <cfRule type="duplicateValues" dxfId="26265" priority="27497"/>
    <cfRule type="duplicateValues" dxfId="26264" priority="27498"/>
    <cfRule type="duplicateValues" dxfId="26263" priority="27499"/>
    <cfRule type="duplicateValues" dxfId="26262" priority="27500"/>
    <cfRule type="duplicateValues" dxfId="26261" priority="27501"/>
    <cfRule type="duplicateValues" dxfId="26260" priority="27502"/>
    <cfRule type="duplicateValues" dxfId="26259" priority="27503"/>
    <cfRule type="duplicateValues" dxfId="26258" priority="27504"/>
    <cfRule type="duplicateValues" dxfId="26257" priority="27505"/>
    <cfRule type="duplicateValues" dxfId="26256" priority="27506"/>
    <cfRule type="duplicateValues" dxfId="26255" priority="27507"/>
    <cfRule type="duplicateValues" dxfId="26254" priority="27508"/>
    <cfRule type="duplicateValues" dxfId="26253" priority="27509"/>
    <cfRule type="duplicateValues" dxfId="26252" priority="27510"/>
    <cfRule type="duplicateValues" dxfId="26251" priority="27511"/>
    <cfRule type="duplicateValues" dxfId="26250" priority="27512"/>
    <cfRule type="duplicateValues" dxfId="26249" priority="27513"/>
    <cfRule type="duplicateValues" dxfId="26248" priority="27514"/>
    <cfRule type="duplicateValues" dxfId="26247" priority="27515"/>
    <cfRule type="duplicateValues" dxfId="26246" priority="27516"/>
    <cfRule type="duplicateValues" dxfId="26245" priority="27517"/>
    <cfRule type="duplicateValues" dxfId="26244" priority="27518"/>
    <cfRule type="duplicateValues" dxfId="26243" priority="27519"/>
    <cfRule type="duplicateValues" dxfId="26242" priority="27520"/>
    <cfRule type="duplicateValues" dxfId="26241" priority="27521"/>
    <cfRule type="duplicateValues" dxfId="26240" priority="27522"/>
    <cfRule type="duplicateValues" dxfId="26239" priority="27523"/>
    <cfRule type="duplicateValues" dxfId="26238" priority="27524"/>
    <cfRule type="duplicateValues" dxfId="26237" priority="27525"/>
    <cfRule type="duplicateValues" dxfId="26236" priority="27526"/>
    <cfRule type="duplicateValues" dxfId="26235" priority="27527"/>
    <cfRule type="duplicateValues" dxfId="26234" priority="27528"/>
    <cfRule type="duplicateValues" dxfId="26233" priority="27529"/>
    <cfRule type="duplicateValues" dxfId="26232" priority="27530"/>
    <cfRule type="duplicateValues" dxfId="26231" priority="27531"/>
    <cfRule type="duplicateValues" dxfId="26230" priority="27532"/>
    <cfRule type="duplicateValues" dxfId="26229" priority="27533"/>
    <cfRule type="duplicateValues" dxfId="26228" priority="27534"/>
    <cfRule type="duplicateValues" dxfId="26227" priority="27535"/>
    <cfRule type="duplicateValues" dxfId="26226" priority="27536"/>
    <cfRule type="duplicateValues" dxfId="26225" priority="27537"/>
    <cfRule type="duplicateValues" dxfId="26224" priority="27538"/>
    <cfRule type="duplicateValues" dxfId="26223" priority="27539"/>
    <cfRule type="duplicateValues" dxfId="26222" priority="27540"/>
    <cfRule type="duplicateValues" dxfId="26221" priority="27541"/>
    <cfRule type="duplicateValues" dxfId="26220" priority="27542"/>
    <cfRule type="duplicateValues" dxfId="26219" priority="27543"/>
    <cfRule type="duplicateValues" dxfId="26218" priority="27544"/>
    <cfRule type="duplicateValues" dxfId="26217" priority="27545"/>
    <cfRule type="duplicateValues" dxfId="26216" priority="27546"/>
    <cfRule type="duplicateValues" dxfId="26215" priority="27547"/>
    <cfRule type="duplicateValues" dxfId="26214" priority="27548"/>
    <cfRule type="duplicateValues" dxfId="26213" priority="27549"/>
    <cfRule type="duplicateValues" dxfId="26212" priority="27550"/>
    <cfRule type="duplicateValues" dxfId="26211" priority="27551"/>
    <cfRule type="duplicateValues" dxfId="26210" priority="27552"/>
    <cfRule type="duplicateValues" dxfId="26209" priority="27553"/>
    <cfRule type="duplicateValues" dxfId="26208" priority="27554"/>
    <cfRule type="duplicateValues" dxfId="26207" priority="27555"/>
    <cfRule type="duplicateValues" dxfId="26206" priority="27556"/>
    <cfRule type="duplicateValues" dxfId="26205" priority="27557"/>
    <cfRule type="duplicateValues" dxfId="26204" priority="27558"/>
    <cfRule type="duplicateValues" dxfId="26203" priority="27559"/>
    <cfRule type="duplicateValues" dxfId="26202" priority="27560"/>
    <cfRule type="duplicateValues" dxfId="26201" priority="27561"/>
    <cfRule type="duplicateValues" dxfId="26200" priority="27562"/>
    <cfRule type="duplicateValues" dxfId="26199" priority="27563"/>
    <cfRule type="duplicateValues" dxfId="26198" priority="27564"/>
    <cfRule type="duplicateValues" dxfId="26197" priority="27565"/>
    <cfRule type="duplicateValues" dxfId="26196" priority="27566"/>
    <cfRule type="duplicateValues" dxfId="26195" priority="27567"/>
    <cfRule type="duplicateValues" dxfId="26194" priority="27568"/>
    <cfRule type="duplicateValues" dxfId="26193" priority="27569"/>
    <cfRule type="duplicateValues" dxfId="26192" priority="27570"/>
    <cfRule type="duplicateValues" dxfId="26191" priority="27571"/>
    <cfRule type="duplicateValues" dxfId="26190" priority="27572"/>
    <cfRule type="duplicateValues" dxfId="26189" priority="27573"/>
    <cfRule type="duplicateValues" dxfId="26188" priority="27574"/>
    <cfRule type="duplicateValues" dxfId="26187" priority="27575"/>
    <cfRule type="duplicateValues" dxfId="26186" priority="27576"/>
    <cfRule type="duplicateValues" dxfId="26185" priority="27577"/>
    <cfRule type="duplicateValues" dxfId="26184" priority="27578"/>
    <cfRule type="duplicateValues" dxfId="26183" priority="27579"/>
    <cfRule type="duplicateValues" dxfId="26182" priority="27580"/>
    <cfRule type="duplicateValues" dxfId="26181" priority="27581"/>
    <cfRule type="duplicateValues" dxfId="26180" priority="27582"/>
    <cfRule type="duplicateValues" dxfId="26179" priority="27583"/>
    <cfRule type="duplicateValues" dxfId="26178" priority="27584"/>
    <cfRule type="duplicateValues" dxfId="26177" priority="27585"/>
    <cfRule type="duplicateValues" dxfId="26176" priority="27586"/>
    <cfRule type="duplicateValues" dxfId="26175" priority="27587"/>
    <cfRule type="duplicateValues" dxfId="26174" priority="27588"/>
    <cfRule type="duplicateValues" dxfId="26173" priority="27589"/>
    <cfRule type="duplicateValues" dxfId="26172" priority="27590"/>
    <cfRule type="duplicateValues" dxfId="26171" priority="27591"/>
    <cfRule type="duplicateValues" dxfId="26170" priority="27592"/>
    <cfRule type="duplicateValues" dxfId="26169" priority="27593"/>
    <cfRule type="duplicateValues" dxfId="26168" priority="27594"/>
    <cfRule type="duplicateValues" dxfId="26167" priority="27595"/>
    <cfRule type="duplicateValues" dxfId="26166" priority="27596"/>
    <cfRule type="duplicateValues" dxfId="26165" priority="27597"/>
    <cfRule type="duplicateValues" dxfId="26164" priority="27598"/>
    <cfRule type="duplicateValues" dxfId="26163" priority="27599"/>
    <cfRule type="duplicateValues" dxfId="26162" priority="27600"/>
    <cfRule type="duplicateValues" dxfId="26161" priority="27601"/>
    <cfRule type="duplicateValues" dxfId="26160" priority="27602"/>
    <cfRule type="duplicateValues" dxfId="26159" priority="27603"/>
    <cfRule type="duplicateValues" dxfId="26158" priority="27604"/>
    <cfRule type="duplicateValues" dxfId="26157" priority="27605"/>
    <cfRule type="duplicateValues" dxfId="26156" priority="27606"/>
    <cfRule type="duplicateValues" dxfId="26155" priority="27607"/>
    <cfRule type="duplicateValues" dxfId="26154" priority="27608"/>
    <cfRule type="duplicateValues" dxfId="26153" priority="27609"/>
    <cfRule type="duplicateValues" dxfId="26152" priority="27610"/>
    <cfRule type="duplicateValues" dxfId="26151" priority="27611"/>
    <cfRule type="duplicateValues" dxfId="26150" priority="27612"/>
    <cfRule type="duplicateValues" dxfId="26149" priority="27613"/>
    <cfRule type="duplicateValues" dxfId="26148" priority="27614"/>
    <cfRule type="duplicateValues" dxfId="26147" priority="27615"/>
    <cfRule type="duplicateValues" dxfId="26146" priority="27616"/>
    <cfRule type="duplicateValues" dxfId="26145" priority="27617"/>
    <cfRule type="duplicateValues" dxfId="26144" priority="27618"/>
    <cfRule type="duplicateValues" dxfId="26143" priority="27619"/>
    <cfRule type="duplicateValues" dxfId="26142" priority="27620"/>
    <cfRule type="duplicateValues" dxfId="26141" priority="27621"/>
    <cfRule type="duplicateValues" dxfId="26140" priority="27622"/>
    <cfRule type="duplicateValues" dxfId="26139" priority="27623"/>
    <cfRule type="duplicateValues" dxfId="26138" priority="27624"/>
    <cfRule type="duplicateValues" dxfId="26137" priority="27625"/>
    <cfRule type="duplicateValues" dxfId="26136" priority="27626"/>
    <cfRule type="duplicateValues" dxfId="26135" priority="27627"/>
    <cfRule type="duplicateValues" dxfId="26134" priority="27628"/>
    <cfRule type="duplicateValues" dxfId="26133" priority="27629"/>
    <cfRule type="duplicateValues" dxfId="26132" priority="27630"/>
    <cfRule type="duplicateValues" dxfId="26131" priority="27631"/>
    <cfRule type="duplicateValues" dxfId="26130" priority="27632"/>
    <cfRule type="duplicateValues" dxfId="26129" priority="27633"/>
    <cfRule type="duplicateValues" dxfId="26128" priority="27634"/>
    <cfRule type="duplicateValues" dxfId="26127" priority="27635"/>
    <cfRule type="duplicateValues" dxfId="26126" priority="27636"/>
    <cfRule type="duplicateValues" dxfId="26125" priority="27637"/>
    <cfRule type="duplicateValues" dxfId="26124" priority="27638"/>
    <cfRule type="duplicateValues" dxfId="26123" priority="27639"/>
    <cfRule type="duplicateValues" dxfId="26122" priority="27640"/>
    <cfRule type="duplicateValues" dxfId="26121" priority="27641"/>
    <cfRule type="duplicateValues" dxfId="26120" priority="27642"/>
    <cfRule type="duplicateValues" dxfId="26119" priority="27643"/>
    <cfRule type="duplicateValues" dxfId="26118" priority="27644"/>
    <cfRule type="duplicateValues" dxfId="26117" priority="27645"/>
    <cfRule type="duplicateValues" dxfId="26116" priority="27646"/>
    <cfRule type="duplicateValues" dxfId="26115" priority="27647"/>
    <cfRule type="duplicateValues" dxfId="26114" priority="27648"/>
    <cfRule type="duplicateValues" dxfId="26113" priority="27649"/>
    <cfRule type="duplicateValues" dxfId="26112" priority="27650"/>
    <cfRule type="duplicateValues" dxfId="26111" priority="27651"/>
    <cfRule type="duplicateValues" dxfId="26110" priority="27652"/>
    <cfRule type="duplicateValues" dxfId="26109" priority="27653"/>
    <cfRule type="duplicateValues" dxfId="26108" priority="27654"/>
    <cfRule type="duplicateValues" dxfId="26107" priority="27655"/>
    <cfRule type="duplicateValues" dxfId="26106" priority="27656"/>
    <cfRule type="duplicateValues" dxfId="26105" priority="27657"/>
    <cfRule type="duplicateValues" dxfId="26104" priority="27658"/>
    <cfRule type="duplicateValues" dxfId="26103" priority="27659"/>
    <cfRule type="duplicateValues" dxfId="26102" priority="27660"/>
    <cfRule type="duplicateValues" dxfId="26101" priority="27661"/>
    <cfRule type="duplicateValues" dxfId="26100" priority="27662"/>
    <cfRule type="duplicateValues" dxfId="26099" priority="27663"/>
    <cfRule type="duplicateValues" dxfId="26098" priority="27664"/>
    <cfRule type="duplicateValues" dxfId="26097" priority="27665"/>
    <cfRule type="duplicateValues" dxfId="26096" priority="27666"/>
    <cfRule type="duplicateValues" dxfId="26095" priority="27667"/>
    <cfRule type="duplicateValues" dxfId="26094" priority="27668"/>
    <cfRule type="duplicateValues" dxfId="26093" priority="27669"/>
    <cfRule type="duplicateValues" dxfId="26092" priority="27670"/>
    <cfRule type="duplicateValues" dxfId="26091" priority="27671"/>
    <cfRule type="duplicateValues" dxfId="26090" priority="27672"/>
    <cfRule type="duplicateValues" dxfId="26089" priority="27673"/>
    <cfRule type="duplicateValues" dxfId="26088" priority="27674"/>
    <cfRule type="duplicateValues" dxfId="26087" priority="27675"/>
    <cfRule type="duplicateValues" dxfId="26086" priority="27676"/>
    <cfRule type="duplicateValues" dxfId="26085" priority="27677"/>
    <cfRule type="duplicateValues" dxfId="26084" priority="27678"/>
    <cfRule type="duplicateValues" dxfId="26083" priority="27679"/>
    <cfRule type="duplicateValues" dxfId="26082" priority="27680"/>
    <cfRule type="duplicateValues" dxfId="26081" priority="27681"/>
    <cfRule type="duplicateValues" dxfId="26080" priority="27682"/>
    <cfRule type="duplicateValues" dxfId="26079" priority="27683"/>
    <cfRule type="duplicateValues" dxfId="26078" priority="27684"/>
    <cfRule type="duplicateValues" dxfId="26077" priority="27685"/>
    <cfRule type="duplicateValues" dxfId="26076" priority="27686"/>
    <cfRule type="duplicateValues" dxfId="26075" priority="27687"/>
    <cfRule type="duplicateValues" dxfId="26074" priority="27688"/>
    <cfRule type="duplicateValues" dxfId="26073" priority="27689"/>
    <cfRule type="duplicateValues" dxfId="26072" priority="27690"/>
    <cfRule type="duplicateValues" dxfId="26071" priority="27691"/>
    <cfRule type="duplicateValues" dxfId="26070" priority="27692"/>
    <cfRule type="duplicateValues" dxfId="26069" priority="27693"/>
    <cfRule type="duplicateValues" dxfId="26068" priority="27694"/>
    <cfRule type="duplicateValues" dxfId="26067" priority="27695"/>
    <cfRule type="duplicateValues" dxfId="26066" priority="27696"/>
    <cfRule type="duplicateValues" dxfId="26065" priority="27697"/>
    <cfRule type="duplicateValues" dxfId="26064" priority="27698"/>
    <cfRule type="duplicateValues" dxfId="26063" priority="27699"/>
    <cfRule type="duplicateValues" dxfId="26062" priority="27700"/>
    <cfRule type="duplicateValues" dxfId="26061" priority="27701"/>
    <cfRule type="duplicateValues" dxfId="26060" priority="27702"/>
    <cfRule type="duplicateValues" dxfId="26059" priority="27703"/>
    <cfRule type="duplicateValues" dxfId="26058" priority="27704"/>
    <cfRule type="duplicateValues" dxfId="26057" priority="27705"/>
    <cfRule type="duplicateValues" dxfId="26056" priority="27706"/>
    <cfRule type="duplicateValues" dxfId="26055" priority="27707"/>
    <cfRule type="duplicateValues" dxfId="26054" priority="27708"/>
    <cfRule type="duplicateValues" dxfId="26053" priority="27709"/>
    <cfRule type="duplicateValues" dxfId="26052" priority="27710"/>
    <cfRule type="duplicateValues" dxfId="26051" priority="27711"/>
    <cfRule type="duplicateValues" dxfId="26050" priority="27712"/>
    <cfRule type="duplicateValues" dxfId="26049" priority="27713"/>
    <cfRule type="duplicateValues" dxfId="26048" priority="27714"/>
    <cfRule type="duplicateValues" dxfId="26047" priority="27715"/>
    <cfRule type="duplicateValues" dxfId="26046" priority="27716"/>
    <cfRule type="duplicateValues" dxfId="26045" priority="27717"/>
    <cfRule type="duplicateValues" dxfId="26044" priority="27718"/>
    <cfRule type="duplicateValues" dxfId="26043" priority="27719"/>
    <cfRule type="duplicateValues" dxfId="26042" priority="27720"/>
    <cfRule type="duplicateValues" dxfId="26041" priority="27721"/>
    <cfRule type="duplicateValues" dxfId="26040" priority="27722"/>
    <cfRule type="duplicateValues" dxfId="26039" priority="27723"/>
    <cfRule type="duplicateValues" dxfId="26038" priority="27724"/>
    <cfRule type="duplicateValues" dxfId="26037" priority="27725"/>
    <cfRule type="duplicateValues" dxfId="26036" priority="27726"/>
    <cfRule type="duplicateValues" dxfId="26035" priority="27727"/>
    <cfRule type="duplicateValues" dxfId="26034" priority="27728"/>
    <cfRule type="duplicateValues" dxfId="26033" priority="27729"/>
    <cfRule type="duplicateValues" dxfId="26032" priority="27730"/>
    <cfRule type="duplicateValues" dxfId="26031" priority="27731"/>
    <cfRule type="duplicateValues" dxfId="26030" priority="27732"/>
    <cfRule type="duplicateValues" dxfId="26029" priority="27733"/>
    <cfRule type="duplicateValues" dxfId="26028" priority="27734"/>
    <cfRule type="duplicateValues" dxfId="26027" priority="27735"/>
    <cfRule type="duplicateValues" dxfId="26026" priority="27736"/>
    <cfRule type="duplicateValues" dxfId="26025" priority="27737"/>
    <cfRule type="duplicateValues" dxfId="26024" priority="27738"/>
    <cfRule type="duplicateValues" dxfId="26023" priority="27739"/>
    <cfRule type="duplicateValues" dxfId="26022" priority="27740"/>
    <cfRule type="duplicateValues" dxfId="26021" priority="27741"/>
    <cfRule type="duplicateValues" dxfId="26020" priority="27742"/>
    <cfRule type="duplicateValues" dxfId="26019" priority="27743"/>
    <cfRule type="duplicateValues" dxfId="26018" priority="27744"/>
    <cfRule type="duplicateValues" dxfId="26017" priority="27745"/>
    <cfRule type="duplicateValues" dxfId="26016" priority="27746"/>
    <cfRule type="duplicateValues" dxfId="26015" priority="27747"/>
    <cfRule type="duplicateValues" dxfId="26014" priority="27748"/>
    <cfRule type="duplicateValues" dxfId="26013" priority="27749"/>
    <cfRule type="duplicateValues" dxfId="26012" priority="27750"/>
    <cfRule type="duplicateValues" dxfId="26011" priority="27751"/>
    <cfRule type="duplicateValues" dxfId="26010" priority="27752"/>
    <cfRule type="duplicateValues" dxfId="26009" priority="27753"/>
    <cfRule type="duplicateValues" dxfId="26008" priority="27754"/>
    <cfRule type="duplicateValues" dxfId="26007" priority="27755"/>
    <cfRule type="duplicateValues" dxfId="26006" priority="27756"/>
    <cfRule type="duplicateValues" dxfId="26005" priority="27757"/>
    <cfRule type="duplicateValues" dxfId="26004" priority="27758"/>
    <cfRule type="duplicateValues" dxfId="26003" priority="27759"/>
    <cfRule type="duplicateValues" dxfId="26002" priority="27760"/>
    <cfRule type="duplicateValues" dxfId="26001" priority="27761"/>
    <cfRule type="duplicateValues" dxfId="26000" priority="27762"/>
    <cfRule type="duplicateValues" dxfId="25999" priority="27763"/>
    <cfRule type="duplicateValues" dxfId="25998" priority="27764"/>
    <cfRule type="duplicateValues" dxfId="25997" priority="27765"/>
    <cfRule type="duplicateValues" dxfId="25996" priority="27766"/>
    <cfRule type="duplicateValues" dxfId="25995" priority="27767"/>
    <cfRule type="duplicateValues" dxfId="25994" priority="27768"/>
    <cfRule type="duplicateValues" dxfId="25993" priority="27769"/>
    <cfRule type="duplicateValues" dxfId="25992" priority="27770"/>
    <cfRule type="duplicateValues" dxfId="25991" priority="27771"/>
    <cfRule type="duplicateValues" dxfId="25990" priority="27772"/>
    <cfRule type="duplicateValues" dxfId="25989" priority="27773"/>
    <cfRule type="duplicateValues" dxfId="25988" priority="27774"/>
    <cfRule type="duplicateValues" dxfId="25987" priority="27775"/>
    <cfRule type="duplicateValues" dxfId="25986" priority="27776"/>
    <cfRule type="duplicateValues" dxfId="25985" priority="27777"/>
    <cfRule type="duplicateValues" dxfId="25984" priority="27778"/>
    <cfRule type="duplicateValues" dxfId="25983" priority="27779"/>
    <cfRule type="duplicateValues" dxfId="25982" priority="27780"/>
    <cfRule type="duplicateValues" dxfId="25981" priority="27781"/>
    <cfRule type="duplicateValues" dxfId="25980" priority="27782"/>
    <cfRule type="duplicateValues" dxfId="25979" priority="27783"/>
    <cfRule type="duplicateValues" dxfId="25978" priority="27784"/>
    <cfRule type="duplicateValues" dxfId="25977" priority="27785"/>
    <cfRule type="duplicateValues" dxfId="25976" priority="27786"/>
    <cfRule type="duplicateValues" dxfId="25975" priority="27787"/>
    <cfRule type="duplicateValues" dxfId="25974" priority="27788"/>
    <cfRule type="duplicateValues" dxfId="25973" priority="27789"/>
    <cfRule type="duplicateValues" dxfId="25972" priority="27790"/>
    <cfRule type="duplicateValues" dxfId="25971" priority="27791"/>
    <cfRule type="duplicateValues" dxfId="25970" priority="27792"/>
    <cfRule type="duplicateValues" dxfId="25969" priority="27793"/>
    <cfRule type="duplicateValues" dxfId="25968" priority="27794"/>
    <cfRule type="duplicateValues" dxfId="25967" priority="27795"/>
    <cfRule type="duplicateValues" dxfId="25966" priority="27796"/>
    <cfRule type="duplicateValues" dxfId="25965" priority="27797"/>
    <cfRule type="duplicateValues" dxfId="25964" priority="27798"/>
    <cfRule type="duplicateValues" dxfId="25963" priority="27799"/>
    <cfRule type="duplicateValues" dxfId="25962" priority="27800"/>
    <cfRule type="duplicateValues" dxfId="25961" priority="27801"/>
    <cfRule type="duplicateValues" dxfId="25960" priority="27802"/>
    <cfRule type="duplicateValues" dxfId="25959" priority="27803"/>
    <cfRule type="duplicateValues" dxfId="25958" priority="27804"/>
    <cfRule type="duplicateValues" dxfId="25957" priority="27805"/>
    <cfRule type="duplicateValues" dxfId="25956" priority="27806"/>
    <cfRule type="duplicateValues" dxfId="25955" priority="27807"/>
    <cfRule type="duplicateValues" dxfId="25954" priority="27808"/>
    <cfRule type="duplicateValues" dxfId="25953" priority="27809"/>
    <cfRule type="duplicateValues" dxfId="25952" priority="27810"/>
    <cfRule type="duplicateValues" dxfId="25951" priority="27811"/>
    <cfRule type="duplicateValues" dxfId="25950" priority="27812"/>
    <cfRule type="duplicateValues" dxfId="25949" priority="27813"/>
    <cfRule type="duplicateValues" dxfId="25948" priority="27814"/>
    <cfRule type="duplicateValues" dxfId="25947" priority="27815"/>
    <cfRule type="duplicateValues" dxfId="25946" priority="27816"/>
    <cfRule type="duplicateValues" dxfId="25945" priority="27817"/>
    <cfRule type="duplicateValues" dxfId="25944" priority="27818"/>
    <cfRule type="duplicateValues" dxfId="25943" priority="27819"/>
    <cfRule type="duplicateValues" dxfId="25942" priority="27820"/>
    <cfRule type="duplicateValues" dxfId="25941" priority="27821"/>
    <cfRule type="duplicateValues" dxfId="25940" priority="27822"/>
    <cfRule type="duplicateValues" dxfId="25939" priority="27823"/>
    <cfRule type="duplicateValues" dxfId="25938" priority="27824"/>
    <cfRule type="duplicateValues" dxfId="25937" priority="27825"/>
    <cfRule type="duplicateValues" dxfId="25936" priority="27826"/>
    <cfRule type="duplicateValues" dxfId="25935" priority="27827"/>
    <cfRule type="duplicateValues" dxfId="25934" priority="27828"/>
    <cfRule type="duplicateValues" dxfId="25933" priority="27829"/>
    <cfRule type="duplicateValues" dxfId="25932" priority="27830"/>
    <cfRule type="duplicateValues" dxfId="25931" priority="27831"/>
    <cfRule type="duplicateValues" dxfId="25930" priority="27832"/>
    <cfRule type="duplicateValues" dxfId="25929" priority="27833"/>
    <cfRule type="duplicateValues" dxfId="25928" priority="27834"/>
    <cfRule type="duplicateValues" dxfId="25927" priority="27835"/>
    <cfRule type="duplicateValues" dxfId="25926" priority="27836"/>
    <cfRule type="duplicateValues" dxfId="25925" priority="27837"/>
    <cfRule type="duplicateValues" dxfId="25924" priority="27838"/>
    <cfRule type="duplicateValues" dxfId="25923" priority="27839"/>
    <cfRule type="duplicateValues" dxfId="25922" priority="27840"/>
    <cfRule type="duplicateValues" dxfId="25921" priority="27841"/>
    <cfRule type="duplicateValues" dxfId="25920" priority="27842"/>
    <cfRule type="duplicateValues" dxfId="25919" priority="27843"/>
    <cfRule type="duplicateValues" dxfId="25918" priority="27844"/>
    <cfRule type="duplicateValues" dxfId="25917" priority="27845"/>
    <cfRule type="duplicateValues" dxfId="25916" priority="27846"/>
    <cfRule type="duplicateValues" dxfId="25915" priority="27847"/>
    <cfRule type="duplicateValues" dxfId="25914" priority="27848"/>
    <cfRule type="duplicateValues" dxfId="25913" priority="27849"/>
    <cfRule type="duplicateValues" dxfId="25912" priority="27850"/>
    <cfRule type="duplicateValues" dxfId="25911" priority="27851"/>
    <cfRule type="duplicateValues" dxfId="25910" priority="27852"/>
    <cfRule type="duplicateValues" dxfId="25909" priority="27853"/>
    <cfRule type="duplicateValues" dxfId="25908" priority="27854"/>
    <cfRule type="duplicateValues" dxfId="25907" priority="27855"/>
    <cfRule type="duplicateValues" dxfId="25906" priority="27856"/>
    <cfRule type="duplicateValues" dxfId="25905" priority="27857"/>
    <cfRule type="duplicateValues" dxfId="25904" priority="27858"/>
    <cfRule type="duplicateValues" dxfId="25903" priority="27859"/>
    <cfRule type="duplicateValues" dxfId="25902" priority="27860"/>
    <cfRule type="duplicateValues" dxfId="25901" priority="27861"/>
    <cfRule type="duplicateValues" dxfId="25900" priority="27862"/>
    <cfRule type="duplicateValues" dxfId="25899" priority="27863"/>
    <cfRule type="duplicateValues" dxfId="25898" priority="27864"/>
    <cfRule type="duplicateValues" dxfId="25897" priority="27865"/>
    <cfRule type="duplicateValues" dxfId="25896" priority="27866"/>
    <cfRule type="duplicateValues" dxfId="25895" priority="27867"/>
    <cfRule type="duplicateValues" dxfId="25894" priority="27868"/>
    <cfRule type="duplicateValues" dxfId="25893" priority="27869"/>
    <cfRule type="duplicateValues" dxfId="25892" priority="27870"/>
    <cfRule type="duplicateValues" dxfId="25891" priority="27871"/>
    <cfRule type="duplicateValues" dxfId="25890" priority="27872"/>
    <cfRule type="duplicateValues" dxfId="25889" priority="27873"/>
    <cfRule type="duplicateValues" dxfId="25888" priority="27874"/>
    <cfRule type="duplicateValues" dxfId="25887" priority="27875"/>
    <cfRule type="duplicateValues" dxfId="25886" priority="27876"/>
    <cfRule type="duplicateValues" dxfId="25885" priority="27877"/>
    <cfRule type="duplicateValues" dxfId="25884" priority="27878"/>
    <cfRule type="duplicateValues" dxfId="25883" priority="27879"/>
    <cfRule type="duplicateValues" dxfId="25882" priority="27880"/>
    <cfRule type="duplicateValues" dxfId="25881" priority="27881"/>
    <cfRule type="duplicateValues" dxfId="25880" priority="27882"/>
    <cfRule type="duplicateValues" dxfId="25879" priority="27883"/>
    <cfRule type="duplicateValues" dxfId="25878" priority="27884"/>
    <cfRule type="duplicateValues" dxfId="25877" priority="27885"/>
    <cfRule type="duplicateValues" dxfId="25876" priority="27886"/>
    <cfRule type="duplicateValues" dxfId="25875" priority="27887"/>
    <cfRule type="duplicateValues" dxfId="25874" priority="27888"/>
  </conditionalFormatting>
  <conditionalFormatting sqref="C201">
    <cfRule type="duplicateValues" dxfId="25873" priority="27140"/>
    <cfRule type="duplicateValues" dxfId="25872" priority="27141"/>
    <cfRule type="duplicateValues" dxfId="25871" priority="27142"/>
    <cfRule type="duplicateValues" dxfId="25870" priority="27143"/>
    <cfRule type="duplicateValues" dxfId="25869" priority="27144"/>
    <cfRule type="duplicateValues" dxfId="25868" priority="27145"/>
    <cfRule type="duplicateValues" dxfId="25867" priority="27146"/>
    <cfRule type="duplicateValues" dxfId="25866" priority="27147"/>
    <cfRule type="duplicateValues" dxfId="25865" priority="27148"/>
    <cfRule type="duplicateValues" dxfId="25864" priority="27149"/>
    <cfRule type="duplicateValues" dxfId="25863" priority="27150"/>
    <cfRule type="duplicateValues" dxfId="25862" priority="27151"/>
    <cfRule type="duplicateValues" dxfId="25861" priority="27152"/>
    <cfRule type="duplicateValues" dxfId="25860" priority="27153"/>
    <cfRule type="duplicateValues" dxfId="25859" priority="27154"/>
    <cfRule type="duplicateValues" dxfId="25858" priority="27155"/>
    <cfRule type="duplicateValues" dxfId="25857" priority="27156"/>
    <cfRule type="duplicateValues" dxfId="25856" priority="27157"/>
    <cfRule type="duplicateValues" dxfId="25855" priority="27158"/>
    <cfRule type="duplicateValues" dxfId="25854" priority="27159"/>
    <cfRule type="duplicateValues" dxfId="25853" priority="27160"/>
    <cfRule type="duplicateValues" dxfId="25852" priority="27161"/>
    <cfRule type="duplicateValues" dxfId="25851" priority="27162"/>
    <cfRule type="duplicateValues" dxfId="25850" priority="27163"/>
    <cfRule type="duplicateValues" dxfId="25849" priority="27164"/>
    <cfRule type="duplicateValues" dxfId="25848" priority="27165"/>
    <cfRule type="duplicateValues" dxfId="25847" priority="27166"/>
    <cfRule type="duplicateValues" dxfId="25846" priority="27167"/>
    <cfRule type="duplicateValues" dxfId="25845" priority="27168"/>
    <cfRule type="duplicateValues" dxfId="25844" priority="27169"/>
    <cfRule type="duplicateValues" dxfId="25843" priority="27170"/>
    <cfRule type="duplicateValues" dxfId="25842" priority="27171"/>
    <cfRule type="duplicateValues" dxfId="25841" priority="27172"/>
    <cfRule type="duplicateValues" dxfId="25840" priority="27173"/>
    <cfRule type="duplicateValues" dxfId="25839" priority="27174"/>
    <cfRule type="duplicateValues" dxfId="25838" priority="27175"/>
    <cfRule type="duplicateValues" dxfId="25837" priority="27176"/>
    <cfRule type="duplicateValues" dxfId="25836" priority="27177"/>
    <cfRule type="duplicateValues" dxfId="25835" priority="27178"/>
    <cfRule type="duplicateValues" dxfId="25834" priority="27179"/>
    <cfRule type="duplicateValues" dxfId="25833" priority="27180"/>
    <cfRule type="duplicateValues" dxfId="25832" priority="27181"/>
    <cfRule type="duplicateValues" dxfId="25831" priority="27182"/>
    <cfRule type="duplicateValues" dxfId="25830" priority="27183"/>
    <cfRule type="duplicateValues" dxfId="25829" priority="27184"/>
    <cfRule type="duplicateValues" dxfId="25828" priority="27185"/>
    <cfRule type="duplicateValues" dxfId="25827" priority="27186"/>
    <cfRule type="duplicateValues" dxfId="25826" priority="27187"/>
    <cfRule type="duplicateValues" dxfId="25825" priority="27188"/>
    <cfRule type="duplicateValues" dxfId="25824" priority="27189"/>
    <cfRule type="duplicateValues" dxfId="25823" priority="27190"/>
    <cfRule type="duplicateValues" dxfId="25822" priority="27191"/>
    <cfRule type="duplicateValues" dxfId="25821" priority="27192"/>
    <cfRule type="duplicateValues" dxfId="25820" priority="27193"/>
    <cfRule type="duplicateValues" dxfId="25819" priority="27194"/>
    <cfRule type="duplicateValues" dxfId="25818" priority="27195"/>
    <cfRule type="duplicateValues" dxfId="25817" priority="27196"/>
    <cfRule type="duplicateValues" dxfId="25816" priority="27197"/>
    <cfRule type="duplicateValues" dxfId="25815" priority="27198"/>
    <cfRule type="duplicateValues" dxfId="25814" priority="27199"/>
    <cfRule type="duplicateValues" dxfId="25813" priority="27200"/>
    <cfRule type="duplicateValues" dxfId="25812" priority="27201"/>
    <cfRule type="duplicateValues" dxfId="25811" priority="27202"/>
    <cfRule type="duplicateValues" dxfId="25810" priority="27203"/>
    <cfRule type="duplicateValues" dxfId="25809" priority="27204"/>
    <cfRule type="duplicateValues" dxfId="25808" priority="27205"/>
    <cfRule type="duplicateValues" dxfId="25807" priority="27206"/>
    <cfRule type="duplicateValues" dxfId="25806" priority="27207"/>
    <cfRule type="duplicateValues" dxfId="25805" priority="27208"/>
    <cfRule type="duplicateValues" dxfId="25804" priority="27209"/>
    <cfRule type="duplicateValues" dxfId="25803" priority="27210"/>
    <cfRule type="duplicateValues" dxfId="25802" priority="27211"/>
    <cfRule type="duplicateValues" dxfId="25801" priority="27212"/>
    <cfRule type="duplicateValues" dxfId="25800" priority="27213"/>
    <cfRule type="duplicateValues" dxfId="25799" priority="27214"/>
    <cfRule type="duplicateValues" dxfId="25798" priority="27215"/>
    <cfRule type="duplicateValues" dxfId="25797" priority="27216"/>
    <cfRule type="duplicateValues" dxfId="25796" priority="27217"/>
    <cfRule type="duplicateValues" dxfId="25795" priority="27218"/>
    <cfRule type="duplicateValues" dxfId="25794" priority="27219"/>
    <cfRule type="duplicateValues" dxfId="25793" priority="27220"/>
    <cfRule type="duplicateValues" dxfId="25792" priority="27221"/>
    <cfRule type="duplicateValues" dxfId="25791" priority="27222"/>
    <cfRule type="duplicateValues" dxfId="25790" priority="27223"/>
    <cfRule type="duplicateValues" dxfId="25789" priority="27224"/>
    <cfRule type="duplicateValues" dxfId="25788" priority="27225"/>
    <cfRule type="duplicateValues" dxfId="25787" priority="27226"/>
    <cfRule type="duplicateValues" dxfId="25786" priority="27227"/>
    <cfRule type="duplicateValues" dxfId="25785" priority="27228"/>
    <cfRule type="duplicateValues" dxfId="25784" priority="27229"/>
    <cfRule type="duplicateValues" dxfId="25783" priority="27230"/>
    <cfRule type="duplicateValues" dxfId="25782" priority="27231"/>
    <cfRule type="duplicateValues" dxfId="25781" priority="27232"/>
    <cfRule type="duplicateValues" dxfId="25780" priority="27233"/>
    <cfRule type="duplicateValues" dxfId="25779" priority="27234"/>
    <cfRule type="duplicateValues" dxfId="25778" priority="27235"/>
    <cfRule type="duplicateValues" dxfId="25777" priority="27236"/>
    <cfRule type="duplicateValues" dxfId="25776" priority="27237"/>
    <cfRule type="duplicateValues" dxfId="25775" priority="27238"/>
    <cfRule type="duplicateValues" dxfId="25774" priority="27239"/>
    <cfRule type="duplicateValues" dxfId="25773" priority="27240"/>
    <cfRule type="duplicateValues" dxfId="25772" priority="27241"/>
    <cfRule type="duplicateValues" dxfId="25771" priority="27242"/>
    <cfRule type="duplicateValues" dxfId="25770" priority="27243"/>
    <cfRule type="duplicateValues" dxfId="25769" priority="27244"/>
    <cfRule type="duplicateValues" dxfId="25768" priority="27245"/>
    <cfRule type="duplicateValues" dxfId="25767" priority="27246"/>
    <cfRule type="duplicateValues" dxfId="25766" priority="27247"/>
    <cfRule type="duplicateValues" dxfId="25765" priority="27248"/>
    <cfRule type="duplicateValues" dxfId="25764" priority="27249"/>
    <cfRule type="duplicateValues" dxfId="25763" priority="27250"/>
    <cfRule type="duplicateValues" dxfId="25762" priority="27251"/>
    <cfRule type="duplicateValues" dxfId="25761" priority="27252"/>
    <cfRule type="duplicateValues" dxfId="25760" priority="27253"/>
    <cfRule type="duplicateValues" dxfId="25759" priority="27254"/>
    <cfRule type="duplicateValues" dxfId="25758" priority="27255"/>
    <cfRule type="duplicateValues" dxfId="25757" priority="27256"/>
    <cfRule type="duplicateValues" dxfId="25756" priority="27257"/>
    <cfRule type="duplicateValues" dxfId="25755" priority="27258"/>
    <cfRule type="duplicateValues" dxfId="25754" priority="27259"/>
    <cfRule type="duplicateValues" dxfId="25753" priority="27260"/>
    <cfRule type="duplicateValues" dxfId="25752" priority="27261"/>
    <cfRule type="duplicateValues" dxfId="25751" priority="27262"/>
    <cfRule type="duplicateValues" dxfId="25750" priority="27263"/>
    <cfRule type="duplicateValues" dxfId="25749" priority="27264"/>
    <cfRule type="duplicateValues" dxfId="25748" priority="27265"/>
    <cfRule type="duplicateValues" dxfId="25747" priority="27266"/>
    <cfRule type="duplicateValues" dxfId="25746" priority="27267"/>
    <cfRule type="duplicateValues" dxfId="25745" priority="27268"/>
    <cfRule type="duplicateValues" dxfId="25744" priority="27269"/>
    <cfRule type="duplicateValues" dxfId="25743" priority="27270"/>
    <cfRule type="duplicateValues" dxfId="25742" priority="27271"/>
    <cfRule type="duplicateValues" dxfId="25741" priority="27272"/>
    <cfRule type="duplicateValues" dxfId="25740" priority="27273"/>
    <cfRule type="duplicateValues" dxfId="25739" priority="27274"/>
    <cfRule type="duplicateValues" dxfId="25738" priority="27275"/>
    <cfRule type="duplicateValues" dxfId="25737" priority="27276"/>
    <cfRule type="duplicateValues" dxfId="25736" priority="27277"/>
    <cfRule type="duplicateValues" dxfId="25735" priority="27278"/>
    <cfRule type="duplicateValues" dxfId="25734" priority="27279"/>
    <cfRule type="duplicateValues" dxfId="25733" priority="27280"/>
    <cfRule type="duplicateValues" dxfId="25732" priority="27281"/>
    <cfRule type="duplicateValues" dxfId="25731" priority="27282"/>
    <cfRule type="duplicateValues" dxfId="25730" priority="27283"/>
    <cfRule type="duplicateValues" dxfId="25729" priority="27284"/>
    <cfRule type="duplicateValues" dxfId="25728" priority="27285"/>
    <cfRule type="duplicateValues" dxfId="25727" priority="27286"/>
    <cfRule type="duplicateValues" dxfId="25726" priority="27287"/>
    <cfRule type="duplicateValues" dxfId="25725" priority="27288"/>
    <cfRule type="duplicateValues" dxfId="25724" priority="27289"/>
    <cfRule type="duplicateValues" dxfId="25723" priority="27290"/>
    <cfRule type="duplicateValues" dxfId="25722" priority="27291"/>
    <cfRule type="duplicateValues" dxfId="25721" priority="27292"/>
    <cfRule type="duplicateValues" dxfId="25720" priority="27293"/>
    <cfRule type="duplicateValues" dxfId="25719" priority="27294"/>
    <cfRule type="duplicateValues" dxfId="25718" priority="27295"/>
    <cfRule type="duplicateValues" dxfId="25717" priority="27296"/>
    <cfRule type="duplicateValues" dxfId="25716" priority="27297"/>
    <cfRule type="duplicateValues" dxfId="25715" priority="27298"/>
    <cfRule type="duplicateValues" dxfId="25714" priority="27299"/>
    <cfRule type="duplicateValues" dxfId="25713" priority="27300"/>
    <cfRule type="duplicateValues" dxfId="25712" priority="27301"/>
    <cfRule type="duplicateValues" dxfId="25711" priority="27302"/>
    <cfRule type="duplicateValues" dxfId="25710" priority="27303"/>
    <cfRule type="duplicateValues" dxfId="25709" priority="27304"/>
    <cfRule type="duplicateValues" dxfId="25708" priority="27305"/>
    <cfRule type="duplicateValues" dxfId="25707" priority="27306"/>
    <cfRule type="duplicateValues" dxfId="25706" priority="27307"/>
    <cfRule type="duplicateValues" dxfId="25705" priority="27308"/>
    <cfRule type="duplicateValues" dxfId="25704" priority="27309"/>
    <cfRule type="duplicateValues" dxfId="25703" priority="27310"/>
    <cfRule type="duplicateValues" dxfId="25702" priority="27311"/>
    <cfRule type="duplicateValues" dxfId="25701" priority="27312"/>
    <cfRule type="duplicateValues" dxfId="25700" priority="27313"/>
    <cfRule type="duplicateValues" dxfId="25699" priority="27314"/>
    <cfRule type="duplicateValues" dxfId="25698" priority="27315"/>
    <cfRule type="duplicateValues" dxfId="25697" priority="27316"/>
    <cfRule type="duplicateValues" dxfId="25696" priority="27317"/>
    <cfRule type="duplicateValues" dxfId="25695" priority="27318"/>
    <cfRule type="duplicateValues" dxfId="25694" priority="27319"/>
    <cfRule type="duplicateValues" dxfId="25693" priority="27320"/>
    <cfRule type="duplicateValues" dxfId="25692" priority="27321"/>
    <cfRule type="duplicateValues" dxfId="25691" priority="27322"/>
    <cfRule type="duplicateValues" dxfId="25690" priority="27323"/>
    <cfRule type="duplicateValues" dxfId="25689" priority="27324"/>
    <cfRule type="duplicateValues" dxfId="25688" priority="27325"/>
    <cfRule type="duplicateValues" dxfId="25687" priority="27326"/>
    <cfRule type="duplicateValues" dxfId="25686" priority="27327"/>
    <cfRule type="duplicateValues" dxfId="25685" priority="27328"/>
    <cfRule type="duplicateValues" dxfId="25684" priority="27329"/>
    <cfRule type="duplicateValues" dxfId="25683" priority="27330"/>
    <cfRule type="duplicateValues" dxfId="25682" priority="27331"/>
    <cfRule type="duplicateValues" dxfId="25681" priority="27332"/>
    <cfRule type="duplicateValues" dxfId="25680" priority="27333"/>
    <cfRule type="duplicateValues" dxfId="25679" priority="27334"/>
    <cfRule type="duplicateValues" dxfId="25678" priority="27335"/>
    <cfRule type="duplicateValues" dxfId="25677" priority="27336"/>
    <cfRule type="duplicateValues" dxfId="25676" priority="27337"/>
    <cfRule type="duplicateValues" dxfId="25675" priority="27338"/>
    <cfRule type="duplicateValues" dxfId="25674" priority="27339"/>
    <cfRule type="duplicateValues" dxfId="25673" priority="27340"/>
    <cfRule type="duplicateValues" dxfId="25672" priority="27341"/>
    <cfRule type="duplicateValues" dxfId="25671" priority="27342"/>
    <cfRule type="duplicateValues" dxfId="25670" priority="27343"/>
    <cfRule type="duplicateValues" dxfId="25669" priority="27344"/>
    <cfRule type="duplicateValues" dxfId="25668" priority="27345"/>
    <cfRule type="duplicateValues" dxfId="25667" priority="27346"/>
    <cfRule type="duplicateValues" dxfId="25666" priority="27347"/>
    <cfRule type="duplicateValues" dxfId="25665" priority="27348"/>
    <cfRule type="duplicateValues" dxfId="25664" priority="27349"/>
    <cfRule type="duplicateValues" dxfId="25663" priority="27350"/>
    <cfRule type="duplicateValues" dxfId="25662" priority="27351"/>
    <cfRule type="duplicateValues" dxfId="25661" priority="27352"/>
    <cfRule type="duplicateValues" dxfId="25660" priority="27353"/>
    <cfRule type="duplicateValues" dxfId="25659" priority="27354"/>
    <cfRule type="duplicateValues" dxfId="25658" priority="27355"/>
    <cfRule type="duplicateValues" dxfId="25657" priority="27356"/>
    <cfRule type="duplicateValues" dxfId="25656" priority="27357"/>
    <cfRule type="duplicateValues" dxfId="25655" priority="27358"/>
    <cfRule type="duplicateValues" dxfId="25654" priority="27359"/>
    <cfRule type="duplicateValues" dxfId="25653" priority="27360"/>
    <cfRule type="duplicateValues" dxfId="25652" priority="27361"/>
    <cfRule type="duplicateValues" dxfId="25651" priority="27362"/>
    <cfRule type="duplicateValues" dxfId="25650" priority="27363"/>
    <cfRule type="duplicateValues" dxfId="25649" priority="27364"/>
    <cfRule type="duplicateValues" dxfId="25648" priority="27365"/>
    <cfRule type="duplicateValues" dxfId="25647" priority="27366"/>
    <cfRule type="duplicateValues" dxfId="25646" priority="27367"/>
    <cfRule type="duplicateValues" dxfId="25645" priority="27368"/>
    <cfRule type="duplicateValues" dxfId="25644" priority="27369"/>
    <cfRule type="duplicateValues" dxfId="25643" priority="27370"/>
    <cfRule type="duplicateValues" dxfId="25642" priority="27371"/>
    <cfRule type="duplicateValues" dxfId="25641" priority="27372"/>
    <cfRule type="duplicateValues" dxfId="25640" priority="27373"/>
    <cfRule type="duplicateValues" dxfId="25639" priority="27374"/>
    <cfRule type="duplicateValues" dxfId="25638" priority="27375"/>
    <cfRule type="duplicateValues" dxfId="25637" priority="27376"/>
    <cfRule type="duplicateValues" dxfId="25636" priority="27377"/>
    <cfRule type="duplicateValues" dxfId="25635" priority="27378"/>
    <cfRule type="duplicateValues" dxfId="25634" priority="27379"/>
    <cfRule type="duplicateValues" dxfId="25633" priority="27380"/>
    <cfRule type="duplicateValues" dxfId="25632" priority="27381"/>
    <cfRule type="duplicateValues" dxfId="25631" priority="27382"/>
    <cfRule type="duplicateValues" dxfId="25630" priority="27383"/>
    <cfRule type="duplicateValues" dxfId="25629" priority="27384"/>
    <cfRule type="duplicateValues" dxfId="25628" priority="27385"/>
    <cfRule type="duplicateValues" dxfId="25627" priority="27386"/>
    <cfRule type="duplicateValues" dxfId="25626" priority="27387"/>
    <cfRule type="duplicateValues" dxfId="25625" priority="27388"/>
    <cfRule type="duplicateValues" dxfId="25624" priority="27389"/>
    <cfRule type="duplicateValues" dxfId="25623" priority="27390"/>
    <cfRule type="duplicateValues" dxfId="25622" priority="27391"/>
    <cfRule type="duplicateValues" dxfId="25621" priority="27392"/>
    <cfRule type="duplicateValues" dxfId="25620" priority="27393"/>
    <cfRule type="duplicateValues" dxfId="25619" priority="27394"/>
    <cfRule type="duplicateValues" dxfId="25618" priority="27395"/>
    <cfRule type="duplicateValues" dxfId="25617" priority="27396"/>
    <cfRule type="duplicateValues" dxfId="25616" priority="27397"/>
    <cfRule type="duplicateValues" dxfId="25615" priority="27398"/>
    <cfRule type="duplicateValues" dxfId="25614" priority="27399"/>
    <cfRule type="duplicateValues" dxfId="25613" priority="27400"/>
    <cfRule type="duplicateValues" dxfId="25612" priority="27401"/>
    <cfRule type="duplicateValues" dxfId="25611" priority="27402"/>
    <cfRule type="duplicateValues" dxfId="25610" priority="27403"/>
    <cfRule type="duplicateValues" dxfId="25609" priority="27404"/>
    <cfRule type="duplicateValues" dxfId="25608" priority="27405"/>
    <cfRule type="duplicateValues" dxfId="25607" priority="27406"/>
    <cfRule type="duplicateValues" dxfId="25606" priority="27407"/>
    <cfRule type="duplicateValues" dxfId="25605" priority="27408"/>
    <cfRule type="duplicateValues" dxfId="25604" priority="27409"/>
    <cfRule type="duplicateValues" dxfId="25603" priority="27410"/>
    <cfRule type="duplicateValues" dxfId="25602" priority="27411"/>
    <cfRule type="duplicateValues" dxfId="25601" priority="27412"/>
    <cfRule type="duplicateValues" dxfId="25600" priority="27413"/>
    <cfRule type="duplicateValues" dxfId="25599" priority="27414"/>
    <cfRule type="duplicateValues" dxfId="25598" priority="27415"/>
    <cfRule type="duplicateValues" dxfId="25597" priority="27416"/>
    <cfRule type="duplicateValues" dxfId="25596" priority="27417"/>
    <cfRule type="duplicateValues" dxfId="25595" priority="27418"/>
    <cfRule type="duplicateValues" dxfId="25594" priority="27419"/>
    <cfRule type="duplicateValues" dxfId="25593" priority="27420"/>
    <cfRule type="duplicateValues" dxfId="25592" priority="27421"/>
    <cfRule type="duplicateValues" dxfId="25591" priority="27422"/>
    <cfRule type="duplicateValues" dxfId="25590" priority="27423"/>
    <cfRule type="duplicateValues" dxfId="25589" priority="27424"/>
    <cfRule type="duplicateValues" dxfId="25588" priority="27425"/>
    <cfRule type="duplicateValues" dxfId="25587" priority="27426"/>
    <cfRule type="duplicateValues" dxfId="25586" priority="27427"/>
    <cfRule type="duplicateValues" dxfId="25585" priority="27428"/>
    <cfRule type="duplicateValues" dxfId="25584" priority="27429"/>
    <cfRule type="duplicateValues" dxfId="25583" priority="27430"/>
    <cfRule type="duplicateValues" dxfId="25582" priority="27431"/>
    <cfRule type="duplicateValues" dxfId="25581" priority="27432"/>
    <cfRule type="duplicateValues" dxfId="25580" priority="27433"/>
    <cfRule type="duplicateValues" dxfId="25579" priority="27434"/>
    <cfRule type="duplicateValues" dxfId="25578" priority="27435"/>
    <cfRule type="duplicateValues" dxfId="25577" priority="27436"/>
    <cfRule type="duplicateValues" dxfId="25576" priority="27437"/>
    <cfRule type="duplicateValues" dxfId="25575" priority="27438"/>
    <cfRule type="duplicateValues" dxfId="25574" priority="27439"/>
    <cfRule type="duplicateValues" dxfId="25573" priority="27440"/>
    <cfRule type="duplicateValues" dxfId="25572" priority="27441"/>
    <cfRule type="duplicateValues" dxfId="25571" priority="27442"/>
    <cfRule type="duplicateValues" dxfId="25570" priority="27443"/>
    <cfRule type="duplicateValues" dxfId="25569" priority="27444"/>
    <cfRule type="duplicateValues" dxfId="25568" priority="27445"/>
    <cfRule type="duplicateValues" dxfId="25567" priority="27446"/>
    <cfRule type="duplicateValues" dxfId="25566" priority="27447"/>
    <cfRule type="duplicateValues" dxfId="25565" priority="27448"/>
    <cfRule type="duplicateValues" dxfId="25564" priority="27449"/>
    <cfRule type="duplicateValues" dxfId="25563" priority="27450"/>
    <cfRule type="duplicateValues" dxfId="25562" priority="27451"/>
    <cfRule type="duplicateValues" dxfId="25561" priority="27452"/>
    <cfRule type="duplicateValues" dxfId="25560" priority="27453"/>
    <cfRule type="duplicateValues" dxfId="25559" priority="27454"/>
    <cfRule type="duplicateValues" dxfId="25558" priority="27455"/>
    <cfRule type="duplicateValues" dxfId="25557" priority="27456"/>
    <cfRule type="duplicateValues" dxfId="25556" priority="27457"/>
    <cfRule type="duplicateValues" dxfId="25555" priority="27458"/>
    <cfRule type="duplicateValues" dxfId="25554" priority="27459"/>
    <cfRule type="duplicateValues" dxfId="25553" priority="27460"/>
    <cfRule type="duplicateValues" dxfId="25552" priority="27461"/>
    <cfRule type="duplicateValues" dxfId="25551" priority="27462"/>
    <cfRule type="duplicateValues" dxfId="25550" priority="27463"/>
    <cfRule type="duplicateValues" dxfId="25549" priority="27464"/>
    <cfRule type="duplicateValues" dxfId="25548" priority="27465"/>
    <cfRule type="duplicateValues" dxfId="25547" priority="27466"/>
    <cfRule type="duplicateValues" dxfId="25546" priority="27467"/>
    <cfRule type="duplicateValues" dxfId="25545" priority="27468"/>
    <cfRule type="duplicateValues" dxfId="25544" priority="27469"/>
    <cfRule type="duplicateValues" dxfId="25543" priority="27470"/>
    <cfRule type="duplicateValues" dxfId="25542" priority="27471"/>
    <cfRule type="duplicateValues" dxfId="25541" priority="27472"/>
    <cfRule type="duplicateValues" dxfId="25540" priority="27473"/>
    <cfRule type="duplicateValues" dxfId="25539" priority="27474"/>
    <cfRule type="duplicateValues" dxfId="25538" priority="27475"/>
    <cfRule type="duplicateValues" dxfId="25537" priority="27476"/>
    <cfRule type="duplicateValues" dxfId="25536" priority="27477"/>
    <cfRule type="duplicateValues" dxfId="25535" priority="27478"/>
    <cfRule type="duplicateValues" dxfId="25534" priority="27479"/>
    <cfRule type="duplicateValues" dxfId="25533" priority="27480"/>
    <cfRule type="duplicateValues" dxfId="25532" priority="27481"/>
    <cfRule type="duplicateValues" dxfId="25531" priority="27482"/>
    <cfRule type="duplicateValues" dxfId="25530" priority="27483"/>
    <cfRule type="duplicateValues" dxfId="25529" priority="27484"/>
  </conditionalFormatting>
  <conditionalFormatting sqref="C201:C202">
    <cfRule type="duplicateValues" dxfId="25528" priority="8946"/>
    <cfRule type="duplicateValues" dxfId="25527" priority="8947"/>
    <cfRule type="duplicateValues" dxfId="25526" priority="8948"/>
    <cfRule type="duplicateValues" dxfId="25525" priority="8949"/>
    <cfRule type="duplicateValues" dxfId="25524" priority="8950"/>
    <cfRule type="duplicateValues" dxfId="25523" priority="8951"/>
  </conditionalFormatting>
  <conditionalFormatting sqref="C202">
    <cfRule type="duplicateValues" dxfId="25522" priority="26795"/>
    <cfRule type="duplicateValues" dxfId="25521" priority="26796"/>
    <cfRule type="duplicateValues" dxfId="25520" priority="26797"/>
    <cfRule type="duplicateValues" dxfId="25519" priority="26798"/>
    <cfRule type="duplicateValues" dxfId="25518" priority="26799"/>
    <cfRule type="duplicateValues" dxfId="25517" priority="26800"/>
    <cfRule type="duplicateValues" dxfId="25516" priority="26801"/>
    <cfRule type="duplicateValues" dxfId="25515" priority="26802"/>
    <cfRule type="duplicateValues" dxfId="25514" priority="26803"/>
    <cfRule type="duplicateValues" dxfId="25513" priority="26804"/>
    <cfRule type="duplicateValues" dxfId="25512" priority="26805"/>
    <cfRule type="duplicateValues" dxfId="25511" priority="26806"/>
    <cfRule type="duplicateValues" dxfId="25510" priority="26807"/>
    <cfRule type="duplicateValues" dxfId="25509" priority="26808"/>
    <cfRule type="duplicateValues" dxfId="25508" priority="26809"/>
    <cfRule type="duplicateValues" dxfId="25507" priority="26810"/>
    <cfRule type="duplicateValues" dxfId="25506" priority="26811"/>
    <cfRule type="duplicateValues" dxfId="25505" priority="26812"/>
    <cfRule type="duplicateValues" dxfId="25504" priority="26813"/>
    <cfRule type="duplicateValues" dxfId="25503" priority="26814"/>
    <cfRule type="duplicateValues" dxfId="25502" priority="26815"/>
    <cfRule type="duplicateValues" dxfId="25501" priority="26816"/>
    <cfRule type="duplicateValues" dxfId="25500" priority="26817"/>
    <cfRule type="duplicateValues" dxfId="25499" priority="26818"/>
    <cfRule type="duplicateValues" dxfId="25498" priority="26819"/>
    <cfRule type="duplicateValues" dxfId="25497" priority="26820"/>
    <cfRule type="duplicateValues" dxfId="25496" priority="26821"/>
    <cfRule type="duplicateValues" dxfId="25495" priority="26822"/>
    <cfRule type="duplicateValues" dxfId="25494" priority="26823"/>
    <cfRule type="duplicateValues" dxfId="25493" priority="26824"/>
    <cfRule type="duplicateValues" dxfId="25492" priority="26825"/>
    <cfRule type="duplicateValues" dxfId="25491" priority="26826"/>
    <cfRule type="duplicateValues" dxfId="25490" priority="26827"/>
    <cfRule type="duplicateValues" dxfId="25489" priority="26828"/>
    <cfRule type="duplicateValues" dxfId="25488" priority="26829"/>
    <cfRule type="duplicateValues" dxfId="25487" priority="26830"/>
    <cfRule type="duplicateValues" dxfId="25486" priority="26831"/>
    <cfRule type="duplicateValues" dxfId="25485" priority="26832"/>
    <cfRule type="duplicateValues" dxfId="25484" priority="26833"/>
    <cfRule type="duplicateValues" dxfId="25483" priority="26834"/>
    <cfRule type="duplicateValues" dxfId="25482" priority="26835"/>
    <cfRule type="duplicateValues" dxfId="25481" priority="26836"/>
    <cfRule type="duplicateValues" dxfId="25480" priority="26837"/>
    <cfRule type="duplicateValues" dxfId="25479" priority="26838"/>
    <cfRule type="duplicateValues" dxfId="25478" priority="26839"/>
    <cfRule type="duplicateValues" dxfId="25477" priority="26840"/>
    <cfRule type="duplicateValues" dxfId="25476" priority="26841"/>
    <cfRule type="duplicateValues" dxfId="25475" priority="26842"/>
    <cfRule type="duplicateValues" dxfId="25474" priority="26843"/>
    <cfRule type="duplicateValues" dxfId="25473" priority="26844"/>
    <cfRule type="duplicateValues" dxfId="25472" priority="26845"/>
    <cfRule type="duplicateValues" dxfId="25471" priority="26846"/>
    <cfRule type="duplicateValues" dxfId="25470" priority="26847"/>
    <cfRule type="duplicateValues" dxfId="25469" priority="26848"/>
    <cfRule type="duplicateValues" dxfId="25468" priority="26849"/>
    <cfRule type="duplicateValues" dxfId="25467" priority="26850"/>
    <cfRule type="duplicateValues" dxfId="25466" priority="26851"/>
    <cfRule type="duplicateValues" dxfId="25465" priority="26852"/>
    <cfRule type="duplicateValues" dxfId="25464" priority="26853"/>
    <cfRule type="duplicateValues" dxfId="25463" priority="26854"/>
    <cfRule type="duplicateValues" dxfId="25462" priority="26855"/>
    <cfRule type="duplicateValues" dxfId="25461" priority="26856"/>
    <cfRule type="duplicateValues" dxfId="25460" priority="26857"/>
    <cfRule type="duplicateValues" dxfId="25459" priority="26858"/>
    <cfRule type="duplicateValues" dxfId="25458" priority="26859"/>
    <cfRule type="duplicateValues" dxfId="25457" priority="26860"/>
    <cfRule type="duplicateValues" dxfId="25456" priority="26861"/>
    <cfRule type="duplicateValues" dxfId="25455" priority="26862"/>
    <cfRule type="duplicateValues" dxfId="25454" priority="26863"/>
    <cfRule type="duplicateValues" dxfId="25453" priority="26864"/>
    <cfRule type="duplicateValues" dxfId="25452" priority="26865"/>
    <cfRule type="duplicateValues" dxfId="25451" priority="26866"/>
    <cfRule type="duplicateValues" dxfId="25450" priority="26867"/>
    <cfRule type="duplicateValues" dxfId="25449" priority="26868"/>
    <cfRule type="duplicateValues" dxfId="25448" priority="26869"/>
    <cfRule type="duplicateValues" dxfId="25447" priority="26870"/>
    <cfRule type="duplicateValues" dxfId="25446" priority="26871"/>
    <cfRule type="duplicateValues" dxfId="25445" priority="26872"/>
    <cfRule type="duplicateValues" dxfId="25444" priority="26873"/>
    <cfRule type="duplicateValues" dxfId="25443" priority="26874"/>
    <cfRule type="duplicateValues" dxfId="25442" priority="26875"/>
    <cfRule type="duplicateValues" dxfId="25441" priority="26876"/>
    <cfRule type="duplicateValues" dxfId="25440" priority="26877"/>
    <cfRule type="duplicateValues" dxfId="25439" priority="26878"/>
    <cfRule type="duplicateValues" dxfId="25438" priority="26879"/>
    <cfRule type="duplicateValues" dxfId="25437" priority="26880"/>
    <cfRule type="duplicateValues" dxfId="25436" priority="26881"/>
    <cfRule type="duplicateValues" dxfId="25435" priority="26882"/>
    <cfRule type="duplicateValues" dxfId="25434" priority="26883"/>
    <cfRule type="duplicateValues" dxfId="25433" priority="26884"/>
    <cfRule type="duplicateValues" dxfId="25432" priority="26885"/>
    <cfRule type="duplicateValues" dxfId="25431" priority="26886"/>
    <cfRule type="duplicateValues" dxfId="25430" priority="26887"/>
    <cfRule type="duplicateValues" dxfId="25429" priority="26888"/>
    <cfRule type="duplicateValues" dxfId="25428" priority="26889"/>
    <cfRule type="duplicateValues" dxfId="25427" priority="26890"/>
    <cfRule type="duplicateValues" dxfId="25426" priority="26891"/>
    <cfRule type="duplicateValues" dxfId="25425" priority="26892"/>
    <cfRule type="duplicateValues" dxfId="25424" priority="26893"/>
    <cfRule type="duplicateValues" dxfId="25423" priority="26894"/>
    <cfRule type="duplicateValues" dxfId="25422" priority="26895"/>
    <cfRule type="duplicateValues" dxfId="25421" priority="26896"/>
    <cfRule type="duplicateValues" dxfId="25420" priority="26897"/>
    <cfRule type="duplicateValues" dxfId="25419" priority="26898"/>
    <cfRule type="duplicateValues" dxfId="25418" priority="26899"/>
    <cfRule type="duplicateValues" dxfId="25417" priority="26900"/>
    <cfRule type="duplicateValues" dxfId="25416" priority="26901"/>
    <cfRule type="duplicateValues" dxfId="25415" priority="26902"/>
    <cfRule type="duplicateValues" dxfId="25414" priority="26903"/>
    <cfRule type="duplicateValues" dxfId="25413" priority="26904"/>
    <cfRule type="duplicateValues" dxfId="25412" priority="26905"/>
    <cfRule type="duplicateValues" dxfId="25411" priority="26906"/>
    <cfRule type="duplicateValues" dxfId="25410" priority="26907"/>
    <cfRule type="duplicateValues" dxfId="25409" priority="26908"/>
    <cfRule type="duplicateValues" dxfId="25408" priority="26909"/>
    <cfRule type="duplicateValues" dxfId="25407" priority="26910"/>
    <cfRule type="duplicateValues" dxfId="25406" priority="26911"/>
    <cfRule type="duplicateValues" dxfId="25405" priority="26912"/>
    <cfRule type="duplicateValues" dxfId="25404" priority="26913"/>
    <cfRule type="duplicateValues" dxfId="25403" priority="26914"/>
    <cfRule type="duplicateValues" dxfId="25402" priority="26915"/>
    <cfRule type="duplicateValues" dxfId="25401" priority="26916"/>
    <cfRule type="duplicateValues" dxfId="25400" priority="26917"/>
    <cfRule type="duplicateValues" dxfId="25399" priority="26918"/>
    <cfRule type="duplicateValues" dxfId="25398" priority="26919"/>
    <cfRule type="duplicateValues" dxfId="25397" priority="26920"/>
    <cfRule type="duplicateValues" dxfId="25396" priority="26921"/>
    <cfRule type="duplicateValues" dxfId="25395" priority="26922"/>
    <cfRule type="duplicateValues" dxfId="25394" priority="26923"/>
    <cfRule type="duplicateValues" dxfId="25393" priority="26924"/>
    <cfRule type="duplicateValues" dxfId="25392" priority="26925"/>
    <cfRule type="duplicateValues" dxfId="25391" priority="26926"/>
    <cfRule type="duplicateValues" dxfId="25390" priority="26927"/>
    <cfRule type="duplicateValues" dxfId="25389" priority="26928"/>
    <cfRule type="duplicateValues" dxfId="25388" priority="26929"/>
    <cfRule type="duplicateValues" dxfId="25387" priority="26930"/>
    <cfRule type="duplicateValues" dxfId="25386" priority="26931"/>
    <cfRule type="duplicateValues" dxfId="25385" priority="26932"/>
    <cfRule type="duplicateValues" dxfId="25384" priority="26933"/>
    <cfRule type="duplicateValues" dxfId="25383" priority="26934"/>
    <cfRule type="duplicateValues" dxfId="25382" priority="26935"/>
    <cfRule type="duplicateValues" dxfId="25381" priority="26936"/>
    <cfRule type="duplicateValues" dxfId="25380" priority="26937"/>
    <cfRule type="duplicateValues" dxfId="25379" priority="26938"/>
    <cfRule type="duplicateValues" dxfId="25378" priority="26939"/>
    <cfRule type="duplicateValues" dxfId="25377" priority="26940"/>
    <cfRule type="duplicateValues" dxfId="25376" priority="26941"/>
    <cfRule type="duplicateValues" dxfId="25375" priority="26942"/>
    <cfRule type="duplicateValues" dxfId="25374" priority="26943"/>
    <cfRule type="duplicateValues" dxfId="25373" priority="26944"/>
    <cfRule type="duplicateValues" dxfId="25372" priority="26945"/>
    <cfRule type="duplicateValues" dxfId="25371" priority="26946"/>
    <cfRule type="duplicateValues" dxfId="25370" priority="26947"/>
    <cfRule type="duplicateValues" dxfId="25369" priority="26948"/>
    <cfRule type="duplicateValues" dxfId="25368" priority="26949"/>
    <cfRule type="duplicateValues" dxfId="25367" priority="26950"/>
    <cfRule type="duplicateValues" dxfId="25366" priority="26951"/>
    <cfRule type="duplicateValues" dxfId="25365" priority="26952"/>
    <cfRule type="duplicateValues" dxfId="25364" priority="26953"/>
    <cfRule type="duplicateValues" dxfId="25363" priority="26954"/>
    <cfRule type="duplicateValues" dxfId="25362" priority="26955"/>
    <cfRule type="duplicateValues" dxfId="25361" priority="26956"/>
    <cfRule type="duplicateValues" dxfId="25360" priority="26957"/>
    <cfRule type="duplicateValues" dxfId="25359" priority="26958"/>
    <cfRule type="duplicateValues" dxfId="25358" priority="26959"/>
    <cfRule type="duplicateValues" dxfId="25357" priority="26960"/>
    <cfRule type="duplicateValues" dxfId="25356" priority="26961"/>
    <cfRule type="duplicateValues" dxfId="25355" priority="26962"/>
    <cfRule type="duplicateValues" dxfId="25354" priority="26963"/>
    <cfRule type="duplicateValues" dxfId="25353" priority="26964"/>
    <cfRule type="duplicateValues" dxfId="25352" priority="26965"/>
    <cfRule type="duplicateValues" dxfId="25351" priority="26966"/>
    <cfRule type="duplicateValues" dxfId="25350" priority="26967"/>
    <cfRule type="duplicateValues" dxfId="25349" priority="26968"/>
    <cfRule type="duplicateValues" dxfId="25348" priority="26969"/>
    <cfRule type="duplicateValues" dxfId="25347" priority="26970"/>
    <cfRule type="duplicateValues" dxfId="25346" priority="26971"/>
    <cfRule type="duplicateValues" dxfId="25345" priority="26972"/>
    <cfRule type="duplicateValues" dxfId="25344" priority="26973"/>
    <cfRule type="duplicateValues" dxfId="25343" priority="26974"/>
    <cfRule type="duplicateValues" dxfId="25342" priority="26975"/>
    <cfRule type="duplicateValues" dxfId="25341" priority="26976"/>
    <cfRule type="duplicateValues" dxfId="25340" priority="26977"/>
    <cfRule type="duplicateValues" dxfId="25339" priority="26978"/>
    <cfRule type="duplicateValues" dxfId="25338" priority="26979"/>
    <cfRule type="duplicateValues" dxfId="25337" priority="26980"/>
    <cfRule type="duplicateValues" dxfId="25336" priority="26981"/>
    <cfRule type="duplicateValues" dxfId="25335" priority="26982"/>
    <cfRule type="duplicateValues" dxfId="25334" priority="26983"/>
    <cfRule type="duplicateValues" dxfId="25333" priority="26984"/>
    <cfRule type="duplicateValues" dxfId="25332" priority="26985"/>
    <cfRule type="duplicateValues" dxfId="25331" priority="26986"/>
    <cfRule type="duplicateValues" dxfId="25330" priority="26987"/>
    <cfRule type="duplicateValues" dxfId="25329" priority="26988"/>
    <cfRule type="duplicateValues" dxfId="25328" priority="26989"/>
    <cfRule type="duplicateValues" dxfId="25327" priority="26990"/>
    <cfRule type="duplicateValues" dxfId="25326" priority="26991"/>
    <cfRule type="duplicateValues" dxfId="25325" priority="26992"/>
    <cfRule type="duplicateValues" dxfId="25324" priority="26993"/>
    <cfRule type="duplicateValues" dxfId="25323" priority="26994"/>
    <cfRule type="duplicateValues" dxfId="25322" priority="26995"/>
    <cfRule type="duplicateValues" dxfId="25321" priority="26996"/>
    <cfRule type="duplicateValues" dxfId="25320" priority="26997"/>
    <cfRule type="duplicateValues" dxfId="25319" priority="26998"/>
    <cfRule type="duplicateValues" dxfId="25318" priority="26999"/>
    <cfRule type="duplicateValues" dxfId="25317" priority="27000"/>
    <cfRule type="duplicateValues" dxfId="25316" priority="27001"/>
    <cfRule type="duplicateValues" dxfId="25315" priority="27002"/>
    <cfRule type="duplicateValues" dxfId="25314" priority="27003"/>
    <cfRule type="duplicateValues" dxfId="25313" priority="27004"/>
    <cfRule type="duplicateValues" dxfId="25312" priority="27005"/>
    <cfRule type="duplicateValues" dxfId="25311" priority="27006"/>
    <cfRule type="duplicateValues" dxfId="25310" priority="27007"/>
    <cfRule type="duplicateValues" dxfId="25309" priority="27008"/>
    <cfRule type="duplicateValues" dxfId="25308" priority="27009"/>
    <cfRule type="duplicateValues" dxfId="25307" priority="27010"/>
    <cfRule type="duplicateValues" dxfId="25306" priority="27011"/>
    <cfRule type="duplicateValues" dxfId="25305" priority="27012"/>
    <cfRule type="duplicateValues" dxfId="25304" priority="27013"/>
    <cfRule type="duplicateValues" dxfId="25303" priority="27014"/>
    <cfRule type="duplicateValues" dxfId="25302" priority="27015"/>
    <cfRule type="duplicateValues" dxfId="25301" priority="27016"/>
    <cfRule type="duplicateValues" dxfId="25300" priority="27017"/>
    <cfRule type="duplicateValues" dxfId="25299" priority="27018"/>
    <cfRule type="duplicateValues" dxfId="25298" priority="27019"/>
    <cfRule type="duplicateValues" dxfId="25297" priority="27020"/>
    <cfRule type="duplicateValues" dxfId="25296" priority="27021"/>
    <cfRule type="duplicateValues" dxfId="25295" priority="27022"/>
    <cfRule type="duplicateValues" dxfId="25294" priority="27023"/>
    <cfRule type="duplicateValues" dxfId="25293" priority="27024"/>
    <cfRule type="duplicateValues" dxfId="25292" priority="27025"/>
    <cfRule type="duplicateValues" dxfId="25291" priority="27026"/>
    <cfRule type="duplicateValues" dxfId="25290" priority="27027"/>
    <cfRule type="duplicateValues" dxfId="25289" priority="27028"/>
    <cfRule type="duplicateValues" dxfId="25288" priority="27029"/>
    <cfRule type="duplicateValues" dxfId="25287" priority="27030"/>
    <cfRule type="duplicateValues" dxfId="25286" priority="27031"/>
    <cfRule type="duplicateValues" dxfId="25285" priority="27032"/>
    <cfRule type="duplicateValues" dxfId="25284" priority="27033"/>
    <cfRule type="duplicateValues" dxfId="25283" priority="27034"/>
    <cfRule type="duplicateValues" dxfId="25282" priority="27035"/>
    <cfRule type="duplicateValues" dxfId="25281" priority="27036"/>
    <cfRule type="duplicateValues" dxfId="25280" priority="27037"/>
    <cfRule type="duplicateValues" dxfId="25279" priority="27038"/>
    <cfRule type="duplicateValues" dxfId="25278" priority="27039"/>
    <cfRule type="duplicateValues" dxfId="25277" priority="27040"/>
    <cfRule type="duplicateValues" dxfId="25276" priority="27041"/>
    <cfRule type="duplicateValues" dxfId="25275" priority="27042"/>
    <cfRule type="duplicateValues" dxfId="25274" priority="27043"/>
    <cfRule type="duplicateValues" dxfId="25273" priority="27044"/>
    <cfRule type="duplicateValues" dxfId="25272" priority="27045"/>
    <cfRule type="duplicateValues" dxfId="25271" priority="27046"/>
    <cfRule type="duplicateValues" dxfId="25270" priority="27047"/>
    <cfRule type="duplicateValues" dxfId="25269" priority="27048"/>
    <cfRule type="duplicateValues" dxfId="25268" priority="27049"/>
    <cfRule type="duplicateValues" dxfId="25267" priority="27050"/>
    <cfRule type="duplicateValues" dxfId="25266" priority="27051"/>
    <cfRule type="duplicateValues" dxfId="25265" priority="27052"/>
    <cfRule type="duplicateValues" dxfId="25264" priority="27053"/>
    <cfRule type="duplicateValues" dxfId="25263" priority="27054"/>
    <cfRule type="duplicateValues" dxfId="25262" priority="27055"/>
    <cfRule type="duplicateValues" dxfId="25261" priority="27056"/>
    <cfRule type="duplicateValues" dxfId="25260" priority="27057"/>
    <cfRule type="duplicateValues" dxfId="25259" priority="27058"/>
    <cfRule type="duplicateValues" dxfId="25258" priority="27059"/>
    <cfRule type="duplicateValues" dxfId="25257" priority="27060"/>
    <cfRule type="duplicateValues" dxfId="25256" priority="27061"/>
    <cfRule type="duplicateValues" dxfId="25255" priority="27062"/>
    <cfRule type="duplicateValues" dxfId="25254" priority="27063"/>
    <cfRule type="duplicateValues" dxfId="25253" priority="27064"/>
    <cfRule type="duplicateValues" dxfId="25252" priority="27065"/>
    <cfRule type="duplicateValues" dxfId="25251" priority="27066"/>
    <cfRule type="duplicateValues" dxfId="25250" priority="27067"/>
    <cfRule type="duplicateValues" dxfId="25249" priority="27068"/>
    <cfRule type="duplicateValues" dxfId="25248" priority="27069"/>
    <cfRule type="duplicateValues" dxfId="25247" priority="27070"/>
    <cfRule type="duplicateValues" dxfId="25246" priority="27071"/>
    <cfRule type="duplicateValues" dxfId="25245" priority="27072"/>
    <cfRule type="duplicateValues" dxfId="25244" priority="27073"/>
    <cfRule type="duplicateValues" dxfId="25243" priority="27074"/>
    <cfRule type="duplicateValues" dxfId="25242" priority="27075"/>
    <cfRule type="duplicateValues" dxfId="25241" priority="27076"/>
    <cfRule type="duplicateValues" dxfId="25240" priority="27077"/>
    <cfRule type="duplicateValues" dxfId="25239" priority="27078"/>
    <cfRule type="duplicateValues" dxfId="25238" priority="27079"/>
    <cfRule type="duplicateValues" dxfId="25237" priority="27080"/>
    <cfRule type="duplicateValues" dxfId="25236" priority="27081"/>
    <cfRule type="duplicateValues" dxfId="25235" priority="27082"/>
    <cfRule type="duplicateValues" dxfId="25234" priority="27083"/>
    <cfRule type="duplicateValues" dxfId="25233" priority="27084"/>
    <cfRule type="duplicateValues" dxfId="25232" priority="27085"/>
    <cfRule type="duplicateValues" dxfId="25231" priority="27086"/>
    <cfRule type="duplicateValues" dxfId="25230" priority="27087"/>
    <cfRule type="duplicateValues" dxfId="25229" priority="27088"/>
    <cfRule type="duplicateValues" dxfId="25228" priority="27089"/>
    <cfRule type="duplicateValues" dxfId="25227" priority="27090"/>
    <cfRule type="duplicateValues" dxfId="25226" priority="27091"/>
    <cfRule type="duplicateValues" dxfId="25225" priority="27092"/>
    <cfRule type="duplicateValues" dxfId="25224" priority="27093"/>
    <cfRule type="duplicateValues" dxfId="25223" priority="27094"/>
    <cfRule type="duplicateValues" dxfId="25222" priority="27095"/>
    <cfRule type="duplicateValues" dxfId="25221" priority="27096"/>
    <cfRule type="duplicateValues" dxfId="25220" priority="27097"/>
    <cfRule type="duplicateValues" dxfId="25219" priority="27098"/>
    <cfRule type="duplicateValues" dxfId="25218" priority="27099"/>
    <cfRule type="duplicateValues" dxfId="25217" priority="27100"/>
    <cfRule type="duplicateValues" dxfId="25216" priority="27101"/>
    <cfRule type="duplicateValues" dxfId="25215" priority="27102"/>
    <cfRule type="duplicateValues" dxfId="25214" priority="27103"/>
    <cfRule type="duplicateValues" dxfId="25213" priority="27104"/>
    <cfRule type="duplicateValues" dxfId="25212" priority="27105"/>
    <cfRule type="duplicateValues" dxfId="25211" priority="27106"/>
    <cfRule type="duplicateValues" dxfId="25210" priority="27107"/>
    <cfRule type="duplicateValues" dxfId="25209" priority="27108"/>
    <cfRule type="duplicateValues" dxfId="25208" priority="27109"/>
    <cfRule type="duplicateValues" dxfId="25207" priority="27110"/>
    <cfRule type="duplicateValues" dxfId="25206" priority="27111"/>
    <cfRule type="duplicateValues" dxfId="25205" priority="27112"/>
    <cfRule type="duplicateValues" dxfId="25204" priority="27113"/>
    <cfRule type="duplicateValues" dxfId="25203" priority="27114"/>
    <cfRule type="duplicateValues" dxfId="25202" priority="27115"/>
    <cfRule type="duplicateValues" dxfId="25201" priority="27116"/>
    <cfRule type="duplicateValues" dxfId="25200" priority="27117"/>
    <cfRule type="duplicateValues" dxfId="25199" priority="27118"/>
    <cfRule type="duplicateValues" dxfId="25198" priority="27119"/>
    <cfRule type="duplicateValues" dxfId="25197" priority="27120"/>
    <cfRule type="duplicateValues" dxfId="25196" priority="27121"/>
    <cfRule type="duplicateValues" dxfId="25195" priority="27122"/>
    <cfRule type="duplicateValues" dxfId="25194" priority="27123"/>
    <cfRule type="duplicateValues" dxfId="25193" priority="27124"/>
    <cfRule type="duplicateValues" dxfId="25192" priority="27125"/>
    <cfRule type="duplicateValues" dxfId="25191" priority="27126"/>
    <cfRule type="duplicateValues" dxfId="25190" priority="27127"/>
    <cfRule type="duplicateValues" dxfId="25189" priority="27128"/>
    <cfRule type="duplicateValues" dxfId="25188" priority="27129"/>
    <cfRule type="duplicateValues" dxfId="25187" priority="27130"/>
    <cfRule type="duplicateValues" dxfId="25186" priority="27131"/>
    <cfRule type="duplicateValues" dxfId="25185" priority="27132"/>
    <cfRule type="duplicateValues" dxfId="25184" priority="27133"/>
    <cfRule type="duplicateValues" dxfId="25183" priority="27134"/>
    <cfRule type="duplicateValues" dxfId="25182" priority="27135"/>
    <cfRule type="duplicateValues" dxfId="25181" priority="27136"/>
    <cfRule type="duplicateValues" dxfId="25180" priority="27137"/>
    <cfRule type="duplicateValues" dxfId="25179" priority="27138"/>
    <cfRule type="duplicateValues" dxfId="25178" priority="27139"/>
  </conditionalFormatting>
  <conditionalFormatting sqref="C203:C204">
    <cfRule type="duplicateValues" dxfId="25177" priority="8601"/>
    <cfRule type="duplicateValues" dxfId="25176" priority="8602"/>
    <cfRule type="duplicateValues" dxfId="25175" priority="8603"/>
    <cfRule type="duplicateValues" dxfId="25174" priority="8604"/>
    <cfRule type="duplicateValues" dxfId="25173" priority="8605"/>
    <cfRule type="duplicateValues" dxfId="25172" priority="8606"/>
    <cfRule type="duplicateValues" dxfId="25171" priority="8607"/>
    <cfRule type="duplicateValues" dxfId="25170" priority="8608"/>
    <cfRule type="duplicateValues" dxfId="25169" priority="8609"/>
    <cfRule type="duplicateValues" dxfId="25168" priority="8610"/>
    <cfRule type="duplicateValues" dxfId="25167" priority="8611"/>
    <cfRule type="duplicateValues" dxfId="25166" priority="8612"/>
    <cfRule type="duplicateValues" dxfId="25165" priority="8613"/>
    <cfRule type="duplicateValues" dxfId="25164" priority="8614"/>
    <cfRule type="duplicateValues" dxfId="25163" priority="8615"/>
    <cfRule type="duplicateValues" dxfId="25162" priority="8616"/>
    <cfRule type="duplicateValues" dxfId="25161" priority="8617"/>
    <cfRule type="duplicateValues" dxfId="25160" priority="8618"/>
    <cfRule type="duplicateValues" dxfId="25159" priority="8619"/>
    <cfRule type="duplicateValues" dxfId="25158" priority="8620"/>
    <cfRule type="duplicateValues" dxfId="25157" priority="8621"/>
    <cfRule type="duplicateValues" dxfId="25156" priority="8622"/>
    <cfRule type="duplicateValues" dxfId="25155" priority="8623"/>
    <cfRule type="duplicateValues" dxfId="25154" priority="8624"/>
    <cfRule type="duplicateValues" dxfId="25153" priority="8625"/>
    <cfRule type="duplicateValues" dxfId="25152" priority="8626"/>
    <cfRule type="duplicateValues" dxfId="25151" priority="8627"/>
    <cfRule type="duplicateValues" dxfId="25150" priority="8628"/>
    <cfRule type="duplicateValues" dxfId="25149" priority="8629"/>
    <cfRule type="duplicateValues" dxfId="25148" priority="8630"/>
    <cfRule type="duplicateValues" dxfId="25147" priority="8631"/>
    <cfRule type="duplicateValues" dxfId="25146" priority="8632"/>
    <cfRule type="duplicateValues" dxfId="25145" priority="8633"/>
    <cfRule type="duplicateValues" dxfId="25144" priority="8634"/>
    <cfRule type="duplicateValues" dxfId="25143" priority="8635"/>
    <cfRule type="duplicateValues" dxfId="25142" priority="8636"/>
    <cfRule type="duplicateValues" dxfId="25141" priority="8637"/>
    <cfRule type="duplicateValues" dxfId="25140" priority="8638"/>
    <cfRule type="duplicateValues" dxfId="25139" priority="8639"/>
    <cfRule type="duplicateValues" dxfId="25138" priority="8640"/>
    <cfRule type="duplicateValues" dxfId="25137" priority="8641"/>
    <cfRule type="duplicateValues" dxfId="25136" priority="8642"/>
    <cfRule type="duplicateValues" dxfId="25135" priority="8643"/>
    <cfRule type="duplicateValues" dxfId="25134" priority="8644"/>
    <cfRule type="duplicateValues" dxfId="25133" priority="8645"/>
    <cfRule type="duplicateValues" dxfId="25132" priority="8646"/>
    <cfRule type="duplicateValues" dxfId="25131" priority="8647"/>
    <cfRule type="duplicateValues" dxfId="25130" priority="8648"/>
    <cfRule type="duplicateValues" dxfId="25129" priority="8649"/>
    <cfRule type="duplicateValues" dxfId="25128" priority="8650"/>
    <cfRule type="duplicateValues" dxfId="25127" priority="8651"/>
    <cfRule type="duplicateValues" dxfId="25126" priority="8652"/>
    <cfRule type="duplicateValues" dxfId="25125" priority="8653"/>
    <cfRule type="duplicateValues" dxfId="25124" priority="8654"/>
    <cfRule type="duplicateValues" dxfId="25123" priority="8655"/>
    <cfRule type="duplicateValues" dxfId="25122" priority="8656"/>
    <cfRule type="duplicateValues" dxfId="25121" priority="8657"/>
    <cfRule type="duplicateValues" dxfId="25120" priority="8658"/>
    <cfRule type="duplicateValues" dxfId="25119" priority="8659"/>
    <cfRule type="duplicateValues" dxfId="25118" priority="8660"/>
    <cfRule type="duplicateValues" dxfId="25117" priority="8661"/>
    <cfRule type="duplicateValues" dxfId="25116" priority="8662"/>
    <cfRule type="duplicateValues" dxfId="25115" priority="8663"/>
    <cfRule type="duplicateValues" dxfId="25114" priority="8664"/>
    <cfRule type="duplicateValues" dxfId="25113" priority="8665"/>
    <cfRule type="duplicateValues" dxfId="25112" priority="8666"/>
    <cfRule type="duplicateValues" dxfId="25111" priority="8667"/>
    <cfRule type="duplicateValues" dxfId="25110" priority="8668"/>
    <cfRule type="duplicateValues" dxfId="25109" priority="8669"/>
    <cfRule type="duplicateValues" dxfId="25108" priority="8670"/>
    <cfRule type="duplicateValues" dxfId="25107" priority="8671"/>
    <cfRule type="duplicateValues" dxfId="25106" priority="8672"/>
    <cfRule type="duplicateValues" dxfId="25105" priority="8673"/>
    <cfRule type="duplicateValues" dxfId="25104" priority="8674"/>
    <cfRule type="duplicateValues" dxfId="25103" priority="8675"/>
    <cfRule type="duplicateValues" dxfId="25102" priority="8676"/>
    <cfRule type="duplicateValues" dxfId="25101" priority="8677"/>
    <cfRule type="duplicateValues" dxfId="25100" priority="8678"/>
    <cfRule type="duplicateValues" dxfId="25099" priority="8679"/>
    <cfRule type="duplicateValues" dxfId="25098" priority="8680"/>
    <cfRule type="duplicateValues" dxfId="25097" priority="8681"/>
    <cfRule type="duplicateValues" dxfId="25096" priority="8682"/>
    <cfRule type="duplicateValues" dxfId="25095" priority="8683"/>
    <cfRule type="duplicateValues" dxfId="25094" priority="8684"/>
    <cfRule type="duplicateValues" dxfId="25093" priority="8685"/>
    <cfRule type="duplicateValues" dxfId="25092" priority="8686"/>
    <cfRule type="duplicateValues" dxfId="25091" priority="8687"/>
    <cfRule type="duplicateValues" dxfId="25090" priority="8688"/>
    <cfRule type="duplicateValues" dxfId="25089" priority="8689"/>
    <cfRule type="duplicateValues" dxfId="25088" priority="8690"/>
    <cfRule type="duplicateValues" dxfId="25087" priority="8691"/>
    <cfRule type="duplicateValues" dxfId="25086" priority="8692"/>
    <cfRule type="duplicateValues" dxfId="25085" priority="8693"/>
    <cfRule type="duplicateValues" dxfId="25084" priority="8694"/>
    <cfRule type="duplicateValues" dxfId="25083" priority="8695"/>
    <cfRule type="duplicateValues" dxfId="25082" priority="8696"/>
    <cfRule type="duplicateValues" dxfId="25081" priority="8697"/>
    <cfRule type="duplicateValues" dxfId="25080" priority="8698"/>
    <cfRule type="duplicateValues" dxfId="25079" priority="8699"/>
    <cfRule type="duplicateValues" dxfId="25078" priority="8700"/>
    <cfRule type="duplicateValues" dxfId="25077" priority="8701"/>
    <cfRule type="duplicateValues" dxfId="25076" priority="8702"/>
    <cfRule type="duplicateValues" dxfId="25075" priority="8703"/>
    <cfRule type="duplicateValues" dxfId="25074" priority="8704"/>
    <cfRule type="duplicateValues" dxfId="25073" priority="8705"/>
    <cfRule type="duplicateValues" dxfId="25072" priority="8706"/>
    <cfRule type="duplicateValues" dxfId="25071" priority="8707"/>
    <cfRule type="duplicateValues" dxfId="25070" priority="8708"/>
    <cfRule type="duplicateValues" dxfId="25069" priority="8709"/>
    <cfRule type="duplicateValues" dxfId="25068" priority="8710"/>
    <cfRule type="duplicateValues" dxfId="25067" priority="8711"/>
    <cfRule type="duplicateValues" dxfId="25066" priority="8712"/>
    <cfRule type="duplicateValues" dxfId="25065" priority="8713"/>
    <cfRule type="duplicateValues" dxfId="25064" priority="8714"/>
    <cfRule type="duplicateValues" dxfId="25063" priority="8715"/>
    <cfRule type="duplicateValues" dxfId="25062" priority="8716"/>
    <cfRule type="duplicateValues" dxfId="25061" priority="8717"/>
    <cfRule type="duplicateValues" dxfId="25060" priority="8718"/>
    <cfRule type="duplicateValues" dxfId="25059" priority="8719"/>
    <cfRule type="duplicateValues" dxfId="25058" priority="8720"/>
    <cfRule type="duplicateValues" dxfId="25057" priority="8721"/>
    <cfRule type="duplicateValues" dxfId="25056" priority="8722"/>
    <cfRule type="duplicateValues" dxfId="25055" priority="8723"/>
    <cfRule type="duplicateValues" dxfId="25054" priority="8724"/>
    <cfRule type="duplicateValues" dxfId="25053" priority="8725"/>
    <cfRule type="duplicateValues" dxfId="25052" priority="8726"/>
    <cfRule type="duplicateValues" dxfId="25051" priority="8727"/>
    <cfRule type="duplicateValues" dxfId="25050" priority="8728"/>
    <cfRule type="duplicateValues" dxfId="25049" priority="8729"/>
    <cfRule type="duplicateValues" dxfId="25048" priority="8730"/>
    <cfRule type="duplicateValues" dxfId="25047" priority="8731"/>
    <cfRule type="duplicateValues" dxfId="25046" priority="8732"/>
    <cfRule type="duplicateValues" dxfId="25045" priority="8733"/>
    <cfRule type="duplicateValues" dxfId="25044" priority="8734"/>
    <cfRule type="duplicateValues" dxfId="25043" priority="8735"/>
    <cfRule type="duplicateValues" dxfId="25042" priority="8736"/>
    <cfRule type="duplicateValues" dxfId="25041" priority="8737"/>
    <cfRule type="duplicateValues" dxfId="25040" priority="8738"/>
    <cfRule type="duplicateValues" dxfId="25039" priority="8739"/>
    <cfRule type="duplicateValues" dxfId="25038" priority="8740"/>
    <cfRule type="duplicateValues" dxfId="25037" priority="8741"/>
    <cfRule type="duplicateValues" dxfId="25036" priority="8742"/>
    <cfRule type="duplicateValues" dxfId="25035" priority="8743"/>
    <cfRule type="duplicateValues" dxfId="25034" priority="8744"/>
    <cfRule type="duplicateValues" dxfId="25033" priority="8745"/>
    <cfRule type="duplicateValues" dxfId="25032" priority="8746"/>
    <cfRule type="duplicateValues" dxfId="25031" priority="8747"/>
    <cfRule type="duplicateValues" dxfId="25030" priority="8748"/>
    <cfRule type="duplicateValues" dxfId="25029" priority="8749"/>
    <cfRule type="duplicateValues" dxfId="25028" priority="8750"/>
    <cfRule type="duplicateValues" dxfId="25027" priority="8751"/>
    <cfRule type="duplicateValues" dxfId="25026" priority="8752"/>
    <cfRule type="duplicateValues" dxfId="25025" priority="8753"/>
    <cfRule type="duplicateValues" dxfId="25024" priority="8754"/>
    <cfRule type="duplicateValues" dxfId="25023" priority="8755"/>
    <cfRule type="duplicateValues" dxfId="25022" priority="8756"/>
    <cfRule type="duplicateValues" dxfId="25021" priority="8757"/>
    <cfRule type="duplicateValues" dxfId="25020" priority="8758"/>
    <cfRule type="duplicateValues" dxfId="25019" priority="8759"/>
    <cfRule type="duplicateValues" dxfId="25018" priority="8760"/>
    <cfRule type="duplicateValues" dxfId="25017" priority="8761"/>
    <cfRule type="duplicateValues" dxfId="25016" priority="8762"/>
    <cfRule type="duplicateValues" dxfId="25015" priority="8763"/>
    <cfRule type="duplicateValues" dxfId="25014" priority="8764"/>
    <cfRule type="duplicateValues" dxfId="25013" priority="8765"/>
    <cfRule type="duplicateValues" dxfId="25012" priority="8766"/>
    <cfRule type="duplicateValues" dxfId="25011" priority="8767"/>
    <cfRule type="duplicateValues" dxfId="25010" priority="8768"/>
    <cfRule type="duplicateValues" dxfId="25009" priority="8769"/>
    <cfRule type="duplicateValues" dxfId="25008" priority="8770"/>
    <cfRule type="duplicateValues" dxfId="25007" priority="8771"/>
    <cfRule type="duplicateValues" dxfId="25006" priority="8772"/>
    <cfRule type="duplicateValues" dxfId="25005" priority="8773"/>
    <cfRule type="duplicateValues" dxfId="25004" priority="8774"/>
    <cfRule type="duplicateValues" dxfId="25003" priority="8775"/>
    <cfRule type="duplicateValues" dxfId="25002" priority="8776"/>
    <cfRule type="duplicateValues" dxfId="25001" priority="8777"/>
    <cfRule type="duplicateValues" dxfId="25000" priority="8778"/>
    <cfRule type="duplicateValues" dxfId="24999" priority="8779"/>
    <cfRule type="duplicateValues" dxfId="24998" priority="8780"/>
    <cfRule type="duplicateValues" dxfId="24997" priority="8781"/>
    <cfRule type="duplicateValues" dxfId="24996" priority="8782"/>
    <cfRule type="duplicateValues" dxfId="24995" priority="8783"/>
    <cfRule type="duplicateValues" dxfId="24994" priority="8784"/>
    <cfRule type="duplicateValues" dxfId="24993" priority="8785"/>
    <cfRule type="duplicateValues" dxfId="24992" priority="8786"/>
    <cfRule type="duplicateValues" dxfId="24991" priority="8787"/>
    <cfRule type="duplicateValues" dxfId="24990" priority="8788"/>
    <cfRule type="duplicateValues" dxfId="24989" priority="8789"/>
    <cfRule type="duplicateValues" dxfId="24988" priority="8790"/>
    <cfRule type="duplicateValues" dxfId="24987" priority="8791"/>
    <cfRule type="duplicateValues" dxfId="24986" priority="8792"/>
    <cfRule type="duplicateValues" dxfId="24985" priority="8793"/>
    <cfRule type="duplicateValues" dxfId="24984" priority="8794"/>
    <cfRule type="duplicateValues" dxfId="24983" priority="8795"/>
    <cfRule type="duplicateValues" dxfId="24982" priority="8796"/>
    <cfRule type="duplicateValues" dxfId="24981" priority="8797"/>
    <cfRule type="duplicateValues" dxfId="24980" priority="8798"/>
    <cfRule type="duplicateValues" dxfId="24979" priority="8799"/>
    <cfRule type="duplicateValues" dxfId="24978" priority="8800"/>
    <cfRule type="duplicateValues" dxfId="24977" priority="8801"/>
    <cfRule type="duplicateValues" dxfId="24976" priority="8802"/>
    <cfRule type="duplicateValues" dxfId="24975" priority="8803"/>
    <cfRule type="duplicateValues" dxfId="24974" priority="8804"/>
    <cfRule type="duplicateValues" dxfId="24973" priority="8805"/>
    <cfRule type="duplicateValues" dxfId="24972" priority="8806"/>
    <cfRule type="duplicateValues" dxfId="24971" priority="8807"/>
    <cfRule type="duplicateValues" dxfId="24970" priority="8808"/>
    <cfRule type="duplicateValues" dxfId="24969" priority="8809"/>
    <cfRule type="duplicateValues" dxfId="24968" priority="8810"/>
    <cfRule type="duplicateValues" dxfId="24967" priority="8811"/>
    <cfRule type="duplicateValues" dxfId="24966" priority="8812"/>
    <cfRule type="duplicateValues" dxfId="24965" priority="8813"/>
    <cfRule type="duplicateValues" dxfId="24964" priority="8814"/>
    <cfRule type="duplicateValues" dxfId="24963" priority="8815"/>
    <cfRule type="duplicateValues" dxfId="24962" priority="8816"/>
    <cfRule type="duplicateValues" dxfId="24961" priority="8817"/>
    <cfRule type="duplicateValues" dxfId="24960" priority="8818"/>
    <cfRule type="duplicateValues" dxfId="24959" priority="8819"/>
    <cfRule type="duplicateValues" dxfId="24958" priority="8820"/>
    <cfRule type="duplicateValues" dxfId="24957" priority="8821"/>
    <cfRule type="duplicateValues" dxfId="24956" priority="8822"/>
    <cfRule type="duplicateValues" dxfId="24955" priority="8823"/>
    <cfRule type="duplicateValues" dxfId="24954" priority="8824"/>
    <cfRule type="duplicateValues" dxfId="24953" priority="8825"/>
    <cfRule type="duplicateValues" dxfId="24952" priority="8826"/>
    <cfRule type="duplicateValues" dxfId="24951" priority="8827"/>
    <cfRule type="duplicateValues" dxfId="24950" priority="8828"/>
    <cfRule type="duplicateValues" dxfId="24949" priority="8829"/>
    <cfRule type="duplicateValues" dxfId="24948" priority="8830"/>
    <cfRule type="duplicateValues" dxfId="24947" priority="8831"/>
    <cfRule type="duplicateValues" dxfId="24946" priority="8832"/>
    <cfRule type="duplicateValues" dxfId="24945" priority="8833"/>
    <cfRule type="duplicateValues" dxfId="24944" priority="8834"/>
    <cfRule type="duplicateValues" dxfId="24943" priority="8835"/>
    <cfRule type="duplicateValues" dxfId="24942" priority="8836"/>
    <cfRule type="duplicateValues" dxfId="24941" priority="8837"/>
    <cfRule type="duplicateValues" dxfId="24940" priority="8838"/>
    <cfRule type="duplicateValues" dxfId="24939" priority="8839"/>
    <cfRule type="duplicateValues" dxfId="24938" priority="8840"/>
    <cfRule type="duplicateValues" dxfId="24937" priority="8841"/>
    <cfRule type="duplicateValues" dxfId="24936" priority="8842"/>
    <cfRule type="duplicateValues" dxfId="24935" priority="8843"/>
    <cfRule type="duplicateValues" dxfId="24934" priority="8844"/>
    <cfRule type="duplicateValues" dxfId="24933" priority="8845"/>
    <cfRule type="duplicateValues" dxfId="24932" priority="8846"/>
    <cfRule type="duplicateValues" dxfId="24931" priority="8847"/>
    <cfRule type="duplicateValues" dxfId="24930" priority="8848"/>
    <cfRule type="duplicateValues" dxfId="24929" priority="8849"/>
    <cfRule type="duplicateValues" dxfId="24928" priority="8850"/>
    <cfRule type="duplicateValues" dxfId="24927" priority="8851"/>
    <cfRule type="duplicateValues" dxfId="24926" priority="8852"/>
    <cfRule type="duplicateValues" dxfId="24925" priority="8853"/>
    <cfRule type="duplicateValues" dxfId="24924" priority="8854"/>
    <cfRule type="duplicateValues" dxfId="24923" priority="8855"/>
    <cfRule type="duplicateValues" dxfId="24922" priority="8856"/>
    <cfRule type="duplicateValues" dxfId="24921" priority="8857"/>
    <cfRule type="duplicateValues" dxfId="24920" priority="8858"/>
    <cfRule type="duplicateValues" dxfId="24919" priority="8859"/>
    <cfRule type="duplicateValues" dxfId="24918" priority="8860"/>
    <cfRule type="duplicateValues" dxfId="24917" priority="8861"/>
    <cfRule type="duplicateValues" dxfId="24916" priority="8862"/>
    <cfRule type="duplicateValues" dxfId="24915" priority="8863"/>
    <cfRule type="duplicateValues" dxfId="24914" priority="8864"/>
    <cfRule type="duplicateValues" dxfId="24913" priority="8865"/>
    <cfRule type="duplicateValues" dxfId="24912" priority="8866"/>
    <cfRule type="duplicateValues" dxfId="24911" priority="8867"/>
    <cfRule type="duplicateValues" dxfId="24910" priority="8868"/>
    <cfRule type="duplicateValues" dxfId="24909" priority="8869"/>
    <cfRule type="duplicateValues" dxfId="24908" priority="8870"/>
    <cfRule type="duplicateValues" dxfId="24907" priority="8871"/>
    <cfRule type="duplicateValues" dxfId="24906" priority="8872"/>
    <cfRule type="duplicateValues" dxfId="24905" priority="8873"/>
    <cfRule type="duplicateValues" dxfId="24904" priority="8874"/>
    <cfRule type="duplicateValues" dxfId="24903" priority="8875"/>
    <cfRule type="duplicateValues" dxfId="24902" priority="8876"/>
    <cfRule type="duplicateValues" dxfId="24901" priority="8877"/>
    <cfRule type="duplicateValues" dxfId="24900" priority="8878"/>
    <cfRule type="duplicateValues" dxfId="24899" priority="8879"/>
    <cfRule type="duplicateValues" dxfId="24898" priority="8880"/>
    <cfRule type="duplicateValues" dxfId="24897" priority="8881"/>
    <cfRule type="duplicateValues" dxfId="24896" priority="8882"/>
    <cfRule type="duplicateValues" dxfId="24895" priority="8883"/>
    <cfRule type="duplicateValues" dxfId="24894" priority="8884"/>
    <cfRule type="duplicateValues" dxfId="24893" priority="8885"/>
    <cfRule type="duplicateValues" dxfId="24892" priority="8886"/>
    <cfRule type="duplicateValues" dxfId="24891" priority="8887"/>
    <cfRule type="duplicateValues" dxfId="24890" priority="8888"/>
    <cfRule type="duplicateValues" dxfId="24889" priority="8889"/>
    <cfRule type="duplicateValues" dxfId="24888" priority="8890"/>
    <cfRule type="duplicateValues" dxfId="24887" priority="8891"/>
    <cfRule type="duplicateValues" dxfId="24886" priority="8892"/>
    <cfRule type="duplicateValues" dxfId="24885" priority="8893"/>
    <cfRule type="duplicateValues" dxfId="24884" priority="8894"/>
    <cfRule type="duplicateValues" dxfId="24883" priority="8895"/>
    <cfRule type="duplicateValues" dxfId="24882" priority="8896"/>
    <cfRule type="duplicateValues" dxfId="24881" priority="8897"/>
    <cfRule type="duplicateValues" dxfId="24880" priority="8898"/>
    <cfRule type="duplicateValues" dxfId="24879" priority="8899"/>
    <cfRule type="duplicateValues" dxfId="24878" priority="8900"/>
    <cfRule type="duplicateValues" dxfId="24877" priority="8901"/>
    <cfRule type="duplicateValues" dxfId="24876" priority="8902"/>
    <cfRule type="duplicateValues" dxfId="24875" priority="8903"/>
    <cfRule type="duplicateValues" dxfId="24874" priority="8904"/>
    <cfRule type="duplicateValues" dxfId="24873" priority="8905"/>
    <cfRule type="duplicateValues" dxfId="24872" priority="8906"/>
    <cfRule type="duplicateValues" dxfId="24871" priority="8907"/>
    <cfRule type="duplicateValues" dxfId="24870" priority="8908"/>
    <cfRule type="duplicateValues" dxfId="24869" priority="8909"/>
    <cfRule type="duplicateValues" dxfId="24868" priority="8910"/>
    <cfRule type="duplicateValues" dxfId="24867" priority="8911"/>
    <cfRule type="duplicateValues" dxfId="24866" priority="8912"/>
    <cfRule type="duplicateValues" dxfId="24865" priority="8913"/>
    <cfRule type="duplicateValues" dxfId="24864" priority="8914"/>
    <cfRule type="duplicateValues" dxfId="24863" priority="8915"/>
    <cfRule type="duplicateValues" dxfId="24862" priority="8916"/>
    <cfRule type="duplicateValues" dxfId="24861" priority="8917"/>
    <cfRule type="duplicateValues" dxfId="24860" priority="8918"/>
    <cfRule type="duplicateValues" dxfId="24859" priority="8919"/>
    <cfRule type="duplicateValues" dxfId="24858" priority="8920"/>
    <cfRule type="duplicateValues" dxfId="24857" priority="8921"/>
    <cfRule type="duplicateValues" dxfId="24856" priority="8922"/>
    <cfRule type="duplicateValues" dxfId="24855" priority="8923"/>
    <cfRule type="duplicateValues" dxfId="24854" priority="8924"/>
    <cfRule type="duplicateValues" dxfId="24853" priority="8925"/>
    <cfRule type="duplicateValues" dxfId="24852" priority="8926"/>
    <cfRule type="duplicateValues" dxfId="24851" priority="8927"/>
    <cfRule type="duplicateValues" dxfId="24850" priority="8928"/>
    <cfRule type="duplicateValues" dxfId="24849" priority="8929"/>
    <cfRule type="duplicateValues" dxfId="24848" priority="8930"/>
    <cfRule type="duplicateValues" dxfId="24847" priority="8931"/>
    <cfRule type="duplicateValues" dxfId="24846" priority="8932"/>
    <cfRule type="duplicateValues" dxfId="24845" priority="8933"/>
    <cfRule type="duplicateValues" dxfId="24844" priority="8934"/>
    <cfRule type="duplicateValues" dxfId="24843" priority="8935"/>
    <cfRule type="duplicateValues" dxfId="24842" priority="8936"/>
    <cfRule type="duplicateValues" dxfId="24841" priority="8937"/>
    <cfRule type="duplicateValues" dxfId="24840" priority="8938"/>
    <cfRule type="duplicateValues" dxfId="24839" priority="8939"/>
    <cfRule type="duplicateValues" dxfId="24838" priority="8940"/>
    <cfRule type="duplicateValues" dxfId="24837" priority="8941"/>
    <cfRule type="duplicateValues" dxfId="24836" priority="8942"/>
    <cfRule type="duplicateValues" dxfId="24835" priority="8943"/>
    <cfRule type="duplicateValues" dxfId="24834" priority="8944"/>
    <cfRule type="duplicateValues" dxfId="24833" priority="8945"/>
  </conditionalFormatting>
  <conditionalFormatting sqref="C203:C209">
    <cfRule type="duplicateValues" dxfId="24832" priority="8595"/>
    <cfRule type="duplicateValues" dxfId="24831" priority="8596"/>
    <cfRule type="duplicateValues" dxfId="24830" priority="8597"/>
    <cfRule type="duplicateValues" dxfId="24829" priority="8598"/>
    <cfRule type="duplicateValues" dxfId="24828" priority="8599"/>
    <cfRule type="duplicateValues" dxfId="24827" priority="8600"/>
  </conditionalFormatting>
  <conditionalFormatting sqref="C205:C207">
    <cfRule type="duplicateValues" dxfId="24826" priority="8250"/>
    <cfRule type="duplicateValues" dxfId="24825" priority="8251"/>
    <cfRule type="duplicateValues" dxfId="24824" priority="8252"/>
    <cfRule type="duplicateValues" dxfId="24823" priority="8253"/>
    <cfRule type="duplicateValues" dxfId="24822" priority="8254"/>
    <cfRule type="duplicateValues" dxfId="24821" priority="8255"/>
    <cfRule type="duplicateValues" dxfId="24820" priority="8256"/>
    <cfRule type="duplicateValues" dxfId="24819" priority="8257"/>
    <cfRule type="duplicateValues" dxfId="24818" priority="8258"/>
    <cfRule type="duplicateValues" dxfId="24817" priority="8259"/>
    <cfRule type="duplicateValues" dxfId="24816" priority="8260"/>
    <cfRule type="duplicateValues" dxfId="24815" priority="8261"/>
    <cfRule type="duplicateValues" dxfId="24814" priority="8262"/>
    <cfRule type="duplicateValues" dxfId="24813" priority="8263"/>
    <cfRule type="duplicateValues" dxfId="24812" priority="8264"/>
    <cfRule type="duplicateValues" dxfId="24811" priority="8265"/>
    <cfRule type="duplicateValues" dxfId="24810" priority="8266"/>
    <cfRule type="duplicateValues" dxfId="24809" priority="8267"/>
    <cfRule type="duplicateValues" dxfId="24808" priority="8268"/>
    <cfRule type="duplicateValues" dxfId="24807" priority="8269"/>
    <cfRule type="duplicateValues" dxfId="24806" priority="8270"/>
    <cfRule type="duplicateValues" dxfId="24805" priority="8271"/>
    <cfRule type="duplicateValues" dxfId="24804" priority="8272"/>
    <cfRule type="duplicateValues" dxfId="24803" priority="8273"/>
    <cfRule type="duplicateValues" dxfId="24802" priority="8274"/>
    <cfRule type="duplicateValues" dxfId="24801" priority="8275"/>
    <cfRule type="duplicateValues" dxfId="24800" priority="8276"/>
    <cfRule type="duplicateValues" dxfId="24799" priority="8277"/>
    <cfRule type="duplicateValues" dxfId="24798" priority="8278"/>
    <cfRule type="duplicateValues" dxfId="24797" priority="8279"/>
    <cfRule type="duplicateValues" dxfId="24796" priority="8280"/>
    <cfRule type="duplicateValues" dxfId="24795" priority="8281"/>
    <cfRule type="duplicateValues" dxfId="24794" priority="8282"/>
    <cfRule type="duplicateValues" dxfId="24793" priority="8283"/>
    <cfRule type="duplicateValues" dxfId="24792" priority="8284"/>
    <cfRule type="duplicateValues" dxfId="24791" priority="8285"/>
    <cfRule type="duplicateValues" dxfId="24790" priority="8286"/>
    <cfRule type="duplicateValues" dxfId="24789" priority="8287"/>
    <cfRule type="duplicateValues" dxfId="24788" priority="8288"/>
    <cfRule type="duplicateValues" dxfId="24787" priority="8289"/>
    <cfRule type="duplicateValues" dxfId="24786" priority="8290"/>
    <cfRule type="duplicateValues" dxfId="24785" priority="8291"/>
    <cfRule type="duplicateValues" dxfId="24784" priority="8292"/>
    <cfRule type="duplicateValues" dxfId="24783" priority="8293"/>
    <cfRule type="duplicateValues" dxfId="24782" priority="8294"/>
    <cfRule type="duplicateValues" dxfId="24781" priority="8295"/>
    <cfRule type="duplicateValues" dxfId="24780" priority="8296"/>
    <cfRule type="duplicateValues" dxfId="24779" priority="8297"/>
    <cfRule type="duplicateValues" dxfId="24778" priority="8298"/>
    <cfRule type="duplicateValues" dxfId="24777" priority="8299"/>
    <cfRule type="duplicateValues" dxfId="24776" priority="8300"/>
    <cfRule type="duplicateValues" dxfId="24775" priority="8301"/>
    <cfRule type="duplicateValues" dxfId="24774" priority="8302"/>
    <cfRule type="duplicateValues" dxfId="24773" priority="8303"/>
    <cfRule type="duplicateValues" dxfId="24772" priority="8304"/>
    <cfRule type="duplicateValues" dxfId="24771" priority="8305"/>
    <cfRule type="duplicateValues" dxfId="24770" priority="8306"/>
    <cfRule type="duplicateValues" dxfId="24769" priority="8307"/>
    <cfRule type="duplicateValues" dxfId="24768" priority="8308"/>
    <cfRule type="duplicateValues" dxfId="24767" priority="8309"/>
    <cfRule type="duplicateValues" dxfId="24766" priority="8310"/>
    <cfRule type="duplicateValues" dxfId="24765" priority="8311"/>
    <cfRule type="duplicateValues" dxfId="24764" priority="8312"/>
    <cfRule type="duplicateValues" dxfId="24763" priority="8313"/>
    <cfRule type="duplicateValues" dxfId="24762" priority="8314"/>
    <cfRule type="duplicateValues" dxfId="24761" priority="8315"/>
    <cfRule type="duplicateValues" dxfId="24760" priority="8316"/>
    <cfRule type="duplicateValues" dxfId="24759" priority="8317"/>
    <cfRule type="duplicateValues" dxfId="24758" priority="8318"/>
    <cfRule type="duplicateValues" dxfId="24757" priority="8319"/>
    <cfRule type="duplicateValues" dxfId="24756" priority="8320"/>
    <cfRule type="duplicateValues" dxfId="24755" priority="8321"/>
    <cfRule type="duplicateValues" dxfId="24754" priority="8322"/>
    <cfRule type="duplicateValues" dxfId="24753" priority="8323"/>
    <cfRule type="duplicateValues" dxfId="24752" priority="8324"/>
    <cfRule type="duplicateValues" dxfId="24751" priority="8325"/>
    <cfRule type="duplicateValues" dxfId="24750" priority="8326"/>
    <cfRule type="duplicateValues" dxfId="24749" priority="8327"/>
    <cfRule type="duplicateValues" dxfId="24748" priority="8328"/>
    <cfRule type="duplicateValues" dxfId="24747" priority="8329"/>
    <cfRule type="duplicateValues" dxfId="24746" priority="8330"/>
    <cfRule type="duplicateValues" dxfId="24745" priority="8331"/>
    <cfRule type="duplicateValues" dxfId="24744" priority="8332"/>
    <cfRule type="duplicateValues" dxfId="24743" priority="8333"/>
    <cfRule type="duplicateValues" dxfId="24742" priority="8334"/>
    <cfRule type="duplicateValues" dxfId="24741" priority="8335"/>
    <cfRule type="duplicateValues" dxfId="24740" priority="8336"/>
    <cfRule type="duplicateValues" dxfId="24739" priority="8337"/>
    <cfRule type="duplicateValues" dxfId="24738" priority="8338"/>
    <cfRule type="duplicateValues" dxfId="24737" priority="8339"/>
    <cfRule type="duplicateValues" dxfId="24736" priority="8340"/>
    <cfRule type="duplicateValues" dxfId="24735" priority="8341"/>
    <cfRule type="duplicateValues" dxfId="24734" priority="8342"/>
    <cfRule type="duplicateValues" dxfId="24733" priority="8343"/>
    <cfRule type="duplicateValues" dxfId="24732" priority="8344"/>
    <cfRule type="duplicateValues" dxfId="24731" priority="8345"/>
    <cfRule type="duplicateValues" dxfId="24730" priority="8346"/>
    <cfRule type="duplicateValues" dxfId="24729" priority="8347"/>
    <cfRule type="duplicateValues" dxfId="24728" priority="8348"/>
    <cfRule type="duplicateValues" dxfId="24727" priority="8349"/>
    <cfRule type="duplicateValues" dxfId="24726" priority="8350"/>
    <cfRule type="duplicateValues" dxfId="24725" priority="8351"/>
    <cfRule type="duplicateValues" dxfId="24724" priority="8352"/>
    <cfRule type="duplicateValues" dxfId="24723" priority="8353"/>
    <cfRule type="duplicateValues" dxfId="24722" priority="8354"/>
    <cfRule type="duplicateValues" dxfId="24721" priority="8355"/>
    <cfRule type="duplicateValues" dxfId="24720" priority="8356"/>
    <cfRule type="duplicateValues" dxfId="24719" priority="8357"/>
    <cfRule type="duplicateValues" dxfId="24718" priority="8358"/>
    <cfRule type="duplicateValues" dxfId="24717" priority="8359"/>
    <cfRule type="duplicateValues" dxfId="24716" priority="8360"/>
    <cfRule type="duplicateValues" dxfId="24715" priority="8361"/>
    <cfRule type="duplicateValues" dxfId="24714" priority="8362"/>
    <cfRule type="duplicateValues" dxfId="24713" priority="8363"/>
    <cfRule type="duplicateValues" dxfId="24712" priority="8364"/>
    <cfRule type="duplicateValues" dxfId="24711" priority="8365"/>
    <cfRule type="duplicateValues" dxfId="24710" priority="8366"/>
    <cfRule type="duplicateValues" dxfId="24709" priority="8367"/>
    <cfRule type="duplicateValues" dxfId="24708" priority="8368"/>
    <cfRule type="duplicateValues" dxfId="24707" priority="8369"/>
    <cfRule type="duplicateValues" dxfId="24706" priority="8370"/>
    <cfRule type="duplicateValues" dxfId="24705" priority="8371"/>
    <cfRule type="duplicateValues" dxfId="24704" priority="8372"/>
    <cfRule type="duplicateValues" dxfId="24703" priority="8373"/>
    <cfRule type="duplicateValues" dxfId="24702" priority="8374"/>
    <cfRule type="duplicateValues" dxfId="24701" priority="8375"/>
    <cfRule type="duplicateValues" dxfId="24700" priority="8376"/>
    <cfRule type="duplicateValues" dxfId="24699" priority="8377"/>
    <cfRule type="duplicateValues" dxfId="24698" priority="8378"/>
    <cfRule type="duplicateValues" dxfId="24697" priority="8379"/>
    <cfRule type="duplicateValues" dxfId="24696" priority="8380"/>
    <cfRule type="duplicateValues" dxfId="24695" priority="8381"/>
    <cfRule type="duplicateValues" dxfId="24694" priority="8382"/>
    <cfRule type="duplicateValues" dxfId="24693" priority="8383"/>
    <cfRule type="duplicateValues" dxfId="24692" priority="8384"/>
    <cfRule type="duplicateValues" dxfId="24691" priority="8385"/>
    <cfRule type="duplicateValues" dxfId="24690" priority="8386"/>
    <cfRule type="duplicateValues" dxfId="24689" priority="8387"/>
    <cfRule type="duplicateValues" dxfId="24688" priority="8388"/>
    <cfRule type="duplicateValues" dxfId="24687" priority="8389"/>
    <cfRule type="duplicateValues" dxfId="24686" priority="8390"/>
    <cfRule type="duplicateValues" dxfId="24685" priority="8391"/>
    <cfRule type="duplicateValues" dxfId="24684" priority="8392"/>
    <cfRule type="duplicateValues" dxfId="24683" priority="8393"/>
    <cfRule type="duplicateValues" dxfId="24682" priority="8394"/>
    <cfRule type="duplicateValues" dxfId="24681" priority="8395"/>
    <cfRule type="duplicateValues" dxfId="24680" priority="8396"/>
    <cfRule type="duplicateValues" dxfId="24679" priority="8397"/>
    <cfRule type="duplicateValues" dxfId="24678" priority="8398"/>
    <cfRule type="duplicateValues" dxfId="24677" priority="8399"/>
    <cfRule type="duplicateValues" dxfId="24676" priority="8400"/>
    <cfRule type="duplicateValues" dxfId="24675" priority="8401"/>
    <cfRule type="duplicateValues" dxfId="24674" priority="8402"/>
    <cfRule type="duplicateValues" dxfId="24673" priority="8403"/>
    <cfRule type="duplicateValues" dxfId="24672" priority="8404"/>
    <cfRule type="duplicateValues" dxfId="24671" priority="8405"/>
    <cfRule type="duplicateValues" dxfId="24670" priority="8406"/>
    <cfRule type="duplicateValues" dxfId="24669" priority="8407"/>
    <cfRule type="duplicateValues" dxfId="24668" priority="8408"/>
    <cfRule type="duplicateValues" dxfId="24667" priority="8409"/>
    <cfRule type="duplicateValues" dxfId="24666" priority="8410"/>
    <cfRule type="duplicateValues" dxfId="24665" priority="8411"/>
    <cfRule type="duplicateValues" dxfId="24664" priority="8412"/>
    <cfRule type="duplicateValues" dxfId="24663" priority="8413"/>
    <cfRule type="duplicateValues" dxfId="24662" priority="8414"/>
    <cfRule type="duplicateValues" dxfId="24661" priority="8415"/>
    <cfRule type="duplicateValues" dxfId="24660" priority="8416"/>
    <cfRule type="duplicateValues" dxfId="24659" priority="8417"/>
    <cfRule type="duplicateValues" dxfId="24658" priority="8418"/>
    <cfRule type="duplicateValues" dxfId="24657" priority="8419"/>
    <cfRule type="duplicateValues" dxfId="24656" priority="8420"/>
    <cfRule type="duplicateValues" dxfId="24655" priority="8421"/>
    <cfRule type="duplicateValues" dxfId="24654" priority="8422"/>
    <cfRule type="duplicateValues" dxfId="24653" priority="8423"/>
    <cfRule type="duplicateValues" dxfId="24652" priority="8424"/>
    <cfRule type="duplicateValues" dxfId="24651" priority="8425"/>
    <cfRule type="duplicateValues" dxfId="24650" priority="8426"/>
    <cfRule type="duplicateValues" dxfId="24649" priority="8427"/>
    <cfRule type="duplicateValues" dxfId="24648" priority="8428"/>
    <cfRule type="duplicateValues" dxfId="24647" priority="8429"/>
    <cfRule type="duplicateValues" dxfId="24646" priority="8430"/>
    <cfRule type="duplicateValues" dxfId="24645" priority="8431"/>
    <cfRule type="duplicateValues" dxfId="24644" priority="8432"/>
    <cfRule type="duplicateValues" dxfId="24643" priority="8433"/>
    <cfRule type="duplicateValues" dxfId="24642" priority="8434"/>
    <cfRule type="duplicateValues" dxfId="24641" priority="8435"/>
    <cfRule type="duplicateValues" dxfId="24640" priority="8436"/>
    <cfRule type="duplicateValues" dxfId="24639" priority="8437"/>
    <cfRule type="duplicateValues" dxfId="24638" priority="8438"/>
    <cfRule type="duplicateValues" dxfId="24637" priority="8439"/>
    <cfRule type="duplicateValues" dxfId="24636" priority="8440"/>
    <cfRule type="duplicateValues" dxfId="24635" priority="8441"/>
    <cfRule type="duplicateValues" dxfId="24634" priority="8442"/>
    <cfRule type="duplicateValues" dxfId="24633" priority="8443"/>
    <cfRule type="duplicateValues" dxfId="24632" priority="8444"/>
    <cfRule type="duplicateValues" dxfId="24631" priority="8445"/>
    <cfRule type="duplicateValues" dxfId="24630" priority="8446"/>
    <cfRule type="duplicateValues" dxfId="24629" priority="8447"/>
    <cfRule type="duplicateValues" dxfId="24628" priority="8448"/>
    <cfRule type="duplicateValues" dxfId="24627" priority="8449"/>
    <cfRule type="duplicateValues" dxfId="24626" priority="8450"/>
    <cfRule type="duplicateValues" dxfId="24625" priority="8451"/>
    <cfRule type="duplicateValues" dxfId="24624" priority="8452"/>
    <cfRule type="duplicateValues" dxfId="24623" priority="8453"/>
    <cfRule type="duplicateValues" dxfId="24622" priority="8454"/>
    <cfRule type="duplicateValues" dxfId="24621" priority="8455"/>
    <cfRule type="duplicateValues" dxfId="24620" priority="8456"/>
    <cfRule type="duplicateValues" dxfId="24619" priority="8457"/>
    <cfRule type="duplicateValues" dxfId="24618" priority="8458"/>
    <cfRule type="duplicateValues" dxfId="24617" priority="8459"/>
    <cfRule type="duplicateValues" dxfId="24616" priority="8460"/>
    <cfRule type="duplicateValues" dxfId="24615" priority="8461"/>
    <cfRule type="duplicateValues" dxfId="24614" priority="8462"/>
    <cfRule type="duplicateValues" dxfId="24613" priority="8463"/>
    <cfRule type="duplicateValues" dxfId="24612" priority="8464"/>
    <cfRule type="duplicateValues" dxfId="24611" priority="8465"/>
    <cfRule type="duplicateValues" dxfId="24610" priority="8466"/>
    <cfRule type="duplicateValues" dxfId="24609" priority="8467"/>
    <cfRule type="duplicateValues" dxfId="24608" priority="8468"/>
    <cfRule type="duplicateValues" dxfId="24607" priority="8469"/>
    <cfRule type="duplicateValues" dxfId="24606" priority="8470"/>
    <cfRule type="duplicateValues" dxfId="24605" priority="8471"/>
    <cfRule type="duplicateValues" dxfId="24604" priority="8472"/>
    <cfRule type="duplicateValues" dxfId="24603" priority="8473"/>
    <cfRule type="duplicateValues" dxfId="24602" priority="8474"/>
    <cfRule type="duplicateValues" dxfId="24601" priority="8475"/>
    <cfRule type="duplicateValues" dxfId="24600" priority="8476"/>
    <cfRule type="duplicateValues" dxfId="24599" priority="8477"/>
    <cfRule type="duplicateValues" dxfId="24598" priority="8478"/>
    <cfRule type="duplicateValues" dxfId="24597" priority="8479"/>
    <cfRule type="duplicateValues" dxfId="24596" priority="8480"/>
    <cfRule type="duplicateValues" dxfId="24595" priority="8481"/>
    <cfRule type="duplicateValues" dxfId="24594" priority="8482"/>
    <cfRule type="duplicateValues" dxfId="24593" priority="8483"/>
    <cfRule type="duplicateValues" dxfId="24592" priority="8484"/>
    <cfRule type="duplicateValues" dxfId="24591" priority="8485"/>
    <cfRule type="duplicateValues" dxfId="24590" priority="8486"/>
    <cfRule type="duplicateValues" dxfId="24589" priority="8487"/>
    <cfRule type="duplicateValues" dxfId="24588" priority="8488"/>
    <cfRule type="duplicateValues" dxfId="24587" priority="8489"/>
    <cfRule type="duplicateValues" dxfId="24586" priority="8490"/>
    <cfRule type="duplicateValues" dxfId="24585" priority="8491"/>
    <cfRule type="duplicateValues" dxfId="24584" priority="8492"/>
    <cfRule type="duplicateValues" dxfId="24583" priority="8493"/>
    <cfRule type="duplicateValues" dxfId="24582" priority="8494"/>
    <cfRule type="duplicateValues" dxfId="24581" priority="8495"/>
    <cfRule type="duplicateValues" dxfId="24580" priority="8496"/>
    <cfRule type="duplicateValues" dxfId="24579" priority="8497"/>
    <cfRule type="duplicateValues" dxfId="24578" priority="8498"/>
    <cfRule type="duplicateValues" dxfId="24577" priority="8499"/>
    <cfRule type="duplicateValues" dxfId="24576" priority="8500"/>
    <cfRule type="duplicateValues" dxfId="24575" priority="8501"/>
    <cfRule type="duplicateValues" dxfId="24574" priority="8502"/>
    <cfRule type="duplicateValues" dxfId="24573" priority="8503"/>
    <cfRule type="duplicateValues" dxfId="24572" priority="8504"/>
    <cfRule type="duplicateValues" dxfId="24571" priority="8505"/>
    <cfRule type="duplicateValues" dxfId="24570" priority="8506"/>
    <cfRule type="duplicateValues" dxfId="24569" priority="8507"/>
    <cfRule type="duplicateValues" dxfId="24568" priority="8508"/>
    <cfRule type="duplicateValues" dxfId="24567" priority="8509"/>
    <cfRule type="duplicateValues" dxfId="24566" priority="8510"/>
    <cfRule type="duplicateValues" dxfId="24565" priority="8511"/>
    <cfRule type="duplicateValues" dxfId="24564" priority="8512"/>
    <cfRule type="duplicateValues" dxfId="24563" priority="8513"/>
    <cfRule type="duplicateValues" dxfId="24562" priority="8514"/>
    <cfRule type="duplicateValues" dxfId="24561" priority="8515"/>
    <cfRule type="duplicateValues" dxfId="24560" priority="8516"/>
    <cfRule type="duplicateValues" dxfId="24559" priority="8517"/>
    <cfRule type="duplicateValues" dxfId="24558" priority="8518"/>
    <cfRule type="duplicateValues" dxfId="24557" priority="8519"/>
    <cfRule type="duplicateValues" dxfId="24556" priority="8520"/>
    <cfRule type="duplicateValues" dxfId="24555" priority="8521"/>
    <cfRule type="duplicateValues" dxfId="24554" priority="8522"/>
    <cfRule type="duplicateValues" dxfId="24553" priority="8523"/>
    <cfRule type="duplicateValues" dxfId="24552" priority="8524"/>
    <cfRule type="duplicateValues" dxfId="24551" priority="8525"/>
    <cfRule type="duplicateValues" dxfId="24550" priority="8526"/>
    <cfRule type="duplicateValues" dxfId="24549" priority="8527"/>
    <cfRule type="duplicateValues" dxfId="24548" priority="8528"/>
    <cfRule type="duplicateValues" dxfId="24547" priority="8529"/>
    <cfRule type="duplicateValues" dxfId="24546" priority="8530"/>
    <cfRule type="duplicateValues" dxfId="24545" priority="8531"/>
    <cfRule type="duplicateValues" dxfId="24544" priority="8532"/>
    <cfRule type="duplicateValues" dxfId="24543" priority="8533"/>
    <cfRule type="duplicateValues" dxfId="24542" priority="8534"/>
    <cfRule type="duplicateValues" dxfId="24541" priority="8535"/>
    <cfRule type="duplicateValues" dxfId="24540" priority="8536"/>
    <cfRule type="duplicateValues" dxfId="24539" priority="8537"/>
    <cfRule type="duplicateValues" dxfId="24538" priority="8538"/>
    <cfRule type="duplicateValues" dxfId="24537" priority="8539"/>
    <cfRule type="duplicateValues" dxfId="24536" priority="8540"/>
    <cfRule type="duplicateValues" dxfId="24535" priority="8541"/>
    <cfRule type="duplicateValues" dxfId="24534" priority="8542"/>
    <cfRule type="duplicateValues" dxfId="24533" priority="8543"/>
    <cfRule type="duplicateValues" dxfId="24532" priority="8544"/>
    <cfRule type="duplicateValues" dxfId="24531" priority="8545"/>
    <cfRule type="duplicateValues" dxfId="24530" priority="8546"/>
    <cfRule type="duplicateValues" dxfId="24529" priority="8547"/>
    <cfRule type="duplicateValues" dxfId="24528" priority="8548"/>
    <cfRule type="duplicateValues" dxfId="24527" priority="8549"/>
    <cfRule type="duplicateValues" dxfId="24526" priority="8550"/>
    <cfRule type="duplicateValues" dxfId="24525" priority="8551"/>
    <cfRule type="duplicateValues" dxfId="24524" priority="8552"/>
    <cfRule type="duplicateValues" dxfId="24523" priority="8553"/>
    <cfRule type="duplicateValues" dxfId="24522" priority="8554"/>
    <cfRule type="duplicateValues" dxfId="24521" priority="8555"/>
    <cfRule type="duplicateValues" dxfId="24520" priority="8556"/>
    <cfRule type="duplicateValues" dxfId="24519" priority="8557"/>
    <cfRule type="duplicateValues" dxfId="24518" priority="8558"/>
    <cfRule type="duplicateValues" dxfId="24517" priority="8559"/>
    <cfRule type="duplicateValues" dxfId="24516" priority="8560"/>
    <cfRule type="duplicateValues" dxfId="24515" priority="8561"/>
    <cfRule type="duplicateValues" dxfId="24514" priority="8562"/>
    <cfRule type="duplicateValues" dxfId="24513" priority="8563"/>
    <cfRule type="duplicateValues" dxfId="24512" priority="8564"/>
    <cfRule type="duplicateValues" dxfId="24511" priority="8565"/>
    <cfRule type="duplicateValues" dxfId="24510" priority="8566"/>
    <cfRule type="duplicateValues" dxfId="24509" priority="8567"/>
    <cfRule type="duplicateValues" dxfId="24508" priority="8568"/>
    <cfRule type="duplicateValues" dxfId="24507" priority="8569"/>
    <cfRule type="duplicateValues" dxfId="24506" priority="8570"/>
    <cfRule type="duplicateValues" dxfId="24505" priority="8571"/>
    <cfRule type="duplicateValues" dxfId="24504" priority="8572"/>
    <cfRule type="duplicateValues" dxfId="24503" priority="8573"/>
    <cfRule type="duplicateValues" dxfId="24502" priority="8574"/>
    <cfRule type="duplicateValues" dxfId="24501" priority="8575"/>
    <cfRule type="duplicateValues" dxfId="24500" priority="8576"/>
    <cfRule type="duplicateValues" dxfId="24499" priority="8577"/>
    <cfRule type="duplicateValues" dxfId="24498" priority="8578"/>
    <cfRule type="duplicateValues" dxfId="24497" priority="8579"/>
    <cfRule type="duplicateValues" dxfId="24496" priority="8580"/>
    <cfRule type="duplicateValues" dxfId="24495" priority="8581"/>
    <cfRule type="duplicateValues" dxfId="24494" priority="8582"/>
    <cfRule type="duplicateValues" dxfId="24493" priority="8583"/>
    <cfRule type="duplicateValues" dxfId="24492" priority="8584"/>
    <cfRule type="duplicateValues" dxfId="24491" priority="8585"/>
    <cfRule type="duplicateValues" dxfId="24490" priority="8586"/>
    <cfRule type="duplicateValues" dxfId="24489" priority="8587"/>
    <cfRule type="duplicateValues" dxfId="24488" priority="8588"/>
    <cfRule type="duplicateValues" dxfId="24487" priority="8589"/>
    <cfRule type="duplicateValues" dxfId="24486" priority="8590"/>
    <cfRule type="duplicateValues" dxfId="24485" priority="8591"/>
    <cfRule type="duplicateValues" dxfId="24484" priority="8592"/>
    <cfRule type="duplicateValues" dxfId="24483" priority="8593"/>
    <cfRule type="duplicateValues" dxfId="24482" priority="8594"/>
  </conditionalFormatting>
  <conditionalFormatting sqref="C208:C209">
    <cfRule type="duplicateValues" dxfId="24481" priority="7905"/>
    <cfRule type="duplicateValues" dxfId="24480" priority="7906"/>
    <cfRule type="duplicateValues" dxfId="24479" priority="7907"/>
    <cfRule type="duplicateValues" dxfId="24478" priority="7908"/>
    <cfRule type="duplicateValues" dxfId="24477" priority="7909"/>
    <cfRule type="duplicateValues" dxfId="24476" priority="7910"/>
    <cfRule type="duplicateValues" dxfId="24475" priority="7911"/>
    <cfRule type="duplicateValues" dxfId="24474" priority="7912"/>
    <cfRule type="duplicateValues" dxfId="24473" priority="7913"/>
    <cfRule type="duplicateValues" dxfId="24472" priority="7914"/>
    <cfRule type="duplicateValues" dxfId="24471" priority="7915"/>
    <cfRule type="duplicateValues" dxfId="24470" priority="7916"/>
    <cfRule type="duplicateValues" dxfId="24469" priority="7917"/>
    <cfRule type="duplicateValues" dxfId="24468" priority="7918"/>
    <cfRule type="duplicateValues" dxfId="24467" priority="7919"/>
    <cfRule type="duplicateValues" dxfId="24466" priority="7920"/>
    <cfRule type="duplicateValues" dxfId="24465" priority="7921"/>
    <cfRule type="duplicateValues" dxfId="24464" priority="7922"/>
    <cfRule type="duplicateValues" dxfId="24463" priority="7923"/>
    <cfRule type="duplicateValues" dxfId="24462" priority="7924"/>
    <cfRule type="duplicateValues" dxfId="24461" priority="7925"/>
    <cfRule type="duplicateValues" dxfId="24460" priority="7926"/>
    <cfRule type="duplicateValues" dxfId="24459" priority="7927"/>
    <cfRule type="duplicateValues" dxfId="24458" priority="7928"/>
    <cfRule type="duplicateValues" dxfId="24457" priority="7929"/>
    <cfRule type="duplicateValues" dxfId="24456" priority="7930"/>
    <cfRule type="duplicateValues" dxfId="24455" priority="7931"/>
    <cfRule type="duplicateValues" dxfId="24454" priority="7932"/>
    <cfRule type="duplicateValues" dxfId="24453" priority="7933"/>
    <cfRule type="duplicateValues" dxfId="24452" priority="7934"/>
    <cfRule type="duplicateValues" dxfId="24451" priority="7935"/>
    <cfRule type="duplicateValues" dxfId="24450" priority="7936"/>
    <cfRule type="duplicateValues" dxfId="24449" priority="7937"/>
    <cfRule type="duplicateValues" dxfId="24448" priority="7938"/>
    <cfRule type="duplicateValues" dxfId="24447" priority="7939"/>
    <cfRule type="duplicateValues" dxfId="24446" priority="7940"/>
    <cfRule type="duplicateValues" dxfId="24445" priority="7941"/>
    <cfRule type="duplicateValues" dxfId="24444" priority="7942"/>
    <cfRule type="duplicateValues" dxfId="24443" priority="7943"/>
    <cfRule type="duplicateValues" dxfId="24442" priority="7944"/>
    <cfRule type="duplicateValues" dxfId="24441" priority="7945"/>
    <cfRule type="duplicateValues" dxfId="24440" priority="7946"/>
    <cfRule type="duplicateValues" dxfId="24439" priority="7947"/>
    <cfRule type="duplicateValues" dxfId="24438" priority="7948"/>
    <cfRule type="duplicateValues" dxfId="24437" priority="7949"/>
    <cfRule type="duplicateValues" dxfId="24436" priority="7950"/>
    <cfRule type="duplicateValues" dxfId="24435" priority="7951"/>
    <cfRule type="duplicateValues" dxfId="24434" priority="7952"/>
    <cfRule type="duplicateValues" dxfId="24433" priority="7953"/>
    <cfRule type="duplicateValues" dxfId="24432" priority="7954"/>
    <cfRule type="duplicateValues" dxfId="24431" priority="7955"/>
    <cfRule type="duplicateValues" dxfId="24430" priority="7956"/>
    <cfRule type="duplicateValues" dxfId="24429" priority="7957"/>
    <cfRule type="duplicateValues" dxfId="24428" priority="7958"/>
    <cfRule type="duplicateValues" dxfId="24427" priority="7959"/>
    <cfRule type="duplicateValues" dxfId="24426" priority="7960"/>
    <cfRule type="duplicateValues" dxfId="24425" priority="7961"/>
    <cfRule type="duplicateValues" dxfId="24424" priority="7962"/>
    <cfRule type="duplicateValues" dxfId="24423" priority="7963"/>
    <cfRule type="duplicateValues" dxfId="24422" priority="7964"/>
    <cfRule type="duplicateValues" dxfId="24421" priority="7965"/>
    <cfRule type="duplicateValues" dxfId="24420" priority="7966"/>
    <cfRule type="duplicateValues" dxfId="24419" priority="7967"/>
    <cfRule type="duplicateValues" dxfId="24418" priority="7968"/>
    <cfRule type="duplicateValues" dxfId="24417" priority="7969"/>
    <cfRule type="duplicateValues" dxfId="24416" priority="7970"/>
    <cfRule type="duplicateValues" dxfId="24415" priority="7971"/>
    <cfRule type="duplicateValues" dxfId="24414" priority="7972"/>
    <cfRule type="duplicateValues" dxfId="24413" priority="7973"/>
    <cfRule type="duplicateValues" dxfId="24412" priority="7974"/>
    <cfRule type="duplicateValues" dxfId="24411" priority="7975"/>
    <cfRule type="duplicateValues" dxfId="24410" priority="7976"/>
    <cfRule type="duplicateValues" dxfId="24409" priority="7977"/>
    <cfRule type="duplicateValues" dxfId="24408" priority="7978"/>
    <cfRule type="duplicateValues" dxfId="24407" priority="7979"/>
    <cfRule type="duplicateValues" dxfId="24406" priority="7980"/>
    <cfRule type="duplicateValues" dxfId="24405" priority="7981"/>
    <cfRule type="duplicateValues" dxfId="24404" priority="7982"/>
    <cfRule type="duplicateValues" dxfId="24403" priority="7983"/>
    <cfRule type="duplicateValues" dxfId="24402" priority="7984"/>
    <cfRule type="duplicateValues" dxfId="24401" priority="7985"/>
    <cfRule type="duplicateValues" dxfId="24400" priority="7986"/>
    <cfRule type="duplicateValues" dxfId="24399" priority="7987"/>
    <cfRule type="duplicateValues" dxfId="24398" priority="7988"/>
    <cfRule type="duplicateValues" dxfId="24397" priority="7989"/>
    <cfRule type="duplicateValues" dxfId="24396" priority="7990"/>
    <cfRule type="duplicateValues" dxfId="24395" priority="7991"/>
    <cfRule type="duplicateValues" dxfId="24394" priority="7992"/>
    <cfRule type="duplicateValues" dxfId="24393" priority="7993"/>
    <cfRule type="duplicateValues" dxfId="24392" priority="7994"/>
    <cfRule type="duplicateValues" dxfId="24391" priority="7995"/>
    <cfRule type="duplicateValues" dxfId="24390" priority="7996"/>
    <cfRule type="duplicateValues" dxfId="24389" priority="7997"/>
    <cfRule type="duplicateValues" dxfId="24388" priority="7998"/>
    <cfRule type="duplicateValues" dxfId="24387" priority="7999"/>
    <cfRule type="duplicateValues" dxfId="24386" priority="8000"/>
    <cfRule type="duplicateValues" dxfId="24385" priority="8001"/>
    <cfRule type="duplicateValues" dxfId="24384" priority="8002"/>
    <cfRule type="duplicateValues" dxfId="24383" priority="8003"/>
    <cfRule type="duplicateValues" dxfId="24382" priority="8004"/>
    <cfRule type="duplicateValues" dxfId="24381" priority="8005"/>
    <cfRule type="duplicateValues" dxfId="24380" priority="8006"/>
    <cfRule type="duplicateValues" dxfId="24379" priority="8007"/>
    <cfRule type="duplicateValues" dxfId="24378" priority="8008"/>
    <cfRule type="duplicateValues" dxfId="24377" priority="8009"/>
    <cfRule type="duplicateValues" dxfId="24376" priority="8010"/>
    <cfRule type="duplicateValues" dxfId="24375" priority="8011"/>
    <cfRule type="duplicateValues" dxfId="24374" priority="8012"/>
    <cfRule type="duplicateValues" dxfId="24373" priority="8013"/>
    <cfRule type="duplicateValues" dxfId="24372" priority="8014"/>
    <cfRule type="duplicateValues" dxfId="24371" priority="8015"/>
    <cfRule type="duplicateValues" dxfId="24370" priority="8016"/>
    <cfRule type="duplicateValues" dxfId="24369" priority="8017"/>
    <cfRule type="duplicateValues" dxfId="24368" priority="8018"/>
    <cfRule type="duplicateValues" dxfId="24367" priority="8019"/>
    <cfRule type="duplicateValues" dxfId="24366" priority="8020"/>
    <cfRule type="duplicateValues" dxfId="24365" priority="8021"/>
    <cfRule type="duplicateValues" dxfId="24364" priority="8022"/>
    <cfRule type="duplicateValues" dxfId="24363" priority="8023"/>
    <cfRule type="duplicateValues" dxfId="24362" priority="8024"/>
    <cfRule type="duplicateValues" dxfId="24361" priority="8025"/>
    <cfRule type="duplicateValues" dxfId="24360" priority="8026"/>
    <cfRule type="duplicateValues" dxfId="24359" priority="8027"/>
    <cfRule type="duplicateValues" dxfId="24358" priority="8028"/>
    <cfRule type="duplicateValues" dxfId="24357" priority="8029"/>
    <cfRule type="duplicateValues" dxfId="24356" priority="8030"/>
    <cfRule type="duplicateValues" dxfId="24355" priority="8031"/>
    <cfRule type="duplicateValues" dxfId="24354" priority="8032"/>
    <cfRule type="duplicateValues" dxfId="24353" priority="8033"/>
    <cfRule type="duplicateValues" dxfId="24352" priority="8034"/>
    <cfRule type="duplicateValues" dxfId="24351" priority="8035"/>
    <cfRule type="duplicateValues" dxfId="24350" priority="8036"/>
    <cfRule type="duplicateValues" dxfId="24349" priority="8037"/>
    <cfRule type="duplicateValues" dxfId="24348" priority="8038"/>
    <cfRule type="duplicateValues" dxfId="24347" priority="8039"/>
    <cfRule type="duplicateValues" dxfId="24346" priority="8040"/>
    <cfRule type="duplicateValues" dxfId="24345" priority="8041"/>
    <cfRule type="duplicateValues" dxfId="24344" priority="8042"/>
    <cfRule type="duplicateValues" dxfId="24343" priority="8043"/>
    <cfRule type="duplicateValues" dxfId="24342" priority="8044"/>
    <cfRule type="duplicateValues" dxfId="24341" priority="8045"/>
    <cfRule type="duplicateValues" dxfId="24340" priority="8046"/>
    <cfRule type="duplicateValues" dxfId="24339" priority="8047"/>
    <cfRule type="duplicateValues" dxfId="24338" priority="8048"/>
    <cfRule type="duplicateValues" dxfId="24337" priority="8049"/>
    <cfRule type="duplicateValues" dxfId="24336" priority="8050"/>
    <cfRule type="duplicateValues" dxfId="24335" priority="8051"/>
    <cfRule type="duplicateValues" dxfId="24334" priority="8052"/>
    <cfRule type="duplicateValues" dxfId="24333" priority="8053"/>
    <cfRule type="duplicateValues" dxfId="24332" priority="8054"/>
    <cfRule type="duplicateValues" dxfId="24331" priority="8055"/>
    <cfRule type="duplicateValues" dxfId="24330" priority="8056"/>
    <cfRule type="duplicateValues" dxfId="24329" priority="8057"/>
    <cfRule type="duplicateValues" dxfId="24328" priority="8058"/>
    <cfRule type="duplicateValues" dxfId="24327" priority="8059"/>
    <cfRule type="duplicateValues" dxfId="24326" priority="8060"/>
    <cfRule type="duplicateValues" dxfId="24325" priority="8061"/>
    <cfRule type="duplicateValues" dxfId="24324" priority="8062"/>
    <cfRule type="duplicateValues" dxfId="24323" priority="8063"/>
    <cfRule type="duplicateValues" dxfId="24322" priority="8064"/>
    <cfRule type="duplicateValues" dxfId="24321" priority="8065"/>
    <cfRule type="duplicateValues" dxfId="24320" priority="8066"/>
    <cfRule type="duplicateValues" dxfId="24319" priority="8067"/>
    <cfRule type="duplicateValues" dxfId="24318" priority="8068"/>
    <cfRule type="duplicateValues" dxfId="24317" priority="8069"/>
    <cfRule type="duplicateValues" dxfId="24316" priority="8070"/>
    <cfRule type="duplicateValues" dxfId="24315" priority="8071"/>
    <cfRule type="duplicateValues" dxfId="24314" priority="8072"/>
    <cfRule type="duplicateValues" dxfId="24313" priority="8073"/>
    <cfRule type="duplicateValues" dxfId="24312" priority="8074"/>
    <cfRule type="duplicateValues" dxfId="24311" priority="8075"/>
    <cfRule type="duplicateValues" dxfId="24310" priority="8076"/>
    <cfRule type="duplicateValues" dxfId="24309" priority="8077"/>
    <cfRule type="duplicateValues" dxfId="24308" priority="8078"/>
    <cfRule type="duplicateValues" dxfId="24307" priority="8079"/>
    <cfRule type="duplicateValues" dxfId="24306" priority="8080"/>
    <cfRule type="duplicateValues" dxfId="24305" priority="8081"/>
    <cfRule type="duplicateValues" dxfId="24304" priority="8082"/>
    <cfRule type="duplicateValues" dxfId="24303" priority="8083"/>
    <cfRule type="duplicateValues" dxfId="24302" priority="8084"/>
    <cfRule type="duplicateValues" dxfId="24301" priority="8085"/>
    <cfRule type="duplicateValues" dxfId="24300" priority="8086"/>
    <cfRule type="duplicateValues" dxfId="24299" priority="8087"/>
    <cfRule type="duplicateValues" dxfId="24298" priority="8088"/>
    <cfRule type="duplicateValues" dxfId="24297" priority="8089"/>
    <cfRule type="duplicateValues" dxfId="24296" priority="8090"/>
    <cfRule type="duplicateValues" dxfId="24295" priority="8091"/>
    <cfRule type="duplicateValues" dxfId="24294" priority="8092"/>
    <cfRule type="duplicateValues" dxfId="24293" priority="8093"/>
    <cfRule type="duplicateValues" dxfId="24292" priority="8094"/>
    <cfRule type="duplicateValues" dxfId="24291" priority="8095"/>
    <cfRule type="duplicateValues" dxfId="24290" priority="8096"/>
    <cfRule type="duplicateValues" dxfId="24289" priority="8097"/>
    <cfRule type="duplicateValues" dxfId="24288" priority="8098"/>
    <cfRule type="duplicateValues" dxfId="24287" priority="8099"/>
    <cfRule type="duplicateValues" dxfId="24286" priority="8100"/>
    <cfRule type="duplicateValues" dxfId="24285" priority="8101"/>
    <cfRule type="duplicateValues" dxfId="24284" priority="8102"/>
    <cfRule type="duplicateValues" dxfId="24283" priority="8103"/>
    <cfRule type="duplicateValues" dxfId="24282" priority="8104"/>
    <cfRule type="duplicateValues" dxfId="24281" priority="8105"/>
    <cfRule type="duplicateValues" dxfId="24280" priority="8106"/>
    <cfRule type="duplicateValues" dxfId="24279" priority="8107"/>
    <cfRule type="duplicateValues" dxfId="24278" priority="8108"/>
    <cfRule type="duplicateValues" dxfId="24277" priority="8109"/>
    <cfRule type="duplicateValues" dxfId="24276" priority="8110"/>
    <cfRule type="duplicateValues" dxfId="24275" priority="8111"/>
    <cfRule type="duplicateValues" dxfId="24274" priority="8112"/>
    <cfRule type="duplicateValues" dxfId="24273" priority="8113"/>
    <cfRule type="duplicateValues" dxfId="24272" priority="8114"/>
    <cfRule type="duplicateValues" dxfId="24271" priority="8115"/>
    <cfRule type="duplicateValues" dxfId="24270" priority="8116"/>
    <cfRule type="duplicateValues" dxfId="24269" priority="8117"/>
    <cfRule type="duplicateValues" dxfId="24268" priority="8118"/>
    <cfRule type="duplicateValues" dxfId="24267" priority="8119"/>
    <cfRule type="duplicateValues" dxfId="24266" priority="8120"/>
    <cfRule type="duplicateValues" dxfId="24265" priority="8121"/>
    <cfRule type="duplicateValues" dxfId="24264" priority="8122"/>
    <cfRule type="duplicateValues" dxfId="24263" priority="8123"/>
    <cfRule type="duplicateValues" dxfId="24262" priority="8124"/>
    <cfRule type="duplicateValues" dxfId="24261" priority="8125"/>
    <cfRule type="duplicateValues" dxfId="24260" priority="8126"/>
    <cfRule type="duplicateValues" dxfId="24259" priority="8127"/>
    <cfRule type="duplicateValues" dxfId="24258" priority="8128"/>
    <cfRule type="duplicateValues" dxfId="24257" priority="8129"/>
    <cfRule type="duplicateValues" dxfId="24256" priority="8130"/>
    <cfRule type="duplicateValues" dxfId="24255" priority="8131"/>
    <cfRule type="duplicateValues" dxfId="24254" priority="8132"/>
    <cfRule type="duplicateValues" dxfId="24253" priority="8133"/>
    <cfRule type="duplicateValues" dxfId="24252" priority="8134"/>
    <cfRule type="duplicateValues" dxfId="24251" priority="8135"/>
    <cfRule type="duplicateValues" dxfId="24250" priority="8136"/>
    <cfRule type="duplicateValues" dxfId="24249" priority="8137"/>
    <cfRule type="duplicateValues" dxfId="24248" priority="8138"/>
    <cfRule type="duplicateValues" dxfId="24247" priority="8139"/>
    <cfRule type="duplicateValues" dxfId="24246" priority="8140"/>
    <cfRule type="duplicateValues" dxfId="24245" priority="8141"/>
    <cfRule type="duplicateValues" dxfId="24244" priority="8142"/>
    <cfRule type="duplicateValues" dxfId="24243" priority="8143"/>
    <cfRule type="duplicateValues" dxfId="24242" priority="8144"/>
    <cfRule type="duplicateValues" dxfId="24241" priority="8145"/>
    <cfRule type="duplicateValues" dxfId="24240" priority="8146"/>
    <cfRule type="duplicateValues" dxfId="24239" priority="8147"/>
    <cfRule type="duplicateValues" dxfId="24238" priority="8148"/>
    <cfRule type="duplicateValues" dxfId="24237" priority="8149"/>
    <cfRule type="duplicateValues" dxfId="24236" priority="8150"/>
    <cfRule type="duplicateValues" dxfId="24235" priority="8151"/>
    <cfRule type="duplicateValues" dxfId="24234" priority="8152"/>
    <cfRule type="duplicateValues" dxfId="24233" priority="8153"/>
    <cfRule type="duplicateValues" dxfId="24232" priority="8154"/>
    <cfRule type="duplicateValues" dxfId="24231" priority="8155"/>
    <cfRule type="duplicateValues" dxfId="24230" priority="8156"/>
    <cfRule type="duplicateValues" dxfId="24229" priority="8157"/>
    <cfRule type="duplicateValues" dxfId="24228" priority="8158"/>
    <cfRule type="duplicateValues" dxfId="24227" priority="8159"/>
    <cfRule type="duplicateValues" dxfId="24226" priority="8160"/>
    <cfRule type="duplicateValues" dxfId="24225" priority="8161"/>
    <cfRule type="duplicateValues" dxfId="24224" priority="8162"/>
    <cfRule type="duplicateValues" dxfId="24223" priority="8163"/>
    <cfRule type="duplicateValues" dxfId="24222" priority="8164"/>
    <cfRule type="duplicateValues" dxfId="24221" priority="8165"/>
    <cfRule type="duplicateValues" dxfId="24220" priority="8166"/>
    <cfRule type="duplicateValues" dxfId="24219" priority="8167"/>
    <cfRule type="duplicateValues" dxfId="24218" priority="8168"/>
    <cfRule type="duplicateValues" dxfId="24217" priority="8169"/>
    <cfRule type="duplicateValues" dxfId="24216" priority="8170"/>
    <cfRule type="duplicateValues" dxfId="24215" priority="8171"/>
    <cfRule type="duplicateValues" dxfId="24214" priority="8172"/>
    <cfRule type="duplicateValues" dxfId="24213" priority="8173"/>
    <cfRule type="duplicateValues" dxfId="24212" priority="8174"/>
    <cfRule type="duplicateValues" dxfId="24211" priority="8175"/>
    <cfRule type="duplicateValues" dxfId="24210" priority="8176"/>
    <cfRule type="duplicateValues" dxfId="24209" priority="8177"/>
    <cfRule type="duplicateValues" dxfId="24208" priority="8178"/>
    <cfRule type="duplicateValues" dxfId="24207" priority="8179"/>
    <cfRule type="duplicateValues" dxfId="24206" priority="8180"/>
    <cfRule type="duplicateValues" dxfId="24205" priority="8181"/>
    <cfRule type="duplicateValues" dxfId="24204" priority="8182"/>
    <cfRule type="duplicateValues" dxfId="24203" priority="8183"/>
    <cfRule type="duplicateValues" dxfId="24202" priority="8184"/>
    <cfRule type="duplicateValues" dxfId="24201" priority="8185"/>
    <cfRule type="duplicateValues" dxfId="24200" priority="8186"/>
    <cfRule type="duplicateValues" dxfId="24199" priority="8187"/>
    <cfRule type="duplicateValues" dxfId="24198" priority="8188"/>
    <cfRule type="duplicateValues" dxfId="24197" priority="8189"/>
    <cfRule type="duplicateValues" dxfId="24196" priority="8190"/>
    <cfRule type="duplicateValues" dxfId="24195" priority="8191"/>
    <cfRule type="duplicateValues" dxfId="24194" priority="8192"/>
    <cfRule type="duplicateValues" dxfId="24193" priority="8193"/>
    <cfRule type="duplicateValues" dxfId="24192" priority="8194"/>
    <cfRule type="duplicateValues" dxfId="24191" priority="8195"/>
    <cfRule type="duplicateValues" dxfId="24190" priority="8196"/>
    <cfRule type="duplicateValues" dxfId="24189" priority="8197"/>
    <cfRule type="duplicateValues" dxfId="24188" priority="8198"/>
    <cfRule type="duplicateValues" dxfId="24187" priority="8199"/>
    <cfRule type="duplicateValues" dxfId="24186" priority="8200"/>
    <cfRule type="duplicateValues" dxfId="24185" priority="8201"/>
    <cfRule type="duplicateValues" dxfId="24184" priority="8202"/>
    <cfRule type="duplicateValues" dxfId="24183" priority="8203"/>
    <cfRule type="duplicateValues" dxfId="24182" priority="8204"/>
    <cfRule type="duplicateValues" dxfId="24181" priority="8205"/>
    <cfRule type="duplicateValues" dxfId="24180" priority="8206"/>
    <cfRule type="duplicateValues" dxfId="24179" priority="8207"/>
    <cfRule type="duplicateValues" dxfId="24178" priority="8208"/>
    <cfRule type="duplicateValues" dxfId="24177" priority="8209"/>
    <cfRule type="duplicateValues" dxfId="24176" priority="8210"/>
    <cfRule type="duplicateValues" dxfId="24175" priority="8211"/>
    <cfRule type="duplicateValues" dxfId="24174" priority="8212"/>
    <cfRule type="duplicateValues" dxfId="24173" priority="8213"/>
    <cfRule type="duplicateValues" dxfId="24172" priority="8214"/>
    <cfRule type="duplicateValues" dxfId="24171" priority="8215"/>
    <cfRule type="duplicateValues" dxfId="24170" priority="8216"/>
    <cfRule type="duplicateValues" dxfId="24169" priority="8217"/>
    <cfRule type="duplicateValues" dxfId="24168" priority="8218"/>
    <cfRule type="duplicateValues" dxfId="24167" priority="8219"/>
    <cfRule type="duplicateValues" dxfId="24166" priority="8220"/>
    <cfRule type="duplicateValues" dxfId="24165" priority="8221"/>
    <cfRule type="duplicateValues" dxfId="24164" priority="8222"/>
    <cfRule type="duplicateValues" dxfId="24163" priority="8223"/>
    <cfRule type="duplicateValues" dxfId="24162" priority="8224"/>
    <cfRule type="duplicateValues" dxfId="24161" priority="8225"/>
    <cfRule type="duplicateValues" dxfId="24160" priority="8226"/>
    <cfRule type="duplicateValues" dxfId="24159" priority="8227"/>
    <cfRule type="duplicateValues" dxfId="24158" priority="8228"/>
    <cfRule type="duplicateValues" dxfId="24157" priority="8229"/>
    <cfRule type="duplicateValues" dxfId="24156" priority="8230"/>
    <cfRule type="duplicateValues" dxfId="24155" priority="8231"/>
    <cfRule type="duplicateValues" dxfId="24154" priority="8232"/>
    <cfRule type="duplicateValues" dxfId="24153" priority="8233"/>
    <cfRule type="duplicateValues" dxfId="24152" priority="8234"/>
    <cfRule type="duplicateValues" dxfId="24151" priority="8235"/>
    <cfRule type="duplicateValues" dxfId="24150" priority="8236"/>
    <cfRule type="duplicateValues" dxfId="24149" priority="8237"/>
    <cfRule type="duplicateValues" dxfId="24148" priority="8238"/>
    <cfRule type="duplicateValues" dxfId="24147" priority="8239"/>
    <cfRule type="duplicateValues" dxfId="24146" priority="8240"/>
    <cfRule type="duplicateValues" dxfId="24145" priority="8241"/>
    <cfRule type="duplicateValues" dxfId="24144" priority="8242"/>
    <cfRule type="duplicateValues" dxfId="24143" priority="8243"/>
    <cfRule type="duplicateValues" dxfId="24142" priority="8244"/>
    <cfRule type="duplicateValues" dxfId="24141" priority="8245"/>
    <cfRule type="duplicateValues" dxfId="24140" priority="8246"/>
    <cfRule type="duplicateValues" dxfId="24139" priority="8247"/>
    <cfRule type="duplicateValues" dxfId="24138" priority="8248"/>
    <cfRule type="duplicateValues" dxfId="24137" priority="8249"/>
  </conditionalFormatting>
  <conditionalFormatting sqref="C210">
    <cfRule type="duplicateValues" dxfId="24136" priority="26450"/>
    <cfRule type="duplicateValues" dxfId="24135" priority="26451"/>
    <cfRule type="duplicateValues" dxfId="24134" priority="26452"/>
    <cfRule type="duplicateValues" dxfId="24133" priority="26453"/>
    <cfRule type="duplicateValues" dxfId="24132" priority="26454"/>
    <cfRule type="duplicateValues" dxfId="24131" priority="26455"/>
    <cfRule type="duplicateValues" dxfId="24130" priority="26456"/>
    <cfRule type="duplicateValues" dxfId="24129" priority="26457"/>
    <cfRule type="duplicateValues" dxfId="24128" priority="26458"/>
    <cfRule type="duplicateValues" dxfId="24127" priority="26459"/>
    <cfRule type="duplicateValues" dxfId="24126" priority="26460"/>
    <cfRule type="duplicateValues" dxfId="24125" priority="26461"/>
    <cfRule type="duplicateValues" dxfId="24124" priority="26462"/>
    <cfRule type="duplicateValues" dxfId="24123" priority="26463"/>
    <cfRule type="duplicateValues" dxfId="24122" priority="26464"/>
    <cfRule type="duplicateValues" dxfId="24121" priority="26465"/>
    <cfRule type="duplicateValues" dxfId="24120" priority="26466"/>
    <cfRule type="duplicateValues" dxfId="24119" priority="26467"/>
    <cfRule type="duplicateValues" dxfId="24118" priority="26468"/>
    <cfRule type="duplicateValues" dxfId="24117" priority="26469"/>
    <cfRule type="duplicateValues" dxfId="24116" priority="26470"/>
    <cfRule type="duplicateValues" dxfId="24115" priority="26471"/>
    <cfRule type="duplicateValues" dxfId="24114" priority="26472"/>
    <cfRule type="duplicateValues" dxfId="24113" priority="26473"/>
    <cfRule type="duplicateValues" dxfId="24112" priority="26474"/>
    <cfRule type="duplicateValues" dxfId="24111" priority="26475"/>
    <cfRule type="duplicateValues" dxfId="24110" priority="26476"/>
    <cfRule type="duplicateValues" dxfId="24109" priority="26477"/>
    <cfRule type="duplicateValues" dxfId="24108" priority="26478"/>
    <cfRule type="duplicateValues" dxfId="24107" priority="26479"/>
    <cfRule type="duplicateValues" dxfId="24106" priority="26480"/>
    <cfRule type="duplicateValues" dxfId="24105" priority="26481"/>
    <cfRule type="duplicateValues" dxfId="24104" priority="26482"/>
    <cfRule type="duplicateValues" dxfId="24103" priority="26483"/>
    <cfRule type="duplicateValues" dxfId="24102" priority="26484"/>
    <cfRule type="duplicateValues" dxfId="24101" priority="26485"/>
    <cfRule type="duplicateValues" dxfId="24100" priority="26486"/>
    <cfRule type="duplicateValues" dxfId="24099" priority="26487"/>
    <cfRule type="duplicateValues" dxfId="24098" priority="26488"/>
    <cfRule type="duplicateValues" dxfId="24097" priority="26489"/>
    <cfRule type="duplicateValues" dxfId="24096" priority="26490"/>
    <cfRule type="duplicateValues" dxfId="24095" priority="26491"/>
    <cfRule type="duplicateValues" dxfId="24094" priority="26492"/>
    <cfRule type="duplicateValues" dxfId="24093" priority="26493"/>
    <cfRule type="duplicateValues" dxfId="24092" priority="26494"/>
    <cfRule type="duplicateValues" dxfId="24091" priority="26495"/>
    <cfRule type="duplicateValues" dxfId="24090" priority="26496"/>
    <cfRule type="duplicateValues" dxfId="24089" priority="26497"/>
    <cfRule type="duplicateValues" dxfId="24088" priority="26498"/>
    <cfRule type="duplicateValues" dxfId="24087" priority="26499"/>
    <cfRule type="duplicateValues" dxfId="24086" priority="26500"/>
    <cfRule type="duplicateValues" dxfId="24085" priority="26501"/>
    <cfRule type="duplicateValues" dxfId="24084" priority="26502"/>
    <cfRule type="duplicateValues" dxfId="24083" priority="26503"/>
    <cfRule type="duplicateValues" dxfId="24082" priority="26504"/>
    <cfRule type="duplicateValues" dxfId="24081" priority="26505"/>
    <cfRule type="duplicateValues" dxfId="24080" priority="26506"/>
    <cfRule type="duplicateValues" dxfId="24079" priority="26507"/>
    <cfRule type="duplicateValues" dxfId="24078" priority="26508"/>
    <cfRule type="duplicateValues" dxfId="24077" priority="26509"/>
    <cfRule type="duplicateValues" dxfId="24076" priority="26510"/>
    <cfRule type="duplicateValues" dxfId="24075" priority="26511"/>
    <cfRule type="duplicateValues" dxfId="24074" priority="26512"/>
    <cfRule type="duplicateValues" dxfId="24073" priority="26513"/>
    <cfRule type="duplicateValues" dxfId="24072" priority="26514"/>
    <cfRule type="duplicateValues" dxfId="24071" priority="26515"/>
    <cfRule type="duplicateValues" dxfId="24070" priority="26516"/>
    <cfRule type="duplicateValues" dxfId="24069" priority="26517"/>
    <cfRule type="duplicateValues" dxfId="24068" priority="26518"/>
    <cfRule type="duplicateValues" dxfId="24067" priority="26519"/>
    <cfRule type="duplicateValues" dxfId="24066" priority="26520"/>
    <cfRule type="duplicateValues" dxfId="24065" priority="26521"/>
    <cfRule type="duplicateValues" dxfId="24064" priority="26522"/>
    <cfRule type="duplicateValues" dxfId="24063" priority="26523"/>
    <cfRule type="duplicateValues" dxfId="24062" priority="26524"/>
    <cfRule type="duplicateValues" dxfId="24061" priority="26525"/>
    <cfRule type="duplicateValues" dxfId="24060" priority="26526"/>
    <cfRule type="duplicateValues" dxfId="24059" priority="26527"/>
    <cfRule type="duplicateValues" dxfId="24058" priority="26528"/>
    <cfRule type="duplicateValues" dxfId="24057" priority="26529"/>
    <cfRule type="duplicateValues" dxfId="24056" priority="26530"/>
    <cfRule type="duplicateValues" dxfId="24055" priority="26531"/>
    <cfRule type="duplicateValues" dxfId="24054" priority="26532"/>
    <cfRule type="duplicateValues" dxfId="24053" priority="26533"/>
    <cfRule type="duplicateValues" dxfId="24052" priority="26534"/>
    <cfRule type="duplicateValues" dxfId="24051" priority="26535"/>
    <cfRule type="duplicateValues" dxfId="24050" priority="26536"/>
    <cfRule type="duplicateValues" dxfId="24049" priority="26537"/>
    <cfRule type="duplicateValues" dxfId="24048" priority="26538"/>
    <cfRule type="duplicateValues" dxfId="24047" priority="26539"/>
    <cfRule type="duplicateValues" dxfId="24046" priority="26540"/>
    <cfRule type="duplicateValues" dxfId="24045" priority="26541"/>
    <cfRule type="duplicateValues" dxfId="24044" priority="26542"/>
    <cfRule type="duplicateValues" dxfId="24043" priority="26543"/>
    <cfRule type="duplicateValues" dxfId="24042" priority="26544"/>
    <cfRule type="duplicateValues" dxfId="24041" priority="26545"/>
    <cfRule type="duplicateValues" dxfId="24040" priority="26546"/>
    <cfRule type="duplicateValues" dxfId="24039" priority="26547"/>
    <cfRule type="duplicateValues" dxfId="24038" priority="26548"/>
    <cfRule type="duplicateValues" dxfId="24037" priority="26549"/>
    <cfRule type="duplicateValues" dxfId="24036" priority="26550"/>
    <cfRule type="duplicateValues" dxfId="24035" priority="26551"/>
    <cfRule type="duplicateValues" dxfId="24034" priority="26552"/>
    <cfRule type="duplicateValues" dxfId="24033" priority="26553"/>
    <cfRule type="duplicateValues" dxfId="24032" priority="26554"/>
    <cfRule type="duplicateValues" dxfId="24031" priority="26555"/>
    <cfRule type="duplicateValues" dxfId="24030" priority="26556"/>
    <cfRule type="duplicateValues" dxfId="24029" priority="26557"/>
    <cfRule type="duplicateValues" dxfId="24028" priority="26558"/>
    <cfRule type="duplicateValues" dxfId="24027" priority="26559"/>
    <cfRule type="duplicateValues" dxfId="24026" priority="26560"/>
    <cfRule type="duplicateValues" dxfId="24025" priority="26561"/>
    <cfRule type="duplicateValues" dxfId="24024" priority="26562"/>
    <cfRule type="duplicateValues" dxfId="24023" priority="26563"/>
    <cfRule type="duplicateValues" dxfId="24022" priority="26564"/>
    <cfRule type="duplicateValues" dxfId="24021" priority="26565"/>
    <cfRule type="duplicateValues" dxfId="24020" priority="26566"/>
    <cfRule type="duplicateValues" dxfId="24019" priority="26567"/>
    <cfRule type="duplicateValues" dxfId="24018" priority="26568"/>
    <cfRule type="duplicateValues" dxfId="24017" priority="26569"/>
    <cfRule type="duplicateValues" dxfId="24016" priority="26570"/>
    <cfRule type="duplicateValues" dxfId="24015" priority="26571"/>
    <cfRule type="duplicateValues" dxfId="24014" priority="26572"/>
    <cfRule type="duplicateValues" dxfId="24013" priority="26573"/>
    <cfRule type="duplicateValues" dxfId="24012" priority="26574"/>
    <cfRule type="duplicateValues" dxfId="24011" priority="26575"/>
    <cfRule type="duplicateValues" dxfId="24010" priority="26576"/>
    <cfRule type="duplicateValues" dxfId="24009" priority="26577"/>
    <cfRule type="duplicateValues" dxfId="24008" priority="26578"/>
    <cfRule type="duplicateValues" dxfId="24007" priority="26579"/>
    <cfRule type="duplicateValues" dxfId="24006" priority="26580"/>
    <cfRule type="duplicateValues" dxfId="24005" priority="26581"/>
    <cfRule type="duplicateValues" dxfId="24004" priority="26582"/>
    <cfRule type="duplicateValues" dxfId="24003" priority="26583"/>
    <cfRule type="duplicateValues" dxfId="24002" priority="26584"/>
    <cfRule type="duplicateValues" dxfId="24001" priority="26585"/>
    <cfRule type="duplicateValues" dxfId="24000" priority="26586"/>
    <cfRule type="duplicateValues" dxfId="23999" priority="26587"/>
    <cfRule type="duplicateValues" dxfId="23998" priority="26588"/>
    <cfRule type="duplicateValues" dxfId="23997" priority="26589"/>
    <cfRule type="duplicateValues" dxfId="23996" priority="26590"/>
    <cfRule type="duplicateValues" dxfId="23995" priority="26591"/>
    <cfRule type="duplicateValues" dxfId="23994" priority="26592"/>
    <cfRule type="duplicateValues" dxfId="23993" priority="26593"/>
    <cfRule type="duplicateValues" dxfId="23992" priority="26594"/>
    <cfRule type="duplicateValues" dxfId="23991" priority="26595"/>
    <cfRule type="duplicateValues" dxfId="23990" priority="26596"/>
    <cfRule type="duplicateValues" dxfId="23989" priority="26597"/>
    <cfRule type="duplicateValues" dxfId="23988" priority="26598"/>
    <cfRule type="duplicateValues" dxfId="23987" priority="26599"/>
    <cfRule type="duplicateValues" dxfId="23986" priority="26600"/>
    <cfRule type="duplicateValues" dxfId="23985" priority="26601"/>
    <cfRule type="duplicateValues" dxfId="23984" priority="26602"/>
    <cfRule type="duplicateValues" dxfId="23983" priority="26603"/>
    <cfRule type="duplicateValues" dxfId="23982" priority="26604"/>
    <cfRule type="duplicateValues" dxfId="23981" priority="26605"/>
    <cfRule type="duplicateValues" dxfId="23980" priority="26606"/>
    <cfRule type="duplicateValues" dxfId="23979" priority="26607"/>
    <cfRule type="duplicateValues" dxfId="23978" priority="26608"/>
    <cfRule type="duplicateValues" dxfId="23977" priority="26609"/>
    <cfRule type="duplicateValues" dxfId="23976" priority="26610"/>
    <cfRule type="duplicateValues" dxfId="23975" priority="26611"/>
    <cfRule type="duplicateValues" dxfId="23974" priority="26612"/>
    <cfRule type="duplicateValues" dxfId="23973" priority="26613"/>
    <cfRule type="duplicateValues" dxfId="23972" priority="26614"/>
    <cfRule type="duplicateValues" dxfId="23971" priority="26615"/>
    <cfRule type="duplicateValues" dxfId="23970" priority="26616"/>
    <cfRule type="duplicateValues" dxfId="23969" priority="26617"/>
    <cfRule type="duplicateValues" dxfId="23968" priority="26618"/>
    <cfRule type="duplicateValues" dxfId="23967" priority="26619"/>
    <cfRule type="duplicateValues" dxfId="23966" priority="26620"/>
    <cfRule type="duplicateValues" dxfId="23965" priority="26621"/>
    <cfRule type="duplicateValues" dxfId="23964" priority="26622"/>
    <cfRule type="duplicateValues" dxfId="23963" priority="26623"/>
    <cfRule type="duplicateValues" dxfId="23962" priority="26624"/>
    <cfRule type="duplicateValues" dxfId="23961" priority="26625"/>
    <cfRule type="duplicateValues" dxfId="23960" priority="26626"/>
    <cfRule type="duplicateValues" dxfId="23959" priority="26627"/>
    <cfRule type="duplicateValues" dxfId="23958" priority="26628"/>
    <cfRule type="duplicateValues" dxfId="23957" priority="26629"/>
    <cfRule type="duplicateValues" dxfId="23956" priority="26630"/>
    <cfRule type="duplicateValues" dxfId="23955" priority="26631"/>
    <cfRule type="duplicateValues" dxfId="23954" priority="26632"/>
    <cfRule type="duplicateValues" dxfId="23953" priority="26633"/>
    <cfRule type="duplicateValues" dxfId="23952" priority="26634"/>
    <cfRule type="duplicateValues" dxfId="23951" priority="26635"/>
    <cfRule type="duplicateValues" dxfId="23950" priority="26636"/>
    <cfRule type="duplicateValues" dxfId="23949" priority="26637"/>
    <cfRule type="duplicateValues" dxfId="23948" priority="26638"/>
    <cfRule type="duplicateValues" dxfId="23947" priority="26639"/>
    <cfRule type="duplicateValues" dxfId="23946" priority="26640"/>
    <cfRule type="duplicateValues" dxfId="23945" priority="26641"/>
    <cfRule type="duplicateValues" dxfId="23944" priority="26642"/>
    <cfRule type="duplicateValues" dxfId="23943" priority="26643"/>
    <cfRule type="duplicateValues" dxfId="23942" priority="26644"/>
    <cfRule type="duplicateValues" dxfId="23941" priority="26645"/>
    <cfRule type="duplicateValues" dxfId="23940" priority="26646"/>
    <cfRule type="duplicateValues" dxfId="23939" priority="26647"/>
    <cfRule type="duplicateValues" dxfId="23938" priority="26648"/>
    <cfRule type="duplicateValues" dxfId="23937" priority="26649"/>
    <cfRule type="duplicateValues" dxfId="23936" priority="26650"/>
    <cfRule type="duplicateValues" dxfId="23935" priority="26651"/>
    <cfRule type="duplicateValues" dxfId="23934" priority="26652"/>
    <cfRule type="duplicateValues" dxfId="23933" priority="26653"/>
    <cfRule type="duplicateValues" dxfId="23932" priority="26654"/>
    <cfRule type="duplicateValues" dxfId="23931" priority="26655"/>
    <cfRule type="duplicateValues" dxfId="23930" priority="26656"/>
    <cfRule type="duplicateValues" dxfId="23929" priority="26657"/>
    <cfRule type="duplicateValues" dxfId="23928" priority="26658"/>
    <cfRule type="duplicateValues" dxfId="23927" priority="26659"/>
    <cfRule type="duplicateValues" dxfId="23926" priority="26660"/>
    <cfRule type="duplicateValues" dxfId="23925" priority="26661"/>
    <cfRule type="duplicateValues" dxfId="23924" priority="26662"/>
    <cfRule type="duplicateValues" dxfId="23923" priority="26663"/>
    <cfRule type="duplicateValues" dxfId="23922" priority="26664"/>
    <cfRule type="duplicateValues" dxfId="23921" priority="26665"/>
    <cfRule type="duplicateValues" dxfId="23920" priority="26666"/>
    <cfRule type="duplicateValues" dxfId="23919" priority="26667"/>
    <cfRule type="duplicateValues" dxfId="23918" priority="26668"/>
    <cfRule type="duplicateValues" dxfId="23917" priority="26669"/>
    <cfRule type="duplicateValues" dxfId="23916" priority="26670"/>
    <cfRule type="duplicateValues" dxfId="23915" priority="26671"/>
    <cfRule type="duplicateValues" dxfId="23914" priority="26672"/>
    <cfRule type="duplicateValues" dxfId="23913" priority="26673"/>
    <cfRule type="duplicateValues" dxfId="23912" priority="26674"/>
    <cfRule type="duplicateValues" dxfId="23911" priority="26675"/>
    <cfRule type="duplicateValues" dxfId="23910" priority="26676"/>
    <cfRule type="duplicateValues" dxfId="23909" priority="26677"/>
    <cfRule type="duplicateValues" dxfId="23908" priority="26678"/>
    <cfRule type="duplicateValues" dxfId="23907" priority="26679"/>
    <cfRule type="duplicateValues" dxfId="23906" priority="26680"/>
    <cfRule type="duplicateValues" dxfId="23905" priority="26681"/>
    <cfRule type="duplicateValues" dxfId="23904" priority="26682"/>
    <cfRule type="duplicateValues" dxfId="23903" priority="26683"/>
    <cfRule type="duplicateValues" dxfId="23902" priority="26684"/>
    <cfRule type="duplicateValues" dxfId="23901" priority="26685"/>
    <cfRule type="duplicateValues" dxfId="23900" priority="26686"/>
    <cfRule type="duplicateValues" dxfId="23899" priority="26687"/>
    <cfRule type="duplicateValues" dxfId="23898" priority="26688"/>
    <cfRule type="duplicateValues" dxfId="23897" priority="26689"/>
    <cfRule type="duplicateValues" dxfId="23896" priority="26690"/>
    <cfRule type="duplicateValues" dxfId="23895" priority="26691"/>
    <cfRule type="duplicateValues" dxfId="23894" priority="26692"/>
    <cfRule type="duplicateValues" dxfId="23893" priority="26693"/>
    <cfRule type="duplicateValues" dxfId="23892" priority="26694"/>
    <cfRule type="duplicateValues" dxfId="23891" priority="26695"/>
    <cfRule type="duplicateValues" dxfId="23890" priority="26696"/>
    <cfRule type="duplicateValues" dxfId="23889" priority="26697"/>
    <cfRule type="duplicateValues" dxfId="23888" priority="26698"/>
    <cfRule type="duplicateValues" dxfId="23887" priority="26699"/>
    <cfRule type="duplicateValues" dxfId="23886" priority="26700"/>
    <cfRule type="duplicateValues" dxfId="23885" priority="26701"/>
    <cfRule type="duplicateValues" dxfId="23884" priority="26702"/>
    <cfRule type="duplicateValues" dxfId="23883" priority="26703"/>
    <cfRule type="duplicateValues" dxfId="23882" priority="26704"/>
    <cfRule type="duplicateValues" dxfId="23881" priority="26705"/>
    <cfRule type="duplicateValues" dxfId="23880" priority="26706"/>
    <cfRule type="duplicateValues" dxfId="23879" priority="26707"/>
    <cfRule type="duplicateValues" dxfId="23878" priority="26708"/>
    <cfRule type="duplicateValues" dxfId="23877" priority="26709"/>
    <cfRule type="duplicateValues" dxfId="23876" priority="26710"/>
    <cfRule type="duplicateValues" dxfId="23875" priority="26711"/>
    <cfRule type="duplicateValues" dxfId="23874" priority="26712"/>
    <cfRule type="duplicateValues" dxfId="23873" priority="26713"/>
    <cfRule type="duplicateValues" dxfId="23872" priority="26714"/>
    <cfRule type="duplicateValues" dxfId="23871" priority="26715"/>
    <cfRule type="duplicateValues" dxfId="23870" priority="26716"/>
    <cfRule type="duplicateValues" dxfId="23869" priority="26717"/>
    <cfRule type="duplicateValues" dxfId="23868" priority="26718"/>
    <cfRule type="duplicateValues" dxfId="23867" priority="26719"/>
    <cfRule type="duplicateValues" dxfId="23866" priority="26720"/>
    <cfRule type="duplicateValues" dxfId="23865" priority="26721"/>
    <cfRule type="duplicateValues" dxfId="23864" priority="26722"/>
    <cfRule type="duplicateValues" dxfId="23863" priority="26723"/>
    <cfRule type="duplicateValues" dxfId="23862" priority="26724"/>
    <cfRule type="duplicateValues" dxfId="23861" priority="26725"/>
    <cfRule type="duplicateValues" dxfId="23860" priority="26726"/>
    <cfRule type="duplicateValues" dxfId="23859" priority="26727"/>
    <cfRule type="duplicateValues" dxfId="23858" priority="26728"/>
    <cfRule type="duplicateValues" dxfId="23857" priority="26729"/>
    <cfRule type="duplicateValues" dxfId="23856" priority="26730"/>
    <cfRule type="duplicateValues" dxfId="23855" priority="26731"/>
    <cfRule type="duplicateValues" dxfId="23854" priority="26732"/>
    <cfRule type="duplicateValues" dxfId="23853" priority="26733"/>
    <cfRule type="duplicateValues" dxfId="23852" priority="26734"/>
    <cfRule type="duplicateValues" dxfId="23851" priority="26735"/>
    <cfRule type="duplicateValues" dxfId="23850" priority="26736"/>
    <cfRule type="duplicateValues" dxfId="23849" priority="26737"/>
    <cfRule type="duplicateValues" dxfId="23848" priority="26738"/>
    <cfRule type="duplicateValues" dxfId="23847" priority="26739"/>
    <cfRule type="duplicateValues" dxfId="23846" priority="26740"/>
    <cfRule type="duplicateValues" dxfId="23845" priority="26741"/>
    <cfRule type="duplicateValues" dxfId="23844" priority="26742"/>
    <cfRule type="duplicateValues" dxfId="23843" priority="26743"/>
    <cfRule type="duplicateValues" dxfId="23842" priority="26744"/>
    <cfRule type="duplicateValues" dxfId="23841" priority="26745"/>
    <cfRule type="duplicateValues" dxfId="23840" priority="26746"/>
    <cfRule type="duplicateValues" dxfId="23839" priority="26747"/>
    <cfRule type="duplicateValues" dxfId="23838" priority="26748"/>
    <cfRule type="duplicateValues" dxfId="23837" priority="26749"/>
    <cfRule type="duplicateValues" dxfId="23836" priority="26750"/>
    <cfRule type="duplicateValues" dxfId="23835" priority="26751"/>
    <cfRule type="duplicateValues" dxfId="23834" priority="26752"/>
    <cfRule type="duplicateValues" dxfId="23833" priority="26753"/>
    <cfRule type="duplicateValues" dxfId="23832" priority="26754"/>
    <cfRule type="duplicateValues" dxfId="23831" priority="26755"/>
    <cfRule type="duplicateValues" dxfId="23830" priority="26756"/>
    <cfRule type="duplicateValues" dxfId="23829" priority="26757"/>
    <cfRule type="duplicateValues" dxfId="23828" priority="26758"/>
    <cfRule type="duplicateValues" dxfId="23827" priority="26759"/>
    <cfRule type="duplicateValues" dxfId="23826" priority="26760"/>
    <cfRule type="duplicateValues" dxfId="23825" priority="26761"/>
    <cfRule type="duplicateValues" dxfId="23824" priority="26762"/>
    <cfRule type="duplicateValues" dxfId="23823" priority="26763"/>
    <cfRule type="duplicateValues" dxfId="23822" priority="26764"/>
    <cfRule type="duplicateValues" dxfId="23821" priority="26765"/>
    <cfRule type="duplicateValues" dxfId="23820" priority="26766"/>
    <cfRule type="duplicateValues" dxfId="23819" priority="26767"/>
    <cfRule type="duplicateValues" dxfId="23818" priority="26768"/>
    <cfRule type="duplicateValues" dxfId="23817" priority="26769"/>
    <cfRule type="duplicateValues" dxfId="23816" priority="26770"/>
    <cfRule type="duplicateValues" dxfId="23815" priority="26771"/>
    <cfRule type="duplicateValues" dxfId="23814" priority="26772"/>
    <cfRule type="duplicateValues" dxfId="23813" priority="26773"/>
    <cfRule type="duplicateValues" dxfId="23812" priority="26774"/>
    <cfRule type="duplicateValues" dxfId="23811" priority="26775"/>
    <cfRule type="duplicateValues" dxfId="23810" priority="26776"/>
    <cfRule type="duplicateValues" dxfId="23809" priority="26777"/>
    <cfRule type="duplicateValues" dxfId="23808" priority="26778"/>
    <cfRule type="duplicateValues" dxfId="23807" priority="26779"/>
    <cfRule type="duplicateValues" dxfId="23806" priority="26780"/>
    <cfRule type="duplicateValues" dxfId="23805" priority="26781"/>
    <cfRule type="duplicateValues" dxfId="23804" priority="26782"/>
    <cfRule type="duplicateValues" dxfId="23803" priority="26783"/>
    <cfRule type="duplicateValues" dxfId="23802" priority="26784"/>
    <cfRule type="duplicateValues" dxfId="23801" priority="26785"/>
    <cfRule type="duplicateValues" dxfId="23800" priority="26786"/>
    <cfRule type="duplicateValues" dxfId="23799" priority="26787"/>
    <cfRule type="duplicateValues" dxfId="23798" priority="26788"/>
    <cfRule type="duplicateValues" dxfId="23797" priority="26789"/>
    <cfRule type="duplicateValues" dxfId="23796" priority="26790"/>
    <cfRule type="duplicateValues" dxfId="23795" priority="26791"/>
    <cfRule type="duplicateValues" dxfId="23794" priority="26792"/>
    <cfRule type="duplicateValues" dxfId="23793" priority="26793"/>
    <cfRule type="duplicateValues" dxfId="23792" priority="26794"/>
  </conditionalFormatting>
  <conditionalFormatting sqref="C210:C214">
    <cfRule type="duplicateValues" dxfId="23791" priority="7899"/>
    <cfRule type="duplicateValues" dxfId="23790" priority="7900"/>
    <cfRule type="duplicateValues" dxfId="23789" priority="7901"/>
    <cfRule type="duplicateValues" dxfId="23788" priority="7902"/>
    <cfRule type="duplicateValues" dxfId="23787" priority="7903"/>
    <cfRule type="duplicateValues" dxfId="23786" priority="7904"/>
  </conditionalFormatting>
  <conditionalFormatting sqref="C211">
    <cfRule type="duplicateValues" dxfId="23785" priority="26105"/>
    <cfRule type="duplicateValues" dxfId="23784" priority="26106"/>
    <cfRule type="duplicateValues" dxfId="23783" priority="26107"/>
    <cfRule type="duplicateValues" dxfId="23782" priority="26108"/>
    <cfRule type="duplicateValues" dxfId="23781" priority="26109"/>
    <cfRule type="duplicateValues" dxfId="23780" priority="26110"/>
    <cfRule type="duplicateValues" dxfId="23779" priority="26111"/>
    <cfRule type="duplicateValues" dxfId="23778" priority="26112"/>
    <cfRule type="duplicateValues" dxfId="23777" priority="26113"/>
    <cfRule type="duplicateValues" dxfId="23776" priority="26114"/>
    <cfRule type="duplicateValues" dxfId="23775" priority="26115"/>
    <cfRule type="duplicateValues" dxfId="23774" priority="26116"/>
    <cfRule type="duplicateValues" dxfId="23773" priority="26117"/>
    <cfRule type="duplicateValues" dxfId="23772" priority="26118"/>
    <cfRule type="duplicateValues" dxfId="23771" priority="26119"/>
    <cfRule type="duplicateValues" dxfId="23770" priority="26120"/>
    <cfRule type="duplicateValues" dxfId="23769" priority="26121"/>
    <cfRule type="duplicateValues" dxfId="23768" priority="26122"/>
    <cfRule type="duplicateValues" dxfId="23767" priority="26123"/>
    <cfRule type="duplicateValues" dxfId="23766" priority="26124"/>
    <cfRule type="duplicateValues" dxfId="23765" priority="26125"/>
    <cfRule type="duplicateValues" dxfId="23764" priority="26126"/>
    <cfRule type="duplicateValues" dxfId="23763" priority="26127"/>
    <cfRule type="duplicateValues" dxfId="23762" priority="26128"/>
    <cfRule type="duplicateValues" dxfId="23761" priority="26129"/>
    <cfRule type="duplicateValues" dxfId="23760" priority="26130"/>
    <cfRule type="duplicateValues" dxfId="23759" priority="26131"/>
    <cfRule type="duplicateValues" dxfId="23758" priority="26132"/>
    <cfRule type="duplicateValues" dxfId="23757" priority="26133"/>
    <cfRule type="duplicateValues" dxfId="23756" priority="26134"/>
    <cfRule type="duplicateValues" dxfId="23755" priority="26135"/>
    <cfRule type="duplicateValues" dxfId="23754" priority="26136"/>
    <cfRule type="duplicateValues" dxfId="23753" priority="26137"/>
    <cfRule type="duplicateValues" dxfId="23752" priority="26138"/>
    <cfRule type="duplicateValues" dxfId="23751" priority="26139"/>
    <cfRule type="duplicateValues" dxfId="23750" priority="26140"/>
    <cfRule type="duplicateValues" dxfId="23749" priority="26141"/>
    <cfRule type="duplicateValues" dxfId="23748" priority="26142"/>
    <cfRule type="duplicateValues" dxfId="23747" priority="26143"/>
    <cfRule type="duplicateValues" dxfId="23746" priority="26144"/>
    <cfRule type="duplicateValues" dxfId="23745" priority="26145"/>
    <cfRule type="duplicateValues" dxfId="23744" priority="26146"/>
    <cfRule type="duplicateValues" dxfId="23743" priority="26147"/>
    <cfRule type="duplicateValues" dxfId="23742" priority="26148"/>
    <cfRule type="duplicateValues" dxfId="23741" priority="26149"/>
    <cfRule type="duplicateValues" dxfId="23740" priority="26150"/>
    <cfRule type="duplicateValues" dxfId="23739" priority="26151"/>
    <cfRule type="duplicateValues" dxfId="23738" priority="26152"/>
    <cfRule type="duplicateValues" dxfId="23737" priority="26153"/>
    <cfRule type="duplicateValues" dxfId="23736" priority="26154"/>
    <cfRule type="duplicateValues" dxfId="23735" priority="26155"/>
    <cfRule type="duplicateValues" dxfId="23734" priority="26156"/>
    <cfRule type="duplicateValues" dxfId="23733" priority="26157"/>
    <cfRule type="duplicateValues" dxfId="23732" priority="26158"/>
    <cfRule type="duplicateValues" dxfId="23731" priority="26159"/>
    <cfRule type="duplicateValues" dxfId="23730" priority="26160"/>
    <cfRule type="duplicateValues" dxfId="23729" priority="26161"/>
    <cfRule type="duplicateValues" dxfId="23728" priority="26162"/>
    <cfRule type="duplicateValues" dxfId="23727" priority="26163"/>
    <cfRule type="duplicateValues" dxfId="23726" priority="26164"/>
    <cfRule type="duplicateValues" dxfId="23725" priority="26165"/>
    <cfRule type="duplicateValues" dxfId="23724" priority="26166"/>
    <cfRule type="duplicateValues" dxfId="23723" priority="26167"/>
    <cfRule type="duplicateValues" dxfId="23722" priority="26168"/>
    <cfRule type="duplicateValues" dxfId="23721" priority="26169"/>
    <cfRule type="duplicateValues" dxfId="23720" priority="26170"/>
    <cfRule type="duplicateValues" dxfId="23719" priority="26171"/>
    <cfRule type="duplicateValues" dxfId="23718" priority="26172"/>
    <cfRule type="duplicateValues" dxfId="23717" priority="26173"/>
    <cfRule type="duplicateValues" dxfId="23716" priority="26174"/>
    <cfRule type="duplicateValues" dxfId="23715" priority="26175"/>
    <cfRule type="duplicateValues" dxfId="23714" priority="26176"/>
    <cfRule type="duplicateValues" dxfId="23713" priority="26177"/>
    <cfRule type="duplicateValues" dxfId="23712" priority="26178"/>
    <cfRule type="duplicateValues" dxfId="23711" priority="26179"/>
    <cfRule type="duplicateValues" dxfId="23710" priority="26180"/>
    <cfRule type="duplicateValues" dxfId="23709" priority="26181"/>
    <cfRule type="duplicateValues" dxfId="23708" priority="26182"/>
    <cfRule type="duplicateValues" dxfId="23707" priority="26183"/>
    <cfRule type="duplicateValues" dxfId="23706" priority="26184"/>
    <cfRule type="duplicateValues" dxfId="23705" priority="26185"/>
    <cfRule type="duplicateValues" dxfId="23704" priority="26186"/>
    <cfRule type="duplicateValues" dxfId="23703" priority="26187"/>
    <cfRule type="duplicateValues" dxfId="23702" priority="26188"/>
    <cfRule type="duplicateValues" dxfId="23701" priority="26189"/>
    <cfRule type="duplicateValues" dxfId="23700" priority="26190"/>
    <cfRule type="duplicateValues" dxfId="23699" priority="26191"/>
    <cfRule type="duplicateValues" dxfId="23698" priority="26192"/>
    <cfRule type="duplicateValues" dxfId="23697" priority="26193"/>
    <cfRule type="duplicateValues" dxfId="23696" priority="26194"/>
    <cfRule type="duplicateValues" dxfId="23695" priority="26195"/>
    <cfRule type="duplicateValues" dxfId="23694" priority="26196"/>
    <cfRule type="duplicateValues" dxfId="23693" priority="26197"/>
    <cfRule type="duplicateValues" dxfId="23692" priority="26198"/>
    <cfRule type="duplicateValues" dxfId="23691" priority="26199"/>
    <cfRule type="duplicateValues" dxfId="23690" priority="26200"/>
    <cfRule type="duplicateValues" dxfId="23689" priority="26201"/>
    <cfRule type="duplicateValues" dxfId="23688" priority="26202"/>
    <cfRule type="duplicateValues" dxfId="23687" priority="26203"/>
    <cfRule type="duplicateValues" dxfId="23686" priority="26204"/>
    <cfRule type="duplicateValues" dxfId="23685" priority="26205"/>
    <cfRule type="duplicateValues" dxfId="23684" priority="26206"/>
    <cfRule type="duplicateValues" dxfId="23683" priority="26207"/>
    <cfRule type="duplicateValues" dxfId="23682" priority="26208"/>
    <cfRule type="duplicateValues" dxfId="23681" priority="26209"/>
    <cfRule type="duplicateValues" dxfId="23680" priority="26210"/>
    <cfRule type="duplicateValues" dxfId="23679" priority="26211"/>
    <cfRule type="duplicateValues" dxfId="23678" priority="26212"/>
    <cfRule type="duplicateValues" dxfId="23677" priority="26213"/>
    <cfRule type="duplicateValues" dxfId="23676" priority="26214"/>
    <cfRule type="duplicateValues" dxfId="23675" priority="26215"/>
    <cfRule type="duplicateValues" dxfId="23674" priority="26216"/>
    <cfRule type="duplicateValues" dxfId="23673" priority="26217"/>
    <cfRule type="duplicateValues" dxfId="23672" priority="26218"/>
    <cfRule type="duplicateValues" dxfId="23671" priority="26219"/>
    <cfRule type="duplicateValues" dxfId="23670" priority="26220"/>
    <cfRule type="duplicateValues" dxfId="23669" priority="26221"/>
    <cfRule type="duplicateValues" dxfId="23668" priority="26222"/>
    <cfRule type="duplicateValues" dxfId="23667" priority="26223"/>
    <cfRule type="duplicateValues" dxfId="23666" priority="26224"/>
    <cfRule type="duplicateValues" dxfId="23665" priority="26225"/>
    <cfRule type="duplicateValues" dxfId="23664" priority="26226"/>
    <cfRule type="duplicateValues" dxfId="23663" priority="26227"/>
    <cfRule type="duplicateValues" dxfId="23662" priority="26228"/>
    <cfRule type="duplicateValues" dxfId="23661" priority="26229"/>
    <cfRule type="duplicateValues" dxfId="23660" priority="26230"/>
    <cfRule type="duplicateValues" dxfId="23659" priority="26231"/>
    <cfRule type="duplicateValues" dxfId="23658" priority="26232"/>
    <cfRule type="duplicateValues" dxfId="23657" priority="26233"/>
    <cfRule type="duplicateValues" dxfId="23656" priority="26234"/>
    <cfRule type="duplicateValues" dxfId="23655" priority="26235"/>
    <cfRule type="duplicateValues" dxfId="23654" priority="26236"/>
    <cfRule type="duplicateValues" dxfId="23653" priority="26237"/>
    <cfRule type="duplicateValues" dxfId="23652" priority="26238"/>
    <cfRule type="duplicateValues" dxfId="23651" priority="26239"/>
    <cfRule type="duplicateValues" dxfId="23650" priority="26240"/>
    <cfRule type="duplicateValues" dxfId="23649" priority="26241"/>
    <cfRule type="duplicateValues" dxfId="23648" priority="26242"/>
    <cfRule type="duplicateValues" dxfId="23647" priority="26243"/>
    <cfRule type="duplicateValues" dxfId="23646" priority="26244"/>
    <cfRule type="duplicateValues" dxfId="23645" priority="26245"/>
    <cfRule type="duplicateValues" dxfId="23644" priority="26246"/>
    <cfRule type="duplicateValues" dxfId="23643" priority="26247"/>
    <cfRule type="duplicateValues" dxfId="23642" priority="26248"/>
    <cfRule type="duplicateValues" dxfId="23641" priority="26249"/>
    <cfRule type="duplicateValues" dxfId="23640" priority="26250"/>
    <cfRule type="duplicateValues" dxfId="23639" priority="26251"/>
    <cfRule type="duplicateValues" dxfId="23638" priority="26252"/>
    <cfRule type="duplicateValues" dxfId="23637" priority="26253"/>
    <cfRule type="duplicateValues" dxfId="23636" priority="26254"/>
    <cfRule type="duplicateValues" dxfId="23635" priority="26255"/>
    <cfRule type="duplicateValues" dxfId="23634" priority="26256"/>
    <cfRule type="duplicateValues" dxfId="23633" priority="26257"/>
    <cfRule type="duplicateValues" dxfId="23632" priority="26258"/>
    <cfRule type="duplicateValues" dxfId="23631" priority="26259"/>
    <cfRule type="duplicateValues" dxfId="23630" priority="26260"/>
    <cfRule type="duplicateValues" dxfId="23629" priority="26261"/>
    <cfRule type="duplicateValues" dxfId="23628" priority="26262"/>
    <cfRule type="duplicateValues" dxfId="23627" priority="26263"/>
    <cfRule type="duplicateValues" dxfId="23626" priority="26264"/>
    <cfRule type="duplicateValues" dxfId="23625" priority="26265"/>
    <cfRule type="duplicateValues" dxfId="23624" priority="26266"/>
    <cfRule type="duplicateValues" dxfId="23623" priority="26267"/>
    <cfRule type="duplicateValues" dxfId="23622" priority="26268"/>
    <cfRule type="duplicateValues" dxfId="23621" priority="26269"/>
    <cfRule type="duplicateValues" dxfId="23620" priority="26270"/>
    <cfRule type="duplicateValues" dxfId="23619" priority="26271"/>
    <cfRule type="duplicateValues" dxfId="23618" priority="26272"/>
    <cfRule type="duplicateValues" dxfId="23617" priority="26273"/>
    <cfRule type="duplicateValues" dxfId="23616" priority="26274"/>
    <cfRule type="duplicateValues" dxfId="23615" priority="26275"/>
    <cfRule type="duplicateValues" dxfId="23614" priority="26276"/>
    <cfRule type="duplicateValues" dxfId="23613" priority="26277"/>
    <cfRule type="duplicateValues" dxfId="23612" priority="26278"/>
    <cfRule type="duplicateValues" dxfId="23611" priority="26279"/>
    <cfRule type="duplicateValues" dxfId="23610" priority="26280"/>
    <cfRule type="duplicateValues" dxfId="23609" priority="26281"/>
    <cfRule type="duplicateValues" dxfId="23608" priority="26282"/>
    <cfRule type="duplicateValues" dxfId="23607" priority="26283"/>
    <cfRule type="duplicateValues" dxfId="23606" priority="26284"/>
    <cfRule type="duplicateValues" dxfId="23605" priority="26285"/>
    <cfRule type="duplicateValues" dxfId="23604" priority="26286"/>
    <cfRule type="duplicateValues" dxfId="23603" priority="26287"/>
    <cfRule type="duplicateValues" dxfId="23602" priority="26288"/>
    <cfRule type="duplicateValues" dxfId="23601" priority="26289"/>
    <cfRule type="duplicateValues" dxfId="23600" priority="26290"/>
    <cfRule type="duplicateValues" dxfId="23599" priority="26291"/>
    <cfRule type="duplicateValues" dxfId="23598" priority="26292"/>
    <cfRule type="duplicateValues" dxfId="23597" priority="26293"/>
    <cfRule type="duplicateValues" dxfId="23596" priority="26294"/>
    <cfRule type="duplicateValues" dxfId="23595" priority="26295"/>
    <cfRule type="duplicateValues" dxfId="23594" priority="26296"/>
    <cfRule type="duplicateValues" dxfId="23593" priority="26297"/>
    <cfRule type="duplicateValues" dxfId="23592" priority="26298"/>
    <cfRule type="duplicateValues" dxfId="23591" priority="26299"/>
    <cfRule type="duplicateValues" dxfId="23590" priority="26300"/>
    <cfRule type="duplicateValues" dxfId="23589" priority="26301"/>
    <cfRule type="duplicateValues" dxfId="23588" priority="26302"/>
    <cfRule type="duplicateValues" dxfId="23587" priority="26303"/>
    <cfRule type="duplicateValues" dxfId="23586" priority="26304"/>
    <cfRule type="duplicateValues" dxfId="23585" priority="26305"/>
    <cfRule type="duplicateValues" dxfId="23584" priority="26306"/>
    <cfRule type="duplicateValues" dxfId="23583" priority="26307"/>
    <cfRule type="duplicateValues" dxfId="23582" priority="26308"/>
    <cfRule type="duplicateValues" dxfId="23581" priority="26309"/>
    <cfRule type="duplicateValues" dxfId="23580" priority="26310"/>
    <cfRule type="duplicateValues" dxfId="23579" priority="26311"/>
    <cfRule type="duplicateValues" dxfId="23578" priority="26312"/>
    <cfRule type="duplicateValues" dxfId="23577" priority="26313"/>
    <cfRule type="duplicateValues" dxfId="23576" priority="26314"/>
    <cfRule type="duplicateValues" dxfId="23575" priority="26315"/>
    <cfRule type="duplicateValues" dxfId="23574" priority="26316"/>
    <cfRule type="duplicateValues" dxfId="23573" priority="26317"/>
    <cfRule type="duplicateValues" dxfId="23572" priority="26318"/>
    <cfRule type="duplicateValues" dxfId="23571" priority="26319"/>
    <cfRule type="duplicateValues" dxfId="23570" priority="26320"/>
    <cfRule type="duplicateValues" dxfId="23569" priority="26321"/>
    <cfRule type="duplicateValues" dxfId="23568" priority="26322"/>
    <cfRule type="duplicateValues" dxfId="23567" priority="26323"/>
    <cfRule type="duplicateValues" dxfId="23566" priority="26324"/>
    <cfRule type="duplicateValues" dxfId="23565" priority="26325"/>
    <cfRule type="duplicateValues" dxfId="23564" priority="26326"/>
    <cfRule type="duplicateValues" dxfId="23563" priority="26327"/>
    <cfRule type="duplicateValues" dxfId="23562" priority="26328"/>
    <cfRule type="duplicateValues" dxfId="23561" priority="26329"/>
    <cfRule type="duplicateValues" dxfId="23560" priority="26330"/>
    <cfRule type="duplicateValues" dxfId="23559" priority="26331"/>
    <cfRule type="duplicateValues" dxfId="23558" priority="26332"/>
    <cfRule type="duplicateValues" dxfId="23557" priority="26333"/>
    <cfRule type="duplicateValues" dxfId="23556" priority="26334"/>
    <cfRule type="duplicateValues" dxfId="23555" priority="26335"/>
    <cfRule type="duplicateValues" dxfId="23554" priority="26336"/>
    <cfRule type="duplicateValues" dxfId="23553" priority="26337"/>
    <cfRule type="duplicateValues" dxfId="23552" priority="26338"/>
    <cfRule type="duplicateValues" dxfId="23551" priority="26339"/>
    <cfRule type="duplicateValues" dxfId="23550" priority="26340"/>
    <cfRule type="duplicateValues" dxfId="23549" priority="26341"/>
    <cfRule type="duplicateValues" dxfId="23548" priority="26342"/>
    <cfRule type="duplicateValues" dxfId="23547" priority="26343"/>
    <cfRule type="duplicateValues" dxfId="23546" priority="26344"/>
    <cfRule type="duplicateValues" dxfId="23545" priority="26345"/>
    <cfRule type="duplicateValues" dxfId="23544" priority="26346"/>
    <cfRule type="duplicateValues" dxfId="23543" priority="26347"/>
    <cfRule type="duplicateValues" dxfId="23542" priority="26348"/>
    <cfRule type="duplicateValues" dxfId="23541" priority="26349"/>
    <cfRule type="duplicateValues" dxfId="23540" priority="26350"/>
    <cfRule type="duplicateValues" dxfId="23539" priority="26351"/>
    <cfRule type="duplicateValues" dxfId="23538" priority="26352"/>
    <cfRule type="duplicateValues" dxfId="23537" priority="26353"/>
    <cfRule type="duplicateValues" dxfId="23536" priority="26354"/>
    <cfRule type="duplicateValues" dxfId="23535" priority="26355"/>
    <cfRule type="duplicateValues" dxfId="23534" priority="26356"/>
    <cfRule type="duplicateValues" dxfId="23533" priority="26357"/>
    <cfRule type="duplicateValues" dxfId="23532" priority="26358"/>
    <cfRule type="duplicateValues" dxfId="23531" priority="26359"/>
    <cfRule type="duplicateValues" dxfId="23530" priority="26360"/>
    <cfRule type="duplicateValues" dxfId="23529" priority="26361"/>
    <cfRule type="duplicateValues" dxfId="23528" priority="26362"/>
    <cfRule type="duplicateValues" dxfId="23527" priority="26363"/>
    <cfRule type="duplicateValues" dxfId="23526" priority="26364"/>
    <cfRule type="duplicateValues" dxfId="23525" priority="26365"/>
    <cfRule type="duplicateValues" dxfId="23524" priority="26366"/>
    <cfRule type="duplicateValues" dxfId="23523" priority="26367"/>
    <cfRule type="duplicateValues" dxfId="23522" priority="26368"/>
    <cfRule type="duplicateValues" dxfId="23521" priority="26369"/>
    <cfRule type="duplicateValues" dxfId="23520" priority="26370"/>
    <cfRule type="duplicateValues" dxfId="23519" priority="26371"/>
    <cfRule type="duplicateValues" dxfId="23518" priority="26372"/>
    <cfRule type="duplicateValues" dxfId="23517" priority="26373"/>
    <cfRule type="duplicateValues" dxfId="23516" priority="26374"/>
    <cfRule type="duplicateValues" dxfId="23515" priority="26375"/>
    <cfRule type="duplicateValues" dxfId="23514" priority="26376"/>
    <cfRule type="duplicateValues" dxfId="23513" priority="26377"/>
    <cfRule type="duplicateValues" dxfId="23512" priority="26378"/>
    <cfRule type="duplicateValues" dxfId="23511" priority="26379"/>
    <cfRule type="duplicateValues" dxfId="23510" priority="26380"/>
    <cfRule type="duplicateValues" dxfId="23509" priority="26381"/>
    <cfRule type="duplicateValues" dxfId="23508" priority="26382"/>
    <cfRule type="duplicateValues" dxfId="23507" priority="26383"/>
    <cfRule type="duplicateValues" dxfId="23506" priority="26384"/>
    <cfRule type="duplicateValues" dxfId="23505" priority="26385"/>
    <cfRule type="duplicateValues" dxfId="23504" priority="26386"/>
    <cfRule type="duplicateValues" dxfId="23503" priority="26387"/>
    <cfRule type="duplicateValues" dxfId="23502" priority="26388"/>
    <cfRule type="duplicateValues" dxfId="23501" priority="26389"/>
    <cfRule type="duplicateValues" dxfId="23500" priority="26390"/>
    <cfRule type="duplicateValues" dxfId="23499" priority="26391"/>
    <cfRule type="duplicateValues" dxfId="23498" priority="26392"/>
    <cfRule type="duplicateValues" dxfId="23497" priority="26393"/>
    <cfRule type="duplicateValues" dxfId="23496" priority="26394"/>
    <cfRule type="duplicateValues" dxfId="23495" priority="26395"/>
    <cfRule type="duplicateValues" dxfId="23494" priority="26396"/>
    <cfRule type="duplicateValues" dxfId="23493" priority="26397"/>
    <cfRule type="duplicateValues" dxfId="23492" priority="26398"/>
    <cfRule type="duplicateValues" dxfId="23491" priority="26399"/>
    <cfRule type="duplicateValues" dxfId="23490" priority="26400"/>
    <cfRule type="duplicateValues" dxfId="23489" priority="26401"/>
    <cfRule type="duplicateValues" dxfId="23488" priority="26402"/>
    <cfRule type="duplicateValues" dxfId="23487" priority="26403"/>
    <cfRule type="duplicateValues" dxfId="23486" priority="26404"/>
    <cfRule type="duplicateValues" dxfId="23485" priority="26405"/>
    <cfRule type="duplicateValues" dxfId="23484" priority="26406"/>
    <cfRule type="duplicateValues" dxfId="23483" priority="26407"/>
    <cfRule type="duplicateValues" dxfId="23482" priority="26408"/>
    <cfRule type="duplicateValues" dxfId="23481" priority="26409"/>
    <cfRule type="duplicateValues" dxfId="23480" priority="26410"/>
    <cfRule type="duplicateValues" dxfId="23479" priority="26411"/>
    <cfRule type="duplicateValues" dxfId="23478" priority="26412"/>
    <cfRule type="duplicateValues" dxfId="23477" priority="26413"/>
    <cfRule type="duplicateValues" dxfId="23476" priority="26414"/>
    <cfRule type="duplicateValues" dxfId="23475" priority="26415"/>
    <cfRule type="duplicateValues" dxfId="23474" priority="26416"/>
    <cfRule type="duplicateValues" dxfId="23473" priority="26417"/>
    <cfRule type="duplicateValues" dxfId="23472" priority="26418"/>
    <cfRule type="duplicateValues" dxfId="23471" priority="26419"/>
    <cfRule type="duplicateValues" dxfId="23470" priority="26420"/>
    <cfRule type="duplicateValues" dxfId="23469" priority="26421"/>
    <cfRule type="duplicateValues" dxfId="23468" priority="26422"/>
    <cfRule type="duplicateValues" dxfId="23467" priority="26423"/>
    <cfRule type="duplicateValues" dxfId="23466" priority="26424"/>
    <cfRule type="duplicateValues" dxfId="23465" priority="26425"/>
    <cfRule type="duplicateValues" dxfId="23464" priority="26426"/>
    <cfRule type="duplicateValues" dxfId="23463" priority="26427"/>
    <cfRule type="duplicateValues" dxfId="23462" priority="26428"/>
    <cfRule type="duplicateValues" dxfId="23461" priority="26429"/>
    <cfRule type="duplicateValues" dxfId="23460" priority="26430"/>
    <cfRule type="duplicateValues" dxfId="23459" priority="26431"/>
    <cfRule type="duplicateValues" dxfId="23458" priority="26432"/>
    <cfRule type="duplicateValues" dxfId="23457" priority="26433"/>
    <cfRule type="duplicateValues" dxfId="23456" priority="26434"/>
    <cfRule type="duplicateValues" dxfId="23455" priority="26435"/>
    <cfRule type="duplicateValues" dxfId="23454" priority="26436"/>
    <cfRule type="duplicateValues" dxfId="23453" priority="26437"/>
    <cfRule type="duplicateValues" dxfId="23452" priority="26438"/>
    <cfRule type="duplicateValues" dxfId="23451" priority="26439"/>
    <cfRule type="duplicateValues" dxfId="23450" priority="26440"/>
    <cfRule type="duplicateValues" dxfId="23449" priority="26441"/>
    <cfRule type="duplicateValues" dxfId="23448" priority="26442"/>
    <cfRule type="duplicateValues" dxfId="23447" priority="26443"/>
    <cfRule type="duplicateValues" dxfId="23446" priority="26444"/>
    <cfRule type="duplicateValues" dxfId="23445" priority="26445"/>
    <cfRule type="duplicateValues" dxfId="23444" priority="26446"/>
    <cfRule type="duplicateValues" dxfId="23443" priority="26447"/>
    <cfRule type="duplicateValues" dxfId="23442" priority="26448"/>
    <cfRule type="duplicateValues" dxfId="23441" priority="26449"/>
  </conditionalFormatting>
  <conditionalFormatting sqref="C212">
    <cfRule type="duplicateValues" dxfId="23440" priority="25760"/>
    <cfRule type="duplicateValues" dxfId="23439" priority="25761"/>
    <cfRule type="duplicateValues" dxfId="23438" priority="25762"/>
    <cfRule type="duplicateValues" dxfId="23437" priority="25763"/>
    <cfRule type="duplicateValues" dxfId="23436" priority="25764"/>
    <cfRule type="duplicateValues" dxfId="23435" priority="25765"/>
    <cfRule type="duplicateValues" dxfId="23434" priority="25766"/>
    <cfRule type="duplicateValues" dxfId="23433" priority="25767"/>
    <cfRule type="duplicateValues" dxfId="23432" priority="25768"/>
    <cfRule type="duplicateValues" dxfId="23431" priority="25769"/>
    <cfRule type="duplicateValues" dxfId="23430" priority="25770"/>
    <cfRule type="duplicateValues" dxfId="23429" priority="25771"/>
    <cfRule type="duplicateValues" dxfId="23428" priority="25772"/>
    <cfRule type="duplicateValues" dxfId="23427" priority="25773"/>
    <cfRule type="duplicateValues" dxfId="23426" priority="25774"/>
    <cfRule type="duplicateValues" dxfId="23425" priority="25775"/>
    <cfRule type="duplicateValues" dxfId="23424" priority="25776"/>
    <cfRule type="duplicateValues" dxfId="23423" priority="25777"/>
    <cfRule type="duplicateValues" dxfId="23422" priority="25778"/>
    <cfRule type="duplicateValues" dxfId="23421" priority="25779"/>
    <cfRule type="duplicateValues" dxfId="23420" priority="25780"/>
    <cfRule type="duplicateValues" dxfId="23419" priority="25781"/>
    <cfRule type="duplicateValues" dxfId="23418" priority="25782"/>
    <cfRule type="duplicateValues" dxfId="23417" priority="25783"/>
    <cfRule type="duplicateValues" dxfId="23416" priority="25784"/>
    <cfRule type="duplicateValues" dxfId="23415" priority="25785"/>
    <cfRule type="duplicateValues" dxfId="23414" priority="25786"/>
    <cfRule type="duplicateValues" dxfId="23413" priority="25787"/>
    <cfRule type="duplicateValues" dxfId="23412" priority="25788"/>
    <cfRule type="duplicateValues" dxfId="23411" priority="25789"/>
    <cfRule type="duplicateValues" dxfId="23410" priority="25790"/>
    <cfRule type="duplicateValues" dxfId="23409" priority="25791"/>
    <cfRule type="duplicateValues" dxfId="23408" priority="25792"/>
    <cfRule type="duplicateValues" dxfId="23407" priority="25793"/>
    <cfRule type="duplicateValues" dxfId="23406" priority="25794"/>
    <cfRule type="duplicateValues" dxfId="23405" priority="25795"/>
    <cfRule type="duplicateValues" dxfId="23404" priority="25796"/>
    <cfRule type="duplicateValues" dxfId="23403" priority="25797"/>
    <cfRule type="duplicateValues" dxfId="23402" priority="25798"/>
    <cfRule type="duplicateValues" dxfId="23401" priority="25799"/>
    <cfRule type="duplicateValues" dxfId="23400" priority="25800"/>
    <cfRule type="duplicateValues" dxfId="23399" priority="25801"/>
    <cfRule type="duplicateValues" dxfId="23398" priority="25802"/>
    <cfRule type="duplicateValues" dxfId="23397" priority="25803"/>
    <cfRule type="duplicateValues" dxfId="23396" priority="25804"/>
    <cfRule type="duplicateValues" dxfId="23395" priority="25805"/>
    <cfRule type="duplicateValues" dxfId="23394" priority="25806"/>
    <cfRule type="duplicateValues" dxfId="23393" priority="25807"/>
    <cfRule type="duplicateValues" dxfId="23392" priority="25808"/>
    <cfRule type="duplicateValues" dxfId="23391" priority="25809"/>
    <cfRule type="duplicateValues" dxfId="23390" priority="25810"/>
    <cfRule type="duplicateValues" dxfId="23389" priority="25811"/>
    <cfRule type="duplicateValues" dxfId="23388" priority="25812"/>
    <cfRule type="duplicateValues" dxfId="23387" priority="25813"/>
    <cfRule type="duplicateValues" dxfId="23386" priority="25814"/>
    <cfRule type="duplicateValues" dxfId="23385" priority="25815"/>
    <cfRule type="duplicateValues" dxfId="23384" priority="25816"/>
    <cfRule type="duplicateValues" dxfId="23383" priority="25817"/>
    <cfRule type="duplicateValues" dxfId="23382" priority="25818"/>
    <cfRule type="duplicateValues" dxfId="23381" priority="25819"/>
    <cfRule type="duplicateValues" dxfId="23380" priority="25820"/>
    <cfRule type="duplicateValues" dxfId="23379" priority="25821"/>
    <cfRule type="duplicateValues" dxfId="23378" priority="25822"/>
    <cfRule type="duplicateValues" dxfId="23377" priority="25823"/>
    <cfRule type="duplicateValues" dxfId="23376" priority="25824"/>
    <cfRule type="duplicateValues" dxfId="23375" priority="25825"/>
    <cfRule type="duplicateValues" dxfId="23374" priority="25826"/>
    <cfRule type="duplicateValues" dxfId="23373" priority="25827"/>
    <cfRule type="duplicateValues" dxfId="23372" priority="25828"/>
    <cfRule type="duplicateValues" dxfId="23371" priority="25829"/>
    <cfRule type="duplicateValues" dxfId="23370" priority="25830"/>
    <cfRule type="duplicateValues" dxfId="23369" priority="25831"/>
    <cfRule type="duplicateValues" dxfId="23368" priority="25832"/>
    <cfRule type="duplicateValues" dxfId="23367" priority="25833"/>
    <cfRule type="duplicateValues" dxfId="23366" priority="25834"/>
    <cfRule type="duplicateValues" dxfId="23365" priority="25835"/>
    <cfRule type="duplicateValues" dxfId="23364" priority="25836"/>
    <cfRule type="duplicateValues" dxfId="23363" priority="25837"/>
    <cfRule type="duplicateValues" dxfId="23362" priority="25838"/>
    <cfRule type="duplicateValues" dxfId="23361" priority="25839"/>
    <cfRule type="duplicateValues" dxfId="23360" priority="25840"/>
    <cfRule type="duplicateValues" dxfId="23359" priority="25841"/>
    <cfRule type="duplicateValues" dxfId="23358" priority="25842"/>
    <cfRule type="duplicateValues" dxfId="23357" priority="25843"/>
    <cfRule type="duplicateValues" dxfId="23356" priority="25844"/>
    <cfRule type="duplicateValues" dxfId="23355" priority="25845"/>
    <cfRule type="duplicateValues" dxfId="23354" priority="25846"/>
    <cfRule type="duplicateValues" dxfId="23353" priority="25847"/>
    <cfRule type="duplicateValues" dxfId="23352" priority="25848"/>
    <cfRule type="duplicateValues" dxfId="23351" priority="25849"/>
    <cfRule type="duplicateValues" dxfId="23350" priority="25850"/>
    <cfRule type="duplicateValues" dxfId="23349" priority="25851"/>
    <cfRule type="duplicateValues" dxfId="23348" priority="25852"/>
    <cfRule type="duplicateValues" dxfId="23347" priority="25853"/>
    <cfRule type="duplicateValues" dxfId="23346" priority="25854"/>
    <cfRule type="duplicateValues" dxfId="23345" priority="25855"/>
    <cfRule type="duplicateValues" dxfId="23344" priority="25856"/>
    <cfRule type="duplicateValues" dxfId="23343" priority="25857"/>
    <cfRule type="duplicateValues" dxfId="23342" priority="25858"/>
    <cfRule type="duplicateValues" dxfId="23341" priority="25859"/>
    <cfRule type="duplicateValues" dxfId="23340" priority="25860"/>
    <cfRule type="duplicateValues" dxfId="23339" priority="25861"/>
    <cfRule type="duplicateValues" dxfId="23338" priority="25862"/>
    <cfRule type="duplicateValues" dxfId="23337" priority="25863"/>
    <cfRule type="duplicateValues" dxfId="23336" priority="25864"/>
    <cfRule type="duplicateValues" dxfId="23335" priority="25865"/>
    <cfRule type="duplicateValues" dxfId="23334" priority="25866"/>
    <cfRule type="duplicateValues" dxfId="23333" priority="25867"/>
    <cfRule type="duplicateValues" dxfId="23332" priority="25868"/>
    <cfRule type="duplicateValues" dxfId="23331" priority="25869"/>
    <cfRule type="duplicateValues" dxfId="23330" priority="25870"/>
    <cfRule type="duplicateValues" dxfId="23329" priority="25871"/>
    <cfRule type="duplicateValues" dxfId="23328" priority="25872"/>
    <cfRule type="duplicateValues" dxfId="23327" priority="25873"/>
    <cfRule type="duplicateValues" dxfId="23326" priority="25874"/>
    <cfRule type="duplicateValues" dxfId="23325" priority="25875"/>
    <cfRule type="duplicateValues" dxfId="23324" priority="25876"/>
    <cfRule type="duplicateValues" dxfId="23323" priority="25877"/>
    <cfRule type="duplicateValues" dxfId="23322" priority="25878"/>
    <cfRule type="duplicateValues" dxfId="23321" priority="25879"/>
    <cfRule type="duplicateValues" dxfId="23320" priority="25880"/>
    <cfRule type="duplicateValues" dxfId="23319" priority="25881"/>
    <cfRule type="duplicateValues" dxfId="23318" priority="25882"/>
    <cfRule type="duplicateValues" dxfId="23317" priority="25883"/>
    <cfRule type="duplicateValues" dxfId="23316" priority="25884"/>
    <cfRule type="duplicateValues" dxfId="23315" priority="25885"/>
    <cfRule type="duplicateValues" dxfId="23314" priority="25886"/>
    <cfRule type="duplicateValues" dxfId="23313" priority="25887"/>
    <cfRule type="duplicateValues" dxfId="23312" priority="25888"/>
    <cfRule type="duplicateValues" dxfId="23311" priority="25889"/>
    <cfRule type="duplicateValues" dxfId="23310" priority="25890"/>
    <cfRule type="duplicateValues" dxfId="23309" priority="25891"/>
    <cfRule type="duplicateValues" dxfId="23308" priority="25892"/>
    <cfRule type="duplicateValues" dxfId="23307" priority="25893"/>
    <cfRule type="duplicateValues" dxfId="23306" priority="25894"/>
    <cfRule type="duplicateValues" dxfId="23305" priority="25895"/>
    <cfRule type="duplicateValues" dxfId="23304" priority="25896"/>
    <cfRule type="duplicateValues" dxfId="23303" priority="25897"/>
    <cfRule type="duplicateValues" dxfId="23302" priority="25898"/>
    <cfRule type="duplicateValues" dxfId="23301" priority="25899"/>
    <cfRule type="duplicateValues" dxfId="23300" priority="25900"/>
    <cfRule type="duplicateValues" dxfId="23299" priority="25901"/>
    <cfRule type="duplicateValues" dxfId="23298" priority="25902"/>
    <cfRule type="duplicateValues" dxfId="23297" priority="25903"/>
    <cfRule type="duplicateValues" dxfId="23296" priority="25904"/>
    <cfRule type="duplicateValues" dxfId="23295" priority="25905"/>
    <cfRule type="duplicateValues" dxfId="23294" priority="25906"/>
    <cfRule type="duplicateValues" dxfId="23293" priority="25907"/>
    <cfRule type="duplicateValues" dxfId="23292" priority="25908"/>
    <cfRule type="duplicateValues" dxfId="23291" priority="25909"/>
    <cfRule type="duplicateValues" dxfId="23290" priority="25910"/>
    <cfRule type="duplicateValues" dxfId="23289" priority="25911"/>
    <cfRule type="duplicateValues" dxfId="23288" priority="25912"/>
    <cfRule type="duplicateValues" dxfId="23287" priority="25913"/>
    <cfRule type="duplicateValues" dxfId="23286" priority="25914"/>
    <cfRule type="duplicateValues" dxfId="23285" priority="25915"/>
    <cfRule type="duplicateValues" dxfId="23284" priority="25916"/>
    <cfRule type="duplicateValues" dxfId="23283" priority="25917"/>
    <cfRule type="duplicateValues" dxfId="23282" priority="25918"/>
    <cfRule type="duplicateValues" dxfId="23281" priority="25919"/>
    <cfRule type="duplicateValues" dxfId="23280" priority="25920"/>
    <cfRule type="duplicateValues" dxfId="23279" priority="25921"/>
    <cfRule type="duplicateValues" dxfId="23278" priority="25922"/>
    <cfRule type="duplicateValues" dxfId="23277" priority="25923"/>
    <cfRule type="duplicateValues" dxfId="23276" priority="25924"/>
    <cfRule type="duplicateValues" dxfId="23275" priority="25925"/>
    <cfRule type="duplicateValues" dxfId="23274" priority="25926"/>
    <cfRule type="duplicateValues" dxfId="23273" priority="25927"/>
    <cfRule type="duplicateValues" dxfId="23272" priority="25928"/>
    <cfRule type="duplicateValues" dxfId="23271" priority="25929"/>
    <cfRule type="duplicateValues" dxfId="23270" priority="25930"/>
    <cfRule type="duplicateValues" dxfId="23269" priority="25931"/>
    <cfRule type="duplicateValues" dxfId="23268" priority="25932"/>
    <cfRule type="duplicateValues" dxfId="23267" priority="25933"/>
    <cfRule type="duplicateValues" dxfId="23266" priority="25934"/>
    <cfRule type="duplicateValues" dxfId="23265" priority="25935"/>
    <cfRule type="duplicateValues" dxfId="23264" priority="25936"/>
    <cfRule type="duplicateValues" dxfId="23263" priority="25937"/>
    <cfRule type="duplicateValues" dxfId="23262" priority="25938"/>
    <cfRule type="duplicateValues" dxfId="23261" priority="25939"/>
    <cfRule type="duplicateValues" dxfId="23260" priority="25940"/>
    <cfRule type="duplicateValues" dxfId="23259" priority="25941"/>
    <cfRule type="duplicateValues" dxfId="23258" priority="25942"/>
    <cfRule type="duplicateValues" dxfId="23257" priority="25943"/>
    <cfRule type="duplicateValues" dxfId="23256" priority="25944"/>
    <cfRule type="duplicateValues" dxfId="23255" priority="25945"/>
    <cfRule type="duplicateValues" dxfId="23254" priority="25946"/>
    <cfRule type="duplicateValues" dxfId="23253" priority="25947"/>
    <cfRule type="duplicateValues" dxfId="23252" priority="25948"/>
    <cfRule type="duplicateValues" dxfId="23251" priority="25949"/>
    <cfRule type="duplicateValues" dxfId="23250" priority="25950"/>
    <cfRule type="duplicateValues" dxfId="23249" priority="25951"/>
    <cfRule type="duplicateValues" dxfId="23248" priority="25952"/>
    <cfRule type="duplicateValues" dxfId="23247" priority="25953"/>
    <cfRule type="duplicateValues" dxfId="23246" priority="25954"/>
    <cfRule type="duplicateValues" dxfId="23245" priority="25955"/>
    <cfRule type="duplicateValues" dxfId="23244" priority="25956"/>
    <cfRule type="duplicateValues" dxfId="23243" priority="25957"/>
    <cfRule type="duplicateValues" dxfId="23242" priority="25958"/>
    <cfRule type="duplicateValues" dxfId="23241" priority="25959"/>
    <cfRule type="duplicateValues" dxfId="23240" priority="25960"/>
    <cfRule type="duplicateValues" dxfId="23239" priority="25961"/>
    <cfRule type="duplicateValues" dxfId="23238" priority="25962"/>
    <cfRule type="duplicateValues" dxfId="23237" priority="25963"/>
    <cfRule type="duplicateValues" dxfId="23236" priority="25964"/>
    <cfRule type="duplicateValues" dxfId="23235" priority="25965"/>
    <cfRule type="duplicateValues" dxfId="23234" priority="25966"/>
    <cfRule type="duplicateValues" dxfId="23233" priority="25967"/>
    <cfRule type="duplicateValues" dxfId="23232" priority="25968"/>
    <cfRule type="duplicateValues" dxfId="23231" priority="25969"/>
    <cfRule type="duplicateValues" dxfId="23230" priority="25970"/>
    <cfRule type="duplicateValues" dxfId="23229" priority="25971"/>
    <cfRule type="duplicateValues" dxfId="23228" priority="25972"/>
    <cfRule type="duplicateValues" dxfId="23227" priority="25973"/>
    <cfRule type="duplicateValues" dxfId="23226" priority="25974"/>
    <cfRule type="duplicateValues" dxfId="23225" priority="25975"/>
    <cfRule type="duplicateValues" dxfId="23224" priority="25976"/>
    <cfRule type="duplicateValues" dxfId="23223" priority="25977"/>
    <cfRule type="duplicateValues" dxfId="23222" priority="25978"/>
    <cfRule type="duplicateValues" dxfId="23221" priority="25979"/>
    <cfRule type="duplicateValues" dxfId="23220" priority="25980"/>
    <cfRule type="duplicateValues" dxfId="23219" priority="25981"/>
    <cfRule type="duplicateValues" dxfId="23218" priority="25982"/>
    <cfRule type="duplicateValues" dxfId="23217" priority="25983"/>
    <cfRule type="duplicateValues" dxfId="23216" priority="25984"/>
    <cfRule type="duplicateValues" dxfId="23215" priority="25985"/>
    <cfRule type="duplicateValues" dxfId="23214" priority="25986"/>
    <cfRule type="duplicateValues" dxfId="23213" priority="25987"/>
    <cfRule type="duplicateValues" dxfId="23212" priority="25988"/>
    <cfRule type="duplicateValues" dxfId="23211" priority="25989"/>
    <cfRule type="duplicateValues" dxfId="23210" priority="25990"/>
    <cfRule type="duplicateValues" dxfId="23209" priority="25991"/>
    <cfRule type="duplicateValues" dxfId="23208" priority="25992"/>
    <cfRule type="duplicateValues" dxfId="23207" priority="25993"/>
    <cfRule type="duplicateValues" dxfId="23206" priority="25994"/>
    <cfRule type="duplicateValues" dxfId="23205" priority="25995"/>
    <cfRule type="duplicateValues" dxfId="23204" priority="25996"/>
    <cfRule type="duplicateValues" dxfId="23203" priority="25997"/>
    <cfRule type="duplicateValues" dxfId="23202" priority="25998"/>
    <cfRule type="duplicateValues" dxfId="23201" priority="25999"/>
    <cfRule type="duplicateValues" dxfId="23200" priority="26000"/>
    <cfRule type="duplicateValues" dxfId="23199" priority="26001"/>
    <cfRule type="duplicateValues" dxfId="23198" priority="26002"/>
    <cfRule type="duplicateValues" dxfId="23197" priority="26003"/>
    <cfRule type="duplicateValues" dxfId="23196" priority="26004"/>
    <cfRule type="duplicateValues" dxfId="23195" priority="26005"/>
    <cfRule type="duplicateValues" dxfId="23194" priority="26006"/>
    <cfRule type="duplicateValues" dxfId="23193" priority="26007"/>
    <cfRule type="duplicateValues" dxfId="23192" priority="26008"/>
    <cfRule type="duplicateValues" dxfId="23191" priority="26009"/>
    <cfRule type="duplicateValues" dxfId="23190" priority="26010"/>
    <cfRule type="duplicateValues" dxfId="23189" priority="26011"/>
    <cfRule type="duplicateValues" dxfId="23188" priority="26012"/>
    <cfRule type="duplicateValues" dxfId="23187" priority="26013"/>
    <cfRule type="duplicateValues" dxfId="23186" priority="26014"/>
    <cfRule type="duplicateValues" dxfId="23185" priority="26015"/>
    <cfRule type="duplicateValues" dxfId="23184" priority="26016"/>
    <cfRule type="duplicateValues" dxfId="23183" priority="26017"/>
    <cfRule type="duplicateValues" dxfId="23182" priority="26018"/>
    <cfRule type="duplicateValues" dxfId="23181" priority="26019"/>
    <cfRule type="duplicateValues" dxfId="23180" priority="26020"/>
    <cfRule type="duplicateValues" dxfId="23179" priority="26021"/>
    <cfRule type="duplicateValues" dxfId="23178" priority="26022"/>
    <cfRule type="duplicateValues" dxfId="23177" priority="26023"/>
    <cfRule type="duplicateValues" dxfId="23176" priority="26024"/>
    <cfRule type="duplicateValues" dxfId="23175" priority="26025"/>
    <cfRule type="duplicateValues" dxfId="23174" priority="26026"/>
    <cfRule type="duplicateValues" dxfId="23173" priority="26027"/>
    <cfRule type="duplicateValues" dxfId="23172" priority="26028"/>
    <cfRule type="duplicateValues" dxfId="23171" priority="26029"/>
    <cfRule type="duplicateValues" dxfId="23170" priority="26030"/>
    <cfRule type="duplicateValues" dxfId="23169" priority="26031"/>
    <cfRule type="duplicateValues" dxfId="23168" priority="26032"/>
    <cfRule type="duplicateValues" dxfId="23167" priority="26033"/>
    <cfRule type="duplicateValues" dxfId="23166" priority="26034"/>
    <cfRule type="duplicateValues" dxfId="23165" priority="26035"/>
    <cfRule type="duplicateValues" dxfId="23164" priority="26036"/>
    <cfRule type="duplicateValues" dxfId="23163" priority="26037"/>
    <cfRule type="duplicateValues" dxfId="23162" priority="26038"/>
    <cfRule type="duplicateValues" dxfId="23161" priority="26039"/>
    <cfRule type="duplicateValues" dxfId="23160" priority="26040"/>
    <cfRule type="duplicateValues" dxfId="23159" priority="26041"/>
    <cfRule type="duplicateValues" dxfId="23158" priority="26042"/>
    <cfRule type="duplicateValues" dxfId="23157" priority="26043"/>
    <cfRule type="duplicateValues" dxfId="23156" priority="26044"/>
    <cfRule type="duplicateValues" dxfId="23155" priority="26045"/>
    <cfRule type="duplicateValues" dxfId="23154" priority="26046"/>
    <cfRule type="duplicateValues" dxfId="23153" priority="26047"/>
    <cfRule type="duplicateValues" dxfId="23152" priority="26048"/>
    <cfRule type="duplicateValues" dxfId="23151" priority="26049"/>
    <cfRule type="duplicateValues" dxfId="23150" priority="26050"/>
    <cfRule type="duplicateValues" dxfId="23149" priority="26051"/>
    <cfRule type="duplicateValues" dxfId="23148" priority="26052"/>
    <cfRule type="duplicateValues" dxfId="23147" priority="26053"/>
    <cfRule type="duplicateValues" dxfId="23146" priority="26054"/>
    <cfRule type="duplicateValues" dxfId="23145" priority="26055"/>
    <cfRule type="duplicateValues" dxfId="23144" priority="26056"/>
    <cfRule type="duplicateValues" dxfId="23143" priority="26057"/>
    <cfRule type="duplicateValues" dxfId="23142" priority="26058"/>
    <cfRule type="duplicateValues" dxfId="23141" priority="26059"/>
    <cfRule type="duplicateValues" dxfId="23140" priority="26060"/>
    <cfRule type="duplicateValues" dxfId="23139" priority="26061"/>
    <cfRule type="duplicateValues" dxfId="23138" priority="26062"/>
    <cfRule type="duplicateValues" dxfId="23137" priority="26063"/>
    <cfRule type="duplicateValues" dxfId="23136" priority="26064"/>
    <cfRule type="duplicateValues" dxfId="23135" priority="26065"/>
    <cfRule type="duplicateValues" dxfId="23134" priority="26066"/>
    <cfRule type="duplicateValues" dxfId="23133" priority="26067"/>
    <cfRule type="duplicateValues" dxfId="23132" priority="26068"/>
    <cfRule type="duplicateValues" dxfId="23131" priority="26069"/>
    <cfRule type="duplicateValues" dxfId="23130" priority="26070"/>
    <cfRule type="duplicateValues" dxfId="23129" priority="26071"/>
    <cfRule type="duplicateValues" dxfId="23128" priority="26072"/>
    <cfRule type="duplicateValues" dxfId="23127" priority="26073"/>
    <cfRule type="duplicateValues" dxfId="23126" priority="26074"/>
    <cfRule type="duplicateValues" dxfId="23125" priority="26075"/>
    <cfRule type="duplicateValues" dxfId="23124" priority="26076"/>
    <cfRule type="duplicateValues" dxfId="23123" priority="26077"/>
    <cfRule type="duplicateValues" dxfId="23122" priority="26078"/>
    <cfRule type="duplicateValues" dxfId="23121" priority="26079"/>
    <cfRule type="duplicateValues" dxfId="23120" priority="26080"/>
    <cfRule type="duplicateValues" dxfId="23119" priority="26081"/>
    <cfRule type="duplicateValues" dxfId="23118" priority="26082"/>
    <cfRule type="duplicateValues" dxfId="23117" priority="26083"/>
    <cfRule type="duplicateValues" dxfId="23116" priority="26084"/>
    <cfRule type="duplicateValues" dxfId="23115" priority="26085"/>
    <cfRule type="duplicateValues" dxfId="23114" priority="26086"/>
    <cfRule type="duplicateValues" dxfId="23113" priority="26087"/>
    <cfRule type="duplicateValues" dxfId="23112" priority="26088"/>
    <cfRule type="duplicateValues" dxfId="23111" priority="26089"/>
    <cfRule type="duplicateValues" dxfId="23110" priority="26090"/>
    <cfRule type="duplicateValues" dxfId="23109" priority="26091"/>
    <cfRule type="duplicateValues" dxfId="23108" priority="26092"/>
    <cfRule type="duplicateValues" dxfId="23107" priority="26093"/>
    <cfRule type="duplicateValues" dxfId="23106" priority="26094"/>
    <cfRule type="duplicateValues" dxfId="23105" priority="26095"/>
    <cfRule type="duplicateValues" dxfId="23104" priority="26096"/>
    <cfRule type="duplicateValues" dxfId="23103" priority="26097"/>
    <cfRule type="duplicateValues" dxfId="23102" priority="26098"/>
    <cfRule type="duplicateValues" dxfId="23101" priority="26099"/>
    <cfRule type="duplicateValues" dxfId="23100" priority="26100"/>
    <cfRule type="duplicateValues" dxfId="23099" priority="26101"/>
    <cfRule type="duplicateValues" dxfId="23098" priority="26102"/>
    <cfRule type="duplicateValues" dxfId="23097" priority="26103"/>
    <cfRule type="duplicateValues" dxfId="23096" priority="26104"/>
  </conditionalFormatting>
  <conditionalFormatting sqref="C213">
    <cfRule type="duplicateValues" dxfId="23095" priority="25415"/>
    <cfRule type="duplicateValues" dxfId="23094" priority="25416"/>
    <cfRule type="duplicateValues" dxfId="23093" priority="25417"/>
    <cfRule type="duplicateValues" dxfId="23092" priority="25418"/>
    <cfRule type="duplicateValues" dxfId="23091" priority="25419"/>
    <cfRule type="duplicateValues" dxfId="23090" priority="25420"/>
    <cfRule type="duplicateValues" dxfId="23089" priority="25421"/>
    <cfRule type="duplicateValues" dxfId="23088" priority="25422"/>
    <cfRule type="duplicateValues" dxfId="23087" priority="25423"/>
    <cfRule type="duplicateValues" dxfId="23086" priority="25424"/>
    <cfRule type="duplicateValues" dxfId="23085" priority="25425"/>
    <cfRule type="duplicateValues" dxfId="23084" priority="25426"/>
    <cfRule type="duplicateValues" dxfId="23083" priority="25427"/>
    <cfRule type="duplicateValues" dxfId="23082" priority="25428"/>
    <cfRule type="duplicateValues" dxfId="23081" priority="25429"/>
    <cfRule type="duplicateValues" dxfId="23080" priority="25430"/>
    <cfRule type="duplicateValues" dxfId="23079" priority="25431"/>
    <cfRule type="duplicateValues" dxfId="23078" priority="25432"/>
    <cfRule type="duplicateValues" dxfId="23077" priority="25433"/>
    <cfRule type="duplicateValues" dxfId="23076" priority="25434"/>
    <cfRule type="duplicateValues" dxfId="23075" priority="25435"/>
    <cfRule type="duplicateValues" dxfId="23074" priority="25436"/>
    <cfRule type="duplicateValues" dxfId="23073" priority="25437"/>
    <cfRule type="duplicateValues" dxfId="23072" priority="25438"/>
    <cfRule type="duplicateValues" dxfId="23071" priority="25439"/>
    <cfRule type="duplicateValues" dxfId="23070" priority="25440"/>
    <cfRule type="duplicateValues" dxfId="23069" priority="25441"/>
    <cfRule type="duplicateValues" dxfId="23068" priority="25442"/>
    <cfRule type="duplicateValues" dxfId="23067" priority="25443"/>
    <cfRule type="duplicateValues" dxfId="23066" priority="25444"/>
    <cfRule type="duplicateValues" dxfId="23065" priority="25445"/>
    <cfRule type="duplicateValues" dxfId="23064" priority="25446"/>
    <cfRule type="duplicateValues" dxfId="23063" priority="25447"/>
    <cfRule type="duplicateValues" dxfId="23062" priority="25448"/>
    <cfRule type="duplicateValues" dxfId="23061" priority="25449"/>
    <cfRule type="duplicateValues" dxfId="23060" priority="25450"/>
    <cfRule type="duplicateValues" dxfId="23059" priority="25451"/>
    <cfRule type="duplicateValues" dxfId="23058" priority="25452"/>
    <cfRule type="duplicateValues" dxfId="23057" priority="25453"/>
    <cfRule type="duplicateValues" dxfId="23056" priority="25454"/>
    <cfRule type="duplicateValues" dxfId="23055" priority="25455"/>
    <cfRule type="duplicateValues" dxfId="23054" priority="25456"/>
    <cfRule type="duplicateValues" dxfId="23053" priority="25457"/>
    <cfRule type="duplicateValues" dxfId="23052" priority="25458"/>
    <cfRule type="duplicateValues" dxfId="23051" priority="25459"/>
    <cfRule type="duplicateValues" dxfId="23050" priority="25460"/>
    <cfRule type="duplicateValues" dxfId="23049" priority="25461"/>
    <cfRule type="duplicateValues" dxfId="23048" priority="25462"/>
    <cfRule type="duplicateValues" dxfId="23047" priority="25463"/>
    <cfRule type="duplicateValues" dxfId="23046" priority="25464"/>
    <cfRule type="duplicateValues" dxfId="23045" priority="25465"/>
    <cfRule type="duplicateValues" dxfId="23044" priority="25466"/>
    <cfRule type="duplicateValues" dxfId="23043" priority="25467"/>
    <cfRule type="duplicateValues" dxfId="23042" priority="25468"/>
    <cfRule type="duplicateValues" dxfId="23041" priority="25469"/>
    <cfRule type="duplicateValues" dxfId="23040" priority="25470"/>
    <cfRule type="duplicateValues" dxfId="23039" priority="25471"/>
    <cfRule type="duplicateValues" dxfId="23038" priority="25472"/>
    <cfRule type="duplicateValues" dxfId="23037" priority="25473"/>
    <cfRule type="duplicateValues" dxfId="23036" priority="25474"/>
    <cfRule type="duplicateValues" dxfId="23035" priority="25475"/>
    <cfRule type="duplicateValues" dxfId="23034" priority="25476"/>
    <cfRule type="duplicateValues" dxfId="23033" priority="25477"/>
    <cfRule type="duplicateValues" dxfId="23032" priority="25478"/>
    <cfRule type="duplicateValues" dxfId="23031" priority="25479"/>
    <cfRule type="duplicateValues" dxfId="23030" priority="25480"/>
    <cfRule type="duplicateValues" dxfId="23029" priority="25481"/>
    <cfRule type="duplicateValues" dxfId="23028" priority="25482"/>
    <cfRule type="duplicateValues" dxfId="23027" priority="25483"/>
    <cfRule type="duplicateValues" dxfId="23026" priority="25484"/>
    <cfRule type="duplicateValues" dxfId="23025" priority="25485"/>
    <cfRule type="duplicateValues" dxfId="23024" priority="25486"/>
    <cfRule type="duplicateValues" dxfId="23023" priority="25487"/>
    <cfRule type="duplicateValues" dxfId="23022" priority="25488"/>
    <cfRule type="duplicateValues" dxfId="23021" priority="25489"/>
    <cfRule type="duplicateValues" dxfId="23020" priority="25490"/>
    <cfRule type="duplicateValues" dxfId="23019" priority="25491"/>
    <cfRule type="duplicateValues" dxfId="23018" priority="25492"/>
    <cfRule type="duplicateValues" dxfId="23017" priority="25493"/>
    <cfRule type="duplicateValues" dxfId="23016" priority="25494"/>
    <cfRule type="duplicateValues" dxfId="23015" priority="25495"/>
    <cfRule type="duplicateValues" dxfId="23014" priority="25496"/>
    <cfRule type="duplicateValues" dxfId="23013" priority="25497"/>
    <cfRule type="duplicateValues" dxfId="23012" priority="25498"/>
    <cfRule type="duplicateValues" dxfId="23011" priority="25499"/>
    <cfRule type="duplicateValues" dxfId="23010" priority="25500"/>
    <cfRule type="duplicateValues" dxfId="23009" priority="25501"/>
    <cfRule type="duplicateValues" dxfId="23008" priority="25502"/>
    <cfRule type="duplicateValues" dxfId="23007" priority="25503"/>
    <cfRule type="duplicateValues" dxfId="23006" priority="25504"/>
    <cfRule type="duplicateValues" dxfId="23005" priority="25505"/>
    <cfRule type="duplicateValues" dxfId="23004" priority="25506"/>
    <cfRule type="duplicateValues" dxfId="23003" priority="25507"/>
    <cfRule type="duplicateValues" dxfId="23002" priority="25508"/>
    <cfRule type="duplicateValues" dxfId="23001" priority="25509"/>
    <cfRule type="duplicateValues" dxfId="23000" priority="25510"/>
    <cfRule type="duplicateValues" dxfId="22999" priority="25511"/>
    <cfRule type="duplicateValues" dxfId="22998" priority="25512"/>
    <cfRule type="duplicateValues" dxfId="22997" priority="25513"/>
    <cfRule type="duplicateValues" dxfId="22996" priority="25514"/>
    <cfRule type="duplicateValues" dxfId="22995" priority="25515"/>
    <cfRule type="duplicateValues" dxfId="22994" priority="25516"/>
    <cfRule type="duplicateValues" dxfId="22993" priority="25517"/>
    <cfRule type="duplicateValues" dxfId="22992" priority="25518"/>
    <cfRule type="duplicateValues" dxfId="22991" priority="25519"/>
    <cfRule type="duplicateValues" dxfId="22990" priority="25520"/>
    <cfRule type="duplicateValues" dxfId="22989" priority="25521"/>
    <cfRule type="duplicateValues" dxfId="22988" priority="25522"/>
    <cfRule type="duplicateValues" dxfId="22987" priority="25523"/>
    <cfRule type="duplicateValues" dxfId="22986" priority="25524"/>
    <cfRule type="duplicateValues" dxfId="22985" priority="25525"/>
    <cfRule type="duplicateValues" dxfId="22984" priority="25526"/>
    <cfRule type="duplicateValues" dxfId="22983" priority="25527"/>
    <cfRule type="duplicateValues" dxfId="22982" priority="25528"/>
    <cfRule type="duplicateValues" dxfId="22981" priority="25529"/>
    <cfRule type="duplicateValues" dxfId="22980" priority="25530"/>
    <cfRule type="duplicateValues" dxfId="22979" priority="25531"/>
    <cfRule type="duplicateValues" dxfId="22978" priority="25532"/>
    <cfRule type="duplicateValues" dxfId="22977" priority="25533"/>
    <cfRule type="duplicateValues" dxfId="22976" priority="25534"/>
    <cfRule type="duplicateValues" dxfId="22975" priority="25535"/>
    <cfRule type="duplicateValues" dxfId="22974" priority="25536"/>
    <cfRule type="duplicateValues" dxfId="22973" priority="25537"/>
    <cfRule type="duplicateValues" dxfId="22972" priority="25538"/>
    <cfRule type="duplicateValues" dxfId="22971" priority="25539"/>
    <cfRule type="duplicateValues" dxfId="22970" priority="25540"/>
    <cfRule type="duplicateValues" dxfId="22969" priority="25541"/>
    <cfRule type="duplicateValues" dxfId="22968" priority="25542"/>
    <cfRule type="duplicateValues" dxfId="22967" priority="25543"/>
    <cfRule type="duplicateValues" dxfId="22966" priority="25544"/>
    <cfRule type="duplicateValues" dxfId="22965" priority="25545"/>
    <cfRule type="duplicateValues" dxfId="22964" priority="25546"/>
    <cfRule type="duplicateValues" dxfId="22963" priority="25547"/>
    <cfRule type="duplicateValues" dxfId="22962" priority="25548"/>
    <cfRule type="duplicateValues" dxfId="22961" priority="25549"/>
    <cfRule type="duplicateValues" dxfId="22960" priority="25550"/>
    <cfRule type="duplicateValues" dxfId="22959" priority="25551"/>
    <cfRule type="duplicateValues" dxfId="22958" priority="25552"/>
    <cfRule type="duplicateValues" dxfId="22957" priority="25553"/>
    <cfRule type="duplicateValues" dxfId="22956" priority="25554"/>
    <cfRule type="duplicateValues" dxfId="22955" priority="25555"/>
    <cfRule type="duplicateValues" dxfId="22954" priority="25556"/>
    <cfRule type="duplicateValues" dxfId="22953" priority="25557"/>
    <cfRule type="duplicateValues" dxfId="22952" priority="25558"/>
    <cfRule type="duplicateValues" dxfId="22951" priority="25559"/>
    <cfRule type="duplicateValues" dxfId="22950" priority="25560"/>
    <cfRule type="duplicateValues" dxfId="22949" priority="25561"/>
    <cfRule type="duplicateValues" dxfId="22948" priority="25562"/>
    <cfRule type="duplicateValues" dxfId="22947" priority="25563"/>
    <cfRule type="duplicateValues" dxfId="22946" priority="25564"/>
    <cfRule type="duplicateValues" dxfId="22945" priority="25565"/>
    <cfRule type="duplicateValues" dxfId="22944" priority="25566"/>
    <cfRule type="duplicateValues" dxfId="22943" priority="25567"/>
    <cfRule type="duplicateValues" dxfId="22942" priority="25568"/>
    <cfRule type="duplicateValues" dxfId="22941" priority="25569"/>
    <cfRule type="duplicateValues" dxfId="22940" priority="25570"/>
    <cfRule type="duplicateValues" dxfId="22939" priority="25571"/>
    <cfRule type="duplicateValues" dxfId="22938" priority="25572"/>
    <cfRule type="duplicateValues" dxfId="22937" priority="25573"/>
    <cfRule type="duplicateValues" dxfId="22936" priority="25574"/>
    <cfRule type="duplicateValues" dxfId="22935" priority="25575"/>
    <cfRule type="duplicateValues" dxfId="22934" priority="25576"/>
    <cfRule type="duplicateValues" dxfId="22933" priority="25577"/>
    <cfRule type="duplicateValues" dxfId="22932" priority="25578"/>
    <cfRule type="duplicateValues" dxfId="22931" priority="25579"/>
    <cfRule type="duplicateValues" dxfId="22930" priority="25580"/>
    <cfRule type="duplicateValues" dxfId="22929" priority="25581"/>
    <cfRule type="duplicateValues" dxfId="22928" priority="25582"/>
    <cfRule type="duplicateValues" dxfId="22927" priority="25583"/>
    <cfRule type="duplicateValues" dxfId="22926" priority="25584"/>
    <cfRule type="duplicateValues" dxfId="22925" priority="25585"/>
    <cfRule type="duplicateValues" dxfId="22924" priority="25586"/>
    <cfRule type="duplicateValues" dxfId="22923" priority="25587"/>
    <cfRule type="duplicateValues" dxfId="22922" priority="25588"/>
    <cfRule type="duplicateValues" dxfId="22921" priority="25589"/>
    <cfRule type="duplicateValues" dxfId="22920" priority="25590"/>
    <cfRule type="duplicateValues" dxfId="22919" priority="25591"/>
    <cfRule type="duplicateValues" dxfId="22918" priority="25592"/>
    <cfRule type="duplicateValues" dxfId="22917" priority="25593"/>
    <cfRule type="duplicateValues" dxfId="22916" priority="25594"/>
    <cfRule type="duplicateValues" dxfId="22915" priority="25595"/>
    <cfRule type="duplicateValues" dxfId="22914" priority="25596"/>
    <cfRule type="duplicateValues" dxfId="22913" priority="25597"/>
    <cfRule type="duplicateValues" dxfId="22912" priority="25598"/>
    <cfRule type="duplicateValues" dxfId="22911" priority="25599"/>
    <cfRule type="duplicateValues" dxfId="22910" priority="25600"/>
    <cfRule type="duplicateValues" dxfId="22909" priority="25601"/>
    <cfRule type="duplicateValues" dxfId="22908" priority="25602"/>
    <cfRule type="duplicateValues" dxfId="22907" priority="25603"/>
    <cfRule type="duplicateValues" dxfId="22906" priority="25604"/>
    <cfRule type="duplicateValues" dxfId="22905" priority="25605"/>
    <cfRule type="duplicateValues" dxfId="22904" priority="25606"/>
    <cfRule type="duplicateValues" dxfId="22903" priority="25607"/>
    <cfRule type="duplicateValues" dxfId="22902" priority="25608"/>
    <cfRule type="duplicateValues" dxfId="22901" priority="25609"/>
    <cfRule type="duplicateValues" dxfId="22900" priority="25610"/>
    <cfRule type="duplicateValues" dxfId="22899" priority="25611"/>
    <cfRule type="duplicateValues" dxfId="22898" priority="25612"/>
    <cfRule type="duplicateValues" dxfId="22897" priority="25613"/>
    <cfRule type="duplicateValues" dxfId="22896" priority="25614"/>
    <cfRule type="duplicateValues" dxfId="22895" priority="25615"/>
    <cfRule type="duplicateValues" dxfId="22894" priority="25616"/>
    <cfRule type="duplicateValues" dxfId="22893" priority="25617"/>
    <cfRule type="duplicateValues" dxfId="22892" priority="25618"/>
    <cfRule type="duplicateValues" dxfId="22891" priority="25619"/>
    <cfRule type="duplicateValues" dxfId="22890" priority="25620"/>
    <cfRule type="duplicateValues" dxfId="22889" priority="25621"/>
    <cfRule type="duplicateValues" dxfId="22888" priority="25622"/>
    <cfRule type="duplicateValues" dxfId="22887" priority="25623"/>
    <cfRule type="duplicateValues" dxfId="22886" priority="25624"/>
    <cfRule type="duplicateValues" dxfId="22885" priority="25625"/>
    <cfRule type="duplicateValues" dxfId="22884" priority="25626"/>
    <cfRule type="duplicateValues" dxfId="22883" priority="25627"/>
    <cfRule type="duplicateValues" dxfId="22882" priority="25628"/>
    <cfRule type="duplicateValues" dxfId="22881" priority="25629"/>
    <cfRule type="duplicateValues" dxfId="22880" priority="25630"/>
    <cfRule type="duplicateValues" dxfId="22879" priority="25631"/>
    <cfRule type="duplicateValues" dxfId="22878" priority="25632"/>
    <cfRule type="duplicateValues" dxfId="22877" priority="25633"/>
    <cfRule type="duplicateValues" dxfId="22876" priority="25634"/>
    <cfRule type="duplicateValues" dxfId="22875" priority="25635"/>
    <cfRule type="duplicateValues" dxfId="22874" priority="25636"/>
    <cfRule type="duplicateValues" dxfId="22873" priority="25637"/>
    <cfRule type="duplicateValues" dxfId="22872" priority="25638"/>
    <cfRule type="duplicateValues" dxfId="22871" priority="25639"/>
    <cfRule type="duplicateValues" dxfId="22870" priority="25640"/>
    <cfRule type="duplicateValues" dxfId="22869" priority="25641"/>
    <cfRule type="duplicateValues" dxfId="22868" priority="25642"/>
    <cfRule type="duplicateValues" dxfId="22867" priority="25643"/>
    <cfRule type="duplicateValues" dxfId="22866" priority="25644"/>
    <cfRule type="duplicateValues" dxfId="22865" priority="25645"/>
    <cfRule type="duplicateValues" dxfId="22864" priority="25646"/>
    <cfRule type="duplicateValues" dxfId="22863" priority="25647"/>
    <cfRule type="duplicateValues" dxfId="22862" priority="25648"/>
    <cfRule type="duplicateValues" dxfId="22861" priority="25649"/>
    <cfRule type="duplicateValues" dxfId="22860" priority="25650"/>
    <cfRule type="duplicateValues" dxfId="22859" priority="25651"/>
    <cfRule type="duplicateValues" dxfId="22858" priority="25652"/>
    <cfRule type="duplicateValues" dxfId="22857" priority="25653"/>
    <cfRule type="duplicateValues" dxfId="22856" priority="25654"/>
    <cfRule type="duplicateValues" dxfId="22855" priority="25655"/>
    <cfRule type="duplicateValues" dxfId="22854" priority="25656"/>
    <cfRule type="duplicateValues" dxfId="22853" priority="25657"/>
    <cfRule type="duplicateValues" dxfId="22852" priority="25658"/>
    <cfRule type="duplicateValues" dxfId="22851" priority="25659"/>
    <cfRule type="duplicateValues" dxfId="22850" priority="25660"/>
    <cfRule type="duplicateValues" dxfId="22849" priority="25661"/>
    <cfRule type="duplicateValues" dxfId="22848" priority="25662"/>
    <cfRule type="duplicateValues" dxfId="22847" priority="25663"/>
    <cfRule type="duplicateValues" dxfId="22846" priority="25664"/>
    <cfRule type="duplicateValues" dxfId="22845" priority="25665"/>
    <cfRule type="duplicateValues" dxfId="22844" priority="25666"/>
    <cfRule type="duplicateValues" dxfId="22843" priority="25667"/>
    <cfRule type="duplicateValues" dxfId="22842" priority="25668"/>
    <cfRule type="duplicateValues" dxfId="22841" priority="25669"/>
    <cfRule type="duplicateValues" dxfId="22840" priority="25670"/>
    <cfRule type="duplicateValues" dxfId="22839" priority="25671"/>
    <cfRule type="duplicateValues" dxfId="22838" priority="25672"/>
    <cfRule type="duplicateValues" dxfId="22837" priority="25673"/>
    <cfRule type="duplicateValues" dxfId="22836" priority="25674"/>
    <cfRule type="duplicateValues" dxfId="22835" priority="25675"/>
    <cfRule type="duplicateValues" dxfId="22834" priority="25676"/>
    <cfRule type="duplicateValues" dxfId="22833" priority="25677"/>
    <cfRule type="duplicateValues" dxfId="22832" priority="25678"/>
    <cfRule type="duplicateValues" dxfId="22831" priority="25679"/>
    <cfRule type="duplicateValues" dxfId="22830" priority="25680"/>
    <cfRule type="duplicateValues" dxfId="22829" priority="25681"/>
    <cfRule type="duplicateValues" dxfId="22828" priority="25682"/>
    <cfRule type="duplicateValues" dxfId="22827" priority="25683"/>
    <cfRule type="duplicateValues" dxfId="22826" priority="25684"/>
    <cfRule type="duplicateValues" dxfId="22825" priority="25685"/>
    <cfRule type="duplicateValues" dxfId="22824" priority="25686"/>
    <cfRule type="duplicateValues" dxfId="22823" priority="25687"/>
    <cfRule type="duplicateValues" dxfId="22822" priority="25688"/>
    <cfRule type="duplicateValues" dxfId="22821" priority="25689"/>
    <cfRule type="duplicateValues" dxfId="22820" priority="25690"/>
    <cfRule type="duplicateValues" dxfId="22819" priority="25691"/>
    <cfRule type="duplicateValues" dxfId="22818" priority="25692"/>
    <cfRule type="duplicateValues" dxfId="22817" priority="25693"/>
    <cfRule type="duplicateValues" dxfId="22816" priority="25694"/>
    <cfRule type="duplicateValues" dxfId="22815" priority="25695"/>
    <cfRule type="duplicateValues" dxfId="22814" priority="25696"/>
    <cfRule type="duplicateValues" dxfId="22813" priority="25697"/>
    <cfRule type="duplicateValues" dxfId="22812" priority="25698"/>
    <cfRule type="duplicateValues" dxfId="22811" priority="25699"/>
    <cfRule type="duplicateValues" dxfId="22810" priority="25700"/>
    <cfRule type="duplicateValues" dxfId="22809" priority="25701"/>
    <cfRule type="duplicateValues" dxfId="22808" priority="25702"/>
    <cfRule type="duplicateValues" dxfId="22807" priority="25703"/>
    <cfRule type="duplicateValues" dxfId="22806" priority="25704"/>
    <cfRule type="duplicateValues" dxfId="22805" priority="25705"/>
    <cfRule type="duplicateValues" dxfId="22804" priority="25706"/>
    <cfRule type="duplicateValues" dxfId="22803" priority="25707"/>
    <cfRule type="duplicateValues" dxfId="22802" priority="25708"/>
    <cfRule type="duplicateValues" dxfId="22801" priority="25709"/>
    <cfRule type="duplicateValues" dxfId="22800" priority="25710"/>
    <cfRule type="duplicateValues" dxfId="22799" priority="25711"/>
    <cfRule type="duplicateValues" dxfId="22798" priority="25712"/>
    <cfRule type="duplicateValues" dxfId="22797" priority="25713"/>
    <cfRule type="duplicateValues" dxfId="22796" priority="25714"/>
    <cfRule type="duplicateValues" dxfId="22795" priority="25715"/>
    <cfRule type="duplicateValues" dxfId="22794" priority="25716"/>
    <cfRule type="duplicateValues" dxfId="22793" priority="25717"/>
    <cfRule type="duplicateValues" dxfId="22792" priority="25718"/>
    <cfRule type="duplicateValues" dxfId="22791" priority="25719"/>
    <cfRule type="duplicateValues" dxfId="22790" priority="25720"/>
    <cfRule type="duplicateValues" dxfId="22789" priority="25721"/>
    <cfRule type="duplicateValues" dxfId="22788" priority="25722"/>
    <cfRule type="duplicateValues" dxfId="22787" priority="25723"/>
    <cfRule type="duplicateValues" dxfId="22786" priority="25724"/>
    <cfRule type="duplicateValues" dxfId="22785" priority="25725"/>
    <cfRule type="duplicateValues" dxfId="22784" priority="25726"/>
    <cfRule type="duplicateValues" dxfId="22783" priority="25727"/>
    <cfRule type="duplicateValues" dxfId="22782" priority="25728"/>
    <cfRule type="duplicateValues" dxfId="22781" priority="25729"/>
    <cfRule type="duplicateValues" dxfId="22780" priority="25730"/>
    <cfRule type="duplicateValues" dxfId="22779" priority="25731"/>
    <cfRule type="duplicateValues" dxfId="22778" priority="25732"/>
    <cfRule type="duplicateValues" dxfId="22777" priority="25733"/>
    <cfRule type="duplicateValues" dxfId="22776" priority="25734"/>
    <cfRule type="duplicateValues" dxfId="22775" priority="25735"/>
    <cfRule type="duplicateValues" dxfId="22774" priority="25736"/>
    <cfRule type="duplicateValues" dxfId="22773" priority="25737"/>
    <cfRule type="duplicateValues" dxfId="22772" priority="25738"/>
    <cfRule type="duplicateValues" dxfId="22771" priority="25739"/>
    <cfRule type="duplicateValues" dxfId="22770" priority="25740"/>
    <cfRule type="duplicateValues" dxfId="22769" priority="25741"/>
    <cfRule type="duplicateValues" dxfId="22768" priority="25742"/>
    <cfRule type="duplicateValues" dxfId="22767" priority="25743"/>
    <cfRule type="duplicateValues" dxfId="22766" priority="25744"/>
    <cfRule type="duplicateValues" dxfId="22765" priority="25745"/>
    <cfRule type="duplicateValues" dxfId="22764" priority="25746"/>
    <cfRule type="duplicateValues" dxfId="22763" priority="25747"/>
    <cfRule type="duplicateValues" dxfId="22762" priority="25748"/>
    <cfRule type="duplicateValues" dxfId="22761" priority="25749"/>
    <cfRule type="duplicateValues" dxfId="22760" priority="25750"/>
    <cfRule type="duplicateValues" dxfId="22759" priority="25751"/>
    <cfRule type="duplicateValues" dxfId="22758" priority="25752"/>
    <cfRule type="duplicateValues" dxfId="22757" priority="25753"/>
    <cfRule type="duplicateValues" dxfId="22756" priority="25754"/>
    <cfRule type="duplicateValues" dxfId="22755" priority="25755"/>
    <cfRule type="duplicateValues" dxfId="22754" priority="25756"/>
    <cfRule type="duplicateValues" dxfId="22753" priority="25757"/>
    <cfRule type="duplicateValues" dxfId="22752" priority="25758"/>
    <cfRule type="duplicateValues" dxfId="22751" priority="25759"/>
  </conditionalFormatting>
  <conditionalFormatting sqref="C214">
    <cfRule type="duplicateValues" dxfId="22750" priority="25070"/>
    <cfRule type="duplicateValues" dxfId="22749" priority="25071"/>
    <cfRule type="duplicateValues" dxfId="22748" priority="25072"/>
    <cfRule type="duplicateValues" dxfId="22747" priority="25073"/>
    <cfRule type="duplicateValues" dxfId="22746" priority="25074"/>
    <cfRule type="duplicateValues" dxfId="22745" priority="25075"/>
    <cfRule type="duplicateValues" dxfId="22744" priority="25076"/>
    <cfRule type="duplicateValues" dxfId="22743" priority="25077"/>
    <cfRule type="duplicateValues" dxfId="22742" priority="25078"/>
    <cfRule type="duplicateValues" dxfId="22741" priority="25079"/>
    <cfRule type="duplicateValues" dxfId="22740" priority="25080"/>
    <cfRule type="duplicateValues" dxfId="22739" priority="25081"/>
    <cfRule type="duplicateValues" dxfId="22738" priority="25082"/>
    <cfRule type="duplicateValues" dxfId="22737" priority="25083"/>
    <cfRule type="duplicateValues" dxfId="22736" priority="25084"/>
    <cfRule type="duplicateValues" dxfId="22735" priority="25085"/>
    <cfRule type="duplicateValues" dxfId="22734" priority="25086"/>
    <cfRule type="duplicateValues" dxfId="22733" priority="25087"/>
    <cfRule type="duplicateValues" dxfId="22732" priority="25088"/>
    <cfRule type="duplicateValues" dxfId="22731" priority="25089"/>
    <cfRule type="duplicateValues" dxfId="22730" priority="25090"/>
    <cfRule type="duplicateValues" dxfId="22729" priority="25091"/>
    <cfRule type="duplicateValues" dxfId="22728" priority="25092"/>
    <cfRule type="duplicateValues" dxfId="22727" priority="25093"/>
    <cfRule type="duplicateValues" dxfId="22726" priority="25094"/>
    <cfRule type="duplicateValues" dxfId="22725" priority="25095"/>
    <cfRule type="duplicateValues" dxfId="22724" priority="25096"/>
    <cfRule type="duplicateValues" dxfId="22723" priority="25097"/>
    <cfRule type="duplicateValues" dxfId="22722" priority="25098"/>
    <cfRule type="duplicateValues" dxfId="22721" priority="25099"/>
    <cfRule type="duplicateValues" dxfId="22720" priority="25100"/>
    <cfRule type="duplicateValues" dxfId="22719" priority="25101"/>
    <cfRule type="duplicateValues" dxfId="22718" priority="25102"/>
    <cfRule type="duplicateValues" dxfId="22717" priority="25103"/>
    <cfRule type="duplicateValues" dxfId="22716" priority="25104"/>
    <cfRule type="duplicateValues" dxfId="22715" priority="25105"/>
    <cfRule type="duplicateValues" dxfId="22714" priority="25106"/>
    <cfRule type="duplicateValues" dxfId="22713" priority="25107"/>
    <cfRule type="duplicateValues" dxfId="22712" priority="25108"/>
    <cfRule type="duplicateValues" dxfId="22711" priority="25109"/>
    <cfRule type="duplicateValues" dxfId="22710" priority="25110"/>
    <cfRule type="duplicateValues" dxfId="22709" priority="25111"/>
    <cfRule type="duplicateValues" dxfId="22708" priority="25112"/>
    <cfRule type="duplicateValues" dxfId="22707" priority="25113"/>
    <cfRule type="duplicateValues" dxfId="22706" priority="25114"/>
    <cfRule type="duplicateValues" dxfId="22705" priority="25115"/>
    <cfRule type="duplicateValues" dxfId="22704" priority="25116"/>
    <cfRule type="duplicateValues" dxfId="22703" priority="25117"/>
    <cfRule type="duplicateValues" dxfId="22702" priority="25118"/>
    <cfRule type="duplicateValues" dxfId="22701" priority="25119"/>
    <cfRule type="duplicateValues" dxfId="22700" priority="25120"/>
    <cfRule type="duplicateValues" dxfId="22699" priority="25121"/>
    <cfRule type="duplicateValues" dxfId="22698" priority="25122"/>
    <cfRule type="duplicateValues" dxfId="22697" priority="25123"/>
    <cfRule type="duplicateValues" dxfId="22696" priority="25124"/>
    <cfRule type="duplicateValues" dxfId="22695" priority="25125"/>
    <cfRule type="duplicateValues" dxfId="22694" priority="25126"/>
    <cfRule type="duplicateValues" dxfId="22693" priority="25127"/>
    <cfRule type="duplicateValues" dxfId="22692" priority="25128"/>
    <cfRule type="duplicateValues" dxfId="22691" priority="25129"/>
    <cfRule type="duplicateValues" dxfId="22690" priority="25130"/>
    <cfRule type="duplicateValues" dxfId="22689" priority="25131"/>
    <cfRule type="duplicateValues" dxfId="22688" priority="25132"/>
    <cfRule type="duplicateValues" dxfId="22687" priority="25133"/>
    <cfRule type="duplicateValues" dxfId="22686" priority="25134"/>
    <cfRule type="duplicateValues" dxfId="22685" priority="25135"/>
    <cfRule type="duplicateValues" dxfId="22684" priority="25136"/>
    <cfRule type="duplicateValues" dxfId="22683" priority="25137"/>
    <cfRule type="duplicateValues" dxfId="22682" priority="25138"/>
    <cfRule type="duplicateValues" dxfId="22681" priority="25139"/>
    <cfRule type="duplicateValues" dxfId="22680" priority="25140"/>
    <cfRule type="duplicateValues" dxfId="22679" priority="25141"/>
    <cfRule type="duplicateValues" dxfId="22678" priority="25142"/>
    <cfRule type="duplicateValues" dxfId="22677" priority="25143"/>
    <cfRule type="duplicateValues" dxfId="22676" priority="25144"/>
    <cfRule type="duplicateValues" dxfId="22675" priority="25145"/>
    <cfRule type="duplicateValues" dxfId="22674" priority="25146"/>
    <cfRule type="duplicateValues" dxfId="22673" priority="25147"/>
    <cfRule type="duplicateValues" dxfId="22672" priority="25148"/>
    <cfRule type="duplicateValues" dxfId="22671" priority="25149"/>
    <cfRule type="duplicateValues" dxfId="22670" priority="25150"/>
    <cfRule type="duplicateValues" dxfId="22669" priority="25151"/>
    <cfRule type="duplicateValues" dxfId="22668" priority="25152"/>
    <cfRule type="duplicateValues" dxfId="22667" priority="25153"/>
    <cfRule type="duplicateValues" dxfId="22666" priority="25154"/>
    <cfRule type="duplicateValues" dxfId="22665" priority="25155"/>
    <cfRule type="duplicateValues" dxfId="22664" priority="25156"/>
    <cfRule type="duplicateValues" dxfId="22663" priority="25157"/>
    <cfRule type="duplicateValues" dxfId="22662" priority="25158"/>
    <cfRule type="duplicateValues" dxfId="22661" priority="25159"/>
    <cfRule type="duplicateValues" dxfId="22660" priority="25160"/>
    <cfRule type="duplicateValues" dxfId="22659" priority="25161"/>
    <cfRule type="duplicateValues" dxfId="22658" priority="25162"/>
    <cfRule type="duplicateValues" dxfId="22657" priority="25163"/>
    <cfRule type="duplicateValues" dxfId="22656" priority="25164"/>
    <cfRule type="duplicateValues" dxfId="22655" priority="25165"/>
    <cfRule type="duplicateValues" dxfId="22654" priority="25166"/>
    <cfRule type="duplicateValues" dxfId="22653" priority="25167"/>
    <cfRule type="duplicateValues" dxfId="22652" priority="25168"/>
    <cfRule type="duplicateValues" dxfId="22651" priority="25169"/>
    <cfRule type="duplicateValues" dxfId="22650" priority="25170"/>
    <cfRule type="duplicateValues" dxfId="22649" priority="25171"/>
    <cfRule type="duplicateValues" dxfId="22648" priority="25172"/>
    <cfRule type="duplicateValues" dxfId="22647" priority="25173"/>
    <cfRule type="duplicateValues" dxfId="22646" priority="25174"/>
    <cfRule type="duplicateValues" dxfId="22645" priority="25175"/>
    <cfRule type="duplicateValues" dxfId="22644" priority="25176"/>
    <cfRule type="duplicateValues" dxfId="22643" priority="25177"/>
    <cfRule type="duplicateValues" dxfId="22642" priority="25178"/>
    <cfRule type="duplicateValues" dxfId="22641" priority="25179"/>
    <cfRule type="duplicateValues" dxfId="22640" priority="25180"/>
    <cfRule type="duplicateValues" dxfId="22639" priority="25181"/>
    <cfRule type="duplicateValues" dxfId="22638" priority="25182"/>
    <cfRule type="duplicateValues" dxfId="22637" priority="25183"/>
    <cfRule type="duplicateValues" dxfId="22636" priority="25184"/>
    <cfRule type="duplicateValues" dxfId="22635" priority="25185"/>
    <cfRule type="duplicateValues" dxfId="22634" priority="25186"/>
    <cfRule type="duplicateValues" dxfId="22633" priority="25187"/>
    <cfRule type="duplicateValues" dxfId="22632" priority="25188"/>
    <cfRule type="duplicateValues" dxfId="22631" priority="25189"/>
    <cfRule type="duplicateValues" dxfId="22630" priority="25190"/>
    <cfRule type="duplicateValues" dxfId="22629" priority="25191"/>
    <cfRule type="duplicateValues" dxfId="22628" priority="25192"/>
    <cfRule type="duplicateValues" dxfId="22627" priority="25193"/>
    <cfRule type="duplicateValues" dxfId="22626" priority="25194"/>
    <cfRule type="duplicateValues" dxfId="22625" priority="25195"/>
    <cfRule type="duplicateValues" dxfId="22624" priority="25196"/>
    <cfRule type="duplicateValues" dxfId="22623" priority="25197"/>
    <cfRule type="duplicateValues" dxfId="22622" priority="25198"/>
    <cfRule type="duplicateValues" dxfId="22621" priority="25199"/>
    <cfRule type="duplicateValues" dxfId="22620" priority="25200"/>
    <cfRule type="duplicateValues" dxfId="22619" priority="25201"/>
    <cfRule type="duplicateValues" dxfId="22618" priority="25202"/>
    <cfRule type="duplicateValues" dxfId="22617" priority="25203"/>
    <cfRule type="duplicateValues" dxfId="22616" priority="25204"/>
    <cfRule type="duplicateValues" dxfId="22615" priority="25205"/>
    <cfRule type="duplicateValues" dxfId="22614" priority="25206"/>
    <cfRule type="duplicateValues" dxfId="22613" priority="25207"/>
    <cfRule type="duplicateValues" dxfId="22612" priority="25208"/>
    <cfRule type="duplicateValues" dxfId="22611" priority="25209"/>
    <cfRule type="duplicateValues" dxfId="22610" priority="25210"/>
    <cfRule type="duplicateValues" dxfId="22609" priority="25211"/>
    <cfRule type="duplicateValues" dxfId="22608" priority="25212"/>
    <cfRule type="duplicateValues" dxfId="22607" priority="25213"/>
    <cfRule type="duplicateValues" dxfId="22606" priority="25214"/>
    <cfRule type="duplicateValues" dxfId="22605" priority="25215"/>
    <cfRule type="duplicateValues" dxfId="22604" priority="25216"/>
    <cfRule type="duplicateValues" dxfId="22603" priority="25217"/>
    <cfRule type="duplicateValues" dxfId="22602" priority="25218"/>
    <cfRule type="duplicateValues" dxfId="22601" priority="25219"/>
    <cfRule type="duplicateValues" dxfId="22600" priority="25220"/>
    <cfRule type="duplicateValues" dxfId="22599" priority="25221"/>
    <cfRule type="duplicateValues" dxfId="22598" priority="25222"/>
    <cfRule type="duplicateValues" dxfId="22597" priority="25223"/>
    <cfRule type="duplicateValues" dxfId="22596" priority="25224"/>
    <cfRule type="duplicateValues" dxfId="22595" priority="25225"/>
    <cfRule type="duplicateValues" dxfId="22594" priority="25226"/>
    <cfRule type="duplicateValues" dxfId="22593" priority="25227"/>
    <cfRule type="duplicateValues" dxfId="22592" priority="25228"/>
    <cfRule type="duplicateValues" dxfId="22591" priority="25229"/>
    <cfRule type="duplicateValues" dxfId="22590" priority="25230"/>
    <cfRule type="duplicateValues" dxfId="22589" priority="25231"/>
    <cfRule type="duplicateValues" dxfId="22588" priority="25232"/>
    <cfRule type="duplicateValues" dxfId="22587" priority="25233"/>
    <cfRule type="duplicateValues" dxfId="22586" priority="25234"/>
    <cfRule type="duplicateValues" dxfId="22585" priority="25235"/>
    <cfRule type="duplicateValues" dxfId="22584" priority="25236"/>
    <cfRule type="duplicateValues" dxfId="22583" priority="25237"/>
    <cfRule type="duplicateValues" dxfId="22582" priority="25238"/>
    <cfRule type="duplicateValues" dxfId="22581" priority="25239"/>
    <cfRule type="duplicateValues" dxfId="22580" priority="25240"/>
    <cfRule type="duplicateValues" dxfId="22579" priority="25241"/>
    <cfRule type="duplicateValues" dxfId="22578" priority="25242"/>
    <cfRule type="duplicateValues" dxfId="22577" priority="25243"/>
    <cfRule type="duplicateValues" dxfId="22576" priority="25244"/>
    <cfRule type="duplicateValues" dxfId="22575" priority="25245"/>
    <cfRule type="duplicateValues" dxfId="22574" priority="25246"/>
    <cfRule type="duplicateValues" dxfId="22573" priority="25247"/>
    <cfRule type="duplicateValues" dxfId="22572" priority="25248"/>
    <cfRule type="duplicateValues" dxfId="22571" priority="25249"/>
    <cfRule type="duplicateValues" dxfId="22570" priority="25250"/>
    <cfRule type="duplicateValues" dxfId="22569" priority="25251"/>
    <cfRule type="duplicateValues" dxfId="22568" priority="25252"/>
    <cfRule type="duplicateValues" dxfId="22567" priority="25253"/>
    <cfRule type="duplicateValues" dxfId="22566" priority="25254"/>
    <cfRule type="duplicateValues" dxfId="22565" priority="25255"/>
    <cfRule type="duplicateValues" dxfId="22564" priority="25256"/>
    <cfRule type="duplicateValues" dxfId="22563" priority="25257"/>
    <cfRule type="duplicateValues" dxfId="22562" priority="25258"/>
    <cfRule type="duplicateValues" dxfId="22561" priority="25259"/>
    <cfRule type="duplicateValues" dxfId="22560" priority="25260"/>
    <cfRule type="duplicateValues" dxfId="22559" priority="25261"/>
    <cfRule type="duplicateValues" dxfId="22558" priority="25262"/>
    <cfRule type="duplicateValues" dxfId="22557" priority="25263"/>
    <cfRule type="duplicateValues" dxfId="22556" priority="25264"/>
    <cfRule type="duplicateValues" dxfId="22555" priority="25265"/>
    <cfRule type="duplicateValues" dxfId="22554" priority="25266"/>
    <cfRule type="duplicateValues" dxfId="22553" priority="25267"/>
    <cfRule type="duplicateValues" dxfId="22552" priority="25268"/>
    <cfRule type="duplicateValues" dxfId="22551" priority="25269"/>
    <cfRule type="duplicateValues" dxfId="22550" priority="25270"/>
    <cfRule type="duplicateValues" dxfId="22549" priority="25271"/>
    <cfRule type="duplicateValues" dxfId="22548" priority="25272"/>
    <cfRule type="duplicateValues" dxfId="22547" priority="25273"/>
    <cfRule type="duplicateValues" dxfId="22546" priority="25274"/>
    <cfRule type="duplicateValues" dxfId="22545" priority="25275"/>
    <cfRule type="duplicateValues" dxfId="22544" priority="25276"/>
    <cfRule type="duplicateValues" dxfId="22543" priority="25277"/>
    <cfRule type="duplicateValues" dxfId="22542" priority="25278"/>
    <cfRule type="duplicateValues" dxfId="22541" priority="25279"/>
    <cfRule type="duplicateValues" dxfId="22540" priority="25280"/>
    <cfRule type="duplicateValues" dxfId="22539" priority="25281"/>
    <cfRule type="duplicateValues" dxfId="22538" priority="25282"/>
    <cfRule type="duplicateValues" dxfId="22537" priority="25283"/>
    <cfRule type="duplicateValues" dxfId="22536" priority="25284"/>
    <cfRule type="duplicateValues" dxfId="22535" priority="25285"/>
    <cfRule type="duplicateValues" dxfId="22534" priority="25286"/>
    <cfRule type="duplicateValues" dxfId="22533" priority="25287"/>
    <cfRule type="duplicateValues" dxfId="22532" priority="25288"/>
    <cfRule type="duplicateValues" dxfId="22531" priority="25289"/>
    <cfRule type="duplicateValues" dxfId="22530" priority="25290"/>
    <cfRule type="duplicateValues" dxfId="22529" priority="25291"/>
    <cfRule type="duplicateValues" dxfId="22528" priority="25292"/>
    <cfRule type="duplicateValues" dxfId="22527" priority="25293"/>
    <cfRule type="duplicateValues" dxfId="22526" priority="25294"/>
    <cfRule type="duplicateValues" dxfId="22525" priority="25295"/>
    <cfRule type="duplicateValues" dxfId="22524" priority="25296"/>
    <cfRule type="duplicateValues" dxfId="22523" priority="25297"/>
    <cfRule type="duplicateValues" dxfId="22522" priority="25298"/>
    <cfRule type="duplicateValues" dxfId="22521" priority="25299"/>
    <cfRule type="duplicateValues" dxfId="22520" priority="25300"/>
    <cfRule type="duplicateValues" dxfId="22519" priority="25301"/>
    <cfRule type="duplicateValues" dxfId="22518" priority="25302"/>
    <cfRule type="duplicateValues" dxfId="22517" priority="25303"/>
    <cfRule type="duplicateValues" dxfId="22516" priority="25304"/>
    <cfRule type="duplicateValues" dxfId="22515" priority="25305"/>
    <cfRule type="duplicateValues" dxfId="22514" priority="25306"/>
    <cfRule type="duplicateValues" dxfId="22513" priority="25307"/>
    <cfRule type="duplicateValues" dxfId="22512" priority="25308"/>
    <cfRule type="duplicateValues" dxfId="22511" priority="25309"/>
    <cfRule type="duplicateValues" dxfId="22510" priority="25310"/>
    <cfRule type="duplicateValues" dxfId="22509" priority="25311"/>
    <cfRule type="duplicateValues" dxfId="22508" priority="25312"/>
    <cfRule type="duplicateValues" dxfId="22507" priority="25313"/>
    <cfRule type="duplicateValues" dxfId="22506" priority="25314"/>
    <cfRule type="duplicateValues" dxfId="22505" priority="25315"/>
    <cfRule type="duplicateValues" dxfId="22504" priority="25316"/>
    <cfRule type="duplicateValues" dxfId="22503" priority="25317"/>
    <cfRule type="duplicateValues" dxfId="22502" priority="25318"/>
    <cfRule type="duplicateValues" dxfId="22501" priority="25319"/>
    <cfRule type="duplicateValues" dxfId="22500" priority="25320"/>
    <cfRule type="duplicateValues" dxfId="22499" priority="25321"/>
    <cfRule type="duplicateValues" dxfId="22498" priority="25322"/>
    <cfRule type="duplicateValues" dxfId="22497" priority="25323"/>
    <cfRule type="duplicateValues" dxfId="22496" priority="25324"/>
    <cfRule type="duplicateValues" dxfId="22495" priority="25325"/>
    <cfRule type="duplicateValues" dxfId="22494" priority="25326"/>
    <cfRule type="duplicateValues" dxfId="22493" priority="25327"/>
    <cfRule type="duplicateValues" dxfId="22492" priority="25328"/>
    <cfRule type="duplicateValues" dxfId="22491" priority="25329"/>
    <cfRule type="duplicateValues" dxfId="22490" priority="25330"/>
    <cfRule type="duplicateValues" dxfId="22489" priority="25331"/>
    <cfRule type="duplicateValues" dxfId="22488" priority="25332"/>
    <cfRule type="duplicateValues" dxfId="22487" priority="25333"/>
    <cfRule type="duplicateValues" dxfId="22486" priority="25334"/>
    <cfRule type="duplicateValues" dxfId="22485" priority="25335"/>
    <cfRule type="duplicateValues" dxfId="22484" priority="25336"/>
    <cfRule type="duplicateValues" dxfId="22483" priority="25337"/>
    <cfRule type="duplicateValues" dxfId="22482" priority="25338"/>
    <cfRule type="duplicateValues" dxfId="22481" priority="25339"/>
    <cfRule type="duplicateValues" dxfId="22480" priority="25340"/>
    <cfRule type="duplicateValues" dxfId="22479" priority="25341"/>
    <cfRule type="duplicateValues" dxfId="22478" priority="25342"/>
    <cfRule type="duplicateValues" dxfId="22477" priority="25343"/>
    <cfRule type="duplicateValues" dxfId="22476" priority="25344"/>
    <cfRule type="duplicateValues" dxfId="22475" priority="25345"/>
    <cfRule type="duplicateValues" dxfId="22474" priority="25346"/>
    <cfRule type="duplicateValues" dxfId="22473" priority="25347"/>
    <cfRule type="duplicateValues" dxfId="22472" priority="25348"/>
    <cfRule type="duplicateValues" dxfId="22471" priority="25349"/>
    <cfRule type="duplicateValues" dxfId="22470" priority="25350"/>
    <cfRule type="duplicateValues" dxfId="22469" priority="25351"/>
    <cfRule type="duplicateValues" dxfId="22468" priority="25352"/>
    <cfRule type="duplicateValues" dxfId="22467" priority="25353"/>
    <cfRule type="duplicateValues" dxfId="22466" priority="25354"/>
    <cfRule type="duplicateValues" dxfId="22465" priority="25355"/>
    <cfRule type="duplicateValues" dxfId="22464" priority="25356"/>
    <cfRule type="duplicateValues" dxfId="22463" priority="25357"/>
    <cfRule type="duplicateValues" dxfId="22462" priority="25358"/>
    <cfRule type="duplicateValues" dxfId="22461" priority="25359"/>
    <cfRule type="duplicateValues" dxfId="22460" priority="25360"/>
    <cfRule type="duplicateValues" dxfId="22459" priority="25361"/>
    <cfRule type="duplicateValues" dxfId="22458" priority="25362"/>
    <cfRule type="duplicateValues" dxfId="22457" priority="25363"/>
    <cfRule type="duplicateValues" dxfId="22456" priority="25364"/>
    <cfRule type="duplicateValues" dxfId="22455" priority="25365"/>
    <cfRule type="duplicateValues" dxfId="22454" priority="25366"/>
    <cfRule type="duplicateValues" dxfId="22453" priority="25367"/>
    <cfRule type="duplicateValues" dxfId="22452" priority="25368"/>
    <cfRule type="duplicateValues" dxfId="22451" priority="25369"/>
    <cfRule type="duplicateValues" dxfId="22450" priority="25370"/>
    <cfRule type="duplicateValues" dxfId="22449" priority="25371"/>
    <cfRule type="duplicateValues" dxfId="22448" priority="25372"/>
    <cfRule type="duplicateValues" dxfId="22447" priority="25373"/>
    <cfRule type="duplicateValues" dxfId="22446" priority="25374"/>
    <cfRule type="duplicateValues" dxfId="22445" priority="25375"/>
    <cfRule type="duplicateValues" dxfId="22444" priority="25376"/>
    <cfRule type="duplicateValues" dxfId="22443" priority="25377"/>
    <cfRule type="duplicateValues" dxfId="22442" priority="25378"/>
    <cfRule type="duplicateValues" dxfId="22441" priority="25379"/>
    <cfRule type="duplicateValues" dxfId="22440" priority="25380"/>
    <cfRule type="duplicateValues" dxfId="22439" priority="25381"/>
    <cfRule type="duplicateValues" dxfId="22438" priority="25382"/>
    <cfRule type="duplicateValues" dxfId="22437" priority="25383"/>
    <cfRule type="duplicateValues" dxfId="22436" priority="25384"/>
    <cfRule type="duplicateValues" dxfId="22435" priority="25385"/>
    <cfRule type="duplicateValues" dxfId="22434" priority="25386"/>
    <cfRule type="duplicateValues" dxfId="22433" priority="25387"/>
    <cfRule type="duplicateValues" dxfId="22432" priority="25388"/>
    <cfRule type="duplicateValues" dxfId="22431" priority="25389"/>
    <cfRule type="duplicateValues" dxfId="22430" priority="25390"/>
    <cfRule type="duplicateValues" dxfId="22429" priority="25391"/>
    <cfRule type="duplicateValues" dxfId="22428" priority="25392"/>
    <cfRule type="duplicateValues" dxfId="22427" priority="25393"/>
    <cfRule type="duplicateValues" dxfId="22426" priority="25394"/>
    <cfRule type="duplicateValues" dxfId="22425" priority="25395"/>
    <cfRule type="duplicateValues" dxfId="22424" priority="25396"/>
    <cfRule type="duplicateValues" dxfId="22423" priority="25397"/>
    <cfRule type="duplicateValues" dxfId="22422" priority="25398"/>
    <cfRule type="duplicateValues" dxfId="22421" priority="25399"/>
    <cfRule type="duplicateValues" dxfId="22420" priority="25400"/>
    <cfRule type="duplicateValues" dxfId="22419" priority="25401"/>
    <cfRule type="duplicateValues" dxfId="22418" priority="25402"/>
    <cfRule type="duplicateValues" dxfId="22417" priority="25403"/>
    <cfRule type="duplicateValues" dxfId="22416" priority="25404"/>
    <cfRule type="duplicateValues" dxfId="22415" priority="25405"/>
    <cfRule type="duplicateValues" dxfId="22414" priority="25406"/>
    <cfRule type="duplicateValues" dxfId="22413" priority="25407"/>
    <cfRule type="duplicateValues" dxfId="22412" priority="25408"/>
    <cfRule type="duplicateValues" dxfId="22411" priority="25409"/>
    <cfRule type="duplicateValues" dxfId="22410" priority="25410"/>
    <cfRule type="duplicateValues" dxfId="22409" priority="25411"/>
    <cfRule type="duplicateValues" dxfId="22408" priority="25412"/>
    <cfRule type="duplicateValues" dxfId="22407" priority="25413"/>
    <cfRule type="duplicateValues" dxfId="22406" priority="25414"/>
  </conditionalFormatting>
  <conditionalFormatting sqref="C215">
    <cfRule type="duplicateValues" dxfId="22405" priority="24725"/>
    <cfRule type="duplicateValues" dxfId="22404" priority="24726"/>
    <cfRule type="duplicateValues" dxfId="22403" priority="24727"/>
    <cfRule type="duplicateValues" dxfId="22402" priority="24728"/>
    <cfRule type="duplicateValues" dxfId="22401" priority="24729"/>
    <cfRule type="duplicateValues" dxfId="22400" priority="24730"/>
    <cfRule type="duplicateValues" dxfId="22399" priority="24731"/>
    <cfRule type="duplicateValues" dxfId="22398" priority="24732"/>
    <cfRule type="duplicateValues" dxfId="22397" priority="24733"/>
    <cfRule type="duplicateValues" dxfId="22396" priority="24734"/>
    <cfRule type="duplicateValues" dxfId="22395" priority="24735"/>
    <cfRule type="duplicateValues" dxfId="22394" priority="24736"/>
    <cfRule type="duplicateValues" dxfId="22393" priority="24737"/>
    <cfRule type="duplicateValues" dxfId="22392" priority="24738"/>
    <cfRule type="duplicateValues" dxfId="22391" priority="24739"/>
    <cfRule type="duplicateValues" dxfId="22390" priority="24740"/>
    <cfRule type="duplicateValues" dxfId="22389" priority="24741"/>
    <cfRule type="duplicateValues" dxfId="22388" priority="24742"/>
    <cfRule type="duplicateValues" dxfId="22387" priority="24743"/>
    <cfRule type="duplicateValues" dxfId="22386" priority="24744"/>
    <cfRule type="duplicateValues" dxfId="22385" priority="24745"/>
    <cfRule type="duplicateValues" dxfId="22384" priority="24746"/>
    <cfRule type="duplicateValues" dxfId="22383" priority="24747"/>
    <cfRule type="duplicateValues" dxfId="22382" priority="24748"/>
    <cfRule type="duplicateValues" dxfId="22381" priority="24749"/>
    <cfRule type="duplicateValues" dxfId="22380" priority="24750"/>
    <cfRule type="duplicateValues" dxfId="22379" priority="24751"/>
    <cfRule type="duplicateValues" dxfId="22378" priority="24752"/>
    <cfRule type="duplicateValues" dxfId="22377" priority="24753"/>
    <cfRule type="duplicateValues" dxfId="22376" priority="24754"/>
    <cfRule type="duplicateValues" dxfId="22375" priority="24755"/>
    <cfRule type="duplicateValues" dxfId="22374" priority="24756"/>
    <cfRule type="duplicateValues" dxfId="22373" priority="24757"/>
    <cfRule type="duplicateValues" dxfId="22372" priority="24758"/>
    <cfRule type="duplicateValues" dxfId="22371" priority="24759"/>
    <cfRule type="duplicateValues" dxfId="22370" priority="24760"/>
    <cfRule type="duplicateValues" dxfId="22369" priority="24761"/>
    <cfRule type="duplicateValues" dxfId="22368" priority="24762"/>
    <cfRule type="duplicateValues" dxfId="22367" priority="24763"/>
    <cfRule type="duplicateValues" dxfId="22366" priority="24764"/>
    <cfRule type="duplicateValues" dxfId="22365" priority="24765"/>
    <cfRule type="duplicateValues" dxfId="22364" priority="24766"/>
    <cfRule type="duplicateValues" dxfId="22363" priority="24767"/>
    <cfRule type="duplicateValues" dxfId="22362" priority="24768"/>
    <cfRule type="duplicateValues" dxfId="22361" priority="24769"/>
    <cfRule type="duplicateValues" dxfId="22360" priority="24770"/>
    <cfRule type="duplicateValues" dxfId="22359" priority="24771"/>
    <cfRule type="duplicateValues" dxfId="22358" priority="24772"/>
    <cfRule type="duplicateValues" dxfId="22357" priority="24773"/>
    <cfRule type="duplicateValues" dxfId="22356" priority="24774"/>
    <cfRule type="duplicateValues" dxfId="22355" priority="24775"/>
    <cfRule type="duplicateValues" dxfId="22354" priority="24776"/>
    <cfRule type="duplicateValues" dxfId="22353" priority="24777"/>
    <cfRule type="duplicateValues" dxfId="22352" priority="24778"/>
    <cfRule type="duplicateValues" dxfId="22351" priority="24779"/>
    <cfRule type="duplicateValues" dxfId="22350" priority="24780"/>
    <cfRule type="duplicateValues" dxfId="22349" priority="24781"/>
    <cfRule type="duplicateValues" dxfId="22348" priority="24782"/>
    <cfRule type="duplicateValues" dxfId="22347" priority="24783"/>
    <cfRule type="duplicateValues" dxfId="22346" priority="24784"/>
    <cfRule type="duplicateValues" dxfId="22345" priority="24785"/>
    <cfRule type="duplicateValues" dxfId="22344" priority="24786"/>
    <cfRule type="duplicateValues" dxfId="22343" priority="24787"/>
    <cfRule type="duplicateValues" dxfId="22342" priority="24788"/>
    <cfRule type="duplicateValues" dxfId="22341" priority="24789"/>
    <cfRule type="duplicateValues" dxfId="22340" priority="24790"/>
    <cfRule type="duplicateValues" dxfId="22339" priority="24791"/>
    <cfRule type="duplicateValues" dxfId="22338" priority="24792"/>
    <cfRule type="duplicateValues" dxfId="22337" priority="24793"/>
    <cfRule type="duplicateValues" dxfId="22336" priority="24794"/>
    <cfRule type="duplicateValues" dxfId="22335" priority="24795"/>
    <cfRule type="duplicateValues" dxfId="22334" priority="24796"/>
    <cfRule type="duplicateValues" dxfId="22333" priority="24797"/>
    <cfRule type="duplicateValues" dxfId="22332" priority="24798"/>
    <cfRule type="duplicateValues" dxfId="22331" priority="24799"/>
    <cfRule type="duplicateValues" dxfId="22330" priority="24800"/>
    <cfRule type="duplicateValues" dxfId="22329" priority="24801"/>
    <cfRule type="duplicateValues" dxfId="22328" priority="24802"/>
    <cfRule type="duplicateValues" dxfId="22327" priority="24803"/>
    <cfRule type="duplicateValues" dxfId="22326" priority="24804"/>
    <cfRule type="duplicateValues" dxfId="22325" priority="24805"/>
    <cfRule type="duplicateValues" dxfId="22324" priority="24806"/>
    <cfRule type="duplicateValues" dxfId="22323" priority="24807"/>
    <cfRule type="duplicateValues" dxfId="22322" priority="24808"/>
    <cfRule type="duplicateValues" dxfId="22321" priority="24809"/>
    <cfRule type="duplicateValues" dxfId="22320" priority="24810"/>
    <cfRule type="duplicateValues" dxfId="22319" priority="24811"/>
    <cfRule type="duplicateValues" dxfId="22318" priority="24812"/>
    <cfRule type="duplicateValues" dxfId="22317" priority="24813"/>
    <cfRule type="duplicateValues" dxfId="22316" priority="24814"/>
    <cfRule type="duplicateValues" dxfId="22315" priority="24815"/>
    <cfRule type="duplicateValues" dxfId="22314" priority="24816"/>
    <cfRule type="duplicateValues" dxfId="22313" priority="24817"/>
    <cfRule type="duplicateValues" dxfId="22312" priority="24818"/>
    <cfRule type="duplicateValues" dxfId="22311" priority="24819"/>
    <cfRule type="duplicateValues" dxfId="22310" priority="24820"/>
    <cfRule type="duplicateValues" dxfId="22309" priority="24821"/>
    <cfRule type="duplicateValues" dxfId="22308" priority="24822"/>
    <cfRule type="duplicateValues" dxfId="22307" priority="24823"/>
    <cfRule type="duplicateValues" dxfId="22306" priority="24824"/>
    <cfRule type="duplicateValues" dxfId="22305" priority="24825"/>
    <cfRule type="duplicateValues" dxfId="22304" priority="24826"/>
    <cfRule type="duplicateValues" dxfId="22303" priority="24827"/>
    <cfRule type="duplicateValues" dxfId="22302" priority="24828"/>
    <cfRule type="duplicateValues" dxfId="22301" priority="24829"/>
    <cfRule type="duplicateValues" dxfId="22300" priority="24830"/>
    <cfRule type="duplicateValues" dxfId="22299" priority="24831"/>
    <cfRule type="duplicateValues" dxfId="22298" priority="24832"/>
    <cfRule type="duplicateValues" dxfId="22297" priority="24833"/>
    <cfRule type="duplicateValues" dxfId="22296" priority="24834"/>
    <cfRule type="duplicateValues" dxfId="22295" priority="24835"/>
    <cfRule type="duplicateValues" dxfId="22294" priority="24836"/>
    <cfRule type="duplicateValues" dxfId="22293" priority="24837"/>
    <cfRule type="duplicateValues" dxfId="22292" priority="24838"/>
    <cfRule type="duplicateValues" dxfId="22291" priority="24839"/>
    <cfRule type="duplicateValues" dxfId="22290" priority="24840"/>
    <cfRule type="duplicateValues" dxfId="22289" priority="24841"/>
    <cfRule type="duplicateValues" dxfId="22288" priority="24842"/>
    <cfRule type="duplicateValues" dxfId="22287" priority="24843"/>
    <cfRule type="duplicateValues" dxfId="22286" priority="24844"/>
    <cfRule type="duplicateValues" dxfId="22285" priority="24845"/>
    <cfRule type="duplicateValues" dxfId="22284" priority="24846"/>
    <cfRule type="duplicateValues" dxfId="22283" priority="24847"/>
    <cfRule type="duplicateValues" dxfId="22282" priority="24848"/>
    <cfRule type="duplicateValues" dxfId="22281" priority="24849"/>
    <cfRule type="duplicateValues" dxfId="22280" priority="24850"/>
    <cfRule type="duplicateValues" dxfId="22279" priority="24851"/>
    <cfRule type="duplicateValues" dxfId="22278" priority="24852"/>
    <cfRule type="duplicateValues" dxfId="22277" priority="24853"/>
    <cfRule type="duplicateValues" dxfId="22276" priority="24854"/>
    <cfRule type="duplicateValues" dxfId="22275" priority="24855"/>
    <cfRule type="duplicateValues" dxfId="22274" priority="24856"/>
    <cfRule type="duplicateValues" dxfId="22273" priority="24857"/>
    <cfRule type="duplicateValues" dxfId="22272" priority="24858"/>
    <cfRule type="duplicateValues" dxfId="22271" priority="24859"/>
    <cfRule type="duplicateValues" dxfId="22270" priority="24860"/>
    <cfRule type="duplicateValues" dxfId="22269" priority="24861"/>
    <cfRule type="duplicateValues" dxfId="22268" priority="24862"/>
    <cfRule type="duplicateValues" dxfId="22267" priority="24863"/>
    <cfRule type="duplicateValues" dxfId="22266" priority="24864"/>
    <cfRule type="duplicateValues" dxfId="22265" priority="24865"/>
    <cfRule type="duplicateValues" dxfId="22264" priority="24866"/>
    <cfRule type="duplicateValues" dxfId="22263" priority="24867"/>
    <cfRule type="duplicateValues" dxfId="22262" priority="24868"/>
    <cfRule type="duplicateValues" dxfId="22261" priority="24869"/>
    <cfRule type="duplicateValues" dxfId="22260" priority="24870"/>
    <cfRule type="duplicateValues" dxfId="22259" priority="24871"/>
    <cfRule type="duplicateValues" dxfId="22258" priority="24872"/>
    <cfRule type="duplicateValues" dxfId="22257" priority="24873"/>
    <cfRule type="duplicateValues" dxfId="22256" priority="24874"/>
    <cfRule type="duplicateValues" dxfId="22255" priority="24875"/>
    <cfRule type="duplicateValues" dxfId="22254" priority="24876"/>
    <cfRule type="duplicateValues" dxfId="22253" priority="24877"/>
    <cfRule type="duplicateValues" dxfId="22252" priority="24878"/>
    <cfRule type="duplicateValues" dxfId="22251" priority="24879"/>
    <cfRule type="duplicateValues" dxfId="22250" priority="24880"/>
    <cfRule type="duplicateValues" dxfId="22249" priority="24881"/>
    <cfRule type="duplicateValues" dxfId="22248" priority="24882"/>
    <cfRule type="duplicateValues" dxfId="22247" priority="24883"/>
    <cfRule type="duplicateValues" dxfId="22246" priority="24884"/>
    <cfRule type="duplicateValues" dxfId="22245" priority="24885"/>
    <cfRule type="duplicateValues" dxfId="22244" priority="24886"/>
    <cfRule type="duplicateValues" dxfId="22243" priority="24887"/>
    <cfRule type="duplicateValues" dxfId="22242" priority="24888"/>
    <cfRule type="duplicateValues" dxfId="22241" priority="24889"/>
    <cfRule type="duplicateValues" dxfId="22240" priority="24890"/>
    <cfRule type="duplicateValues" dxfId="22239" priority="24891"/>
    <cfRule type="duplicateValues" dxfId="22238" priority="24892"/>
    <cfRule type="duplicateValues" dxfId="22237" priority="24893"/>
    <cfRule type="duplicateValues" dxfId="22236" priority="24894"/>
    <cfRule type="duplicateValues" dxfId="22235" priority="24895"/>
    <cfRule type="duplicateValues" dxfId="22234" priority="24896"/>
    <cfRule type="duplicateValues" dxfId="22233" priority="24897"/>
    <cfRule type="duplicateValues" dxfId="22232" priority="24898"/>
    <cfRule type="duplicateValues" dxfId="22231" priority="24899"/>
    <cfRule type="duplicateValues" dxfId="22230" priority="24900"/>
    <cfRule type="duplicateValues" dxfId="22229" priority="24901"/>
    <cfRule type="duplicateValues" dxfId="22228" priority="24902"/>
    <cfRule type="duplicateValues" dxfId="22227" priority="24903"/>
    <cfRule type="duplicateValues" dxfId="22226" priority="24904"/>
    <cfRule type="duplicateValues" dxfId="22225" priority="24905"/>
    <cfRule type="duplicateValues" dxfId="22224" priority="24906"/>
    <cfRule type="duplicateValues" dxfId="22223" priority="24907"/>
    <cfRule type="duplicateValues" dxfId="22222" priority="24908"/>
    <cfRule type="duplicateValues" dxfId="22221" priority="24909"/>
    <cfRule type="duplicateValues" dxfId="22220" priority="24910"/>
    <cfRule type="duplicateValues" dxfId="22219" priority="24911"/>
    <cfRule type="duplicateValues" dxfId="22218" priority="24912"/>
    <cfRule type="duplicateValues" dxfId="22217" priority="24913"/>
    <cfRule type="duplicateValues" dxfId="22216" priority="24914"/>
    <cfRule type="duplicateValues" dxfId="22215" priority="24915"/>
    <cfRule type="duplicateValues" dxfId="22214" priority="24916"/>
    <cfRule type="duplicateValues" dxfId="22213" priority="24917"/>
    <cfRule type="duplicateValues" dxfId="22212" priority="24918"/>
    <cfRule type="duplicateValues" dxfId="22211" priority="24919"/>
    <cfRule type="duplicateValues" dxfId="22210" priority="24920"/>
    <cfRule type="duplicateValues" dxfId="22209" priority="24921"/>
    <cfRule type="duplicateValues" dxfId="22208" priority="24922"/>
    <cfRule type="duplicateValues" dxfId="22207" priority="24923"/>
    <cfRule type="duplicateValues" dxfId="22206" priority="24924"/>
    <cfRule type="duplicateValues" dxfId="22205" priority="24925"/>
    <cfRule type="duplicateValues" dxfId="22204" priority="24926"/>
    <cfRule type="duplicateValues" dxfId="22203" priority="24927"/>
    <cfRule type="duplicateValues" dxfId="22202" priority="24928"/>
    <cfRule type="duplicateValues" dxfId="22201" priority="24929"/>
    <cfRule type="duplicateValues" dxfId="22200" priority="24930"/>
    <cfRule type="duplicateValues" dxfId="22199" priority="24931"/>
    <cfRule type="duplicateValues" dxfId="22198" priority="24932"/>
    <cfRule type="duplicateValues" dxfId="22197" priority="24933"/>
    <cfRule type="duplicateValues" dxfId="22196" priority="24934"/>
    <cfRule type="duplicateValues" dxfId="22195" priority="24935"/>
    <cfRule type="duplicateValues" dxfId="22194" priority="24936"/>
    <cfRule type="duplicateValues" dxfId="22193" priority="24937"/>
    <cfRule type="duplicateValues" dxfId="22192" priority="24938"/>
    <cfRule type="duplicateValues" dxfId="22191" priority="24939"/>
    <cfRule type="duplicateValues" dxfId="22190" priority="24940"/>
    <cfRule type="duplicateValues" dxfId="22189" priority="24941"/>
    <cfRule type="duplicateValues" dxfId="22188" priority="24942"/>
    <cfRule type="duplicateValues" dxfId="22187" priority="24943"/>
    <cfRule type="duplicateValues" dxfId="22186" priority="24944"/>
    <cfRule type="duplicateValues" dxfId="22185" priority="24945"/>
    <cfRule type="duplicateValues" dxfId="22184" priority="24946"/>
    <cfRule type="duplicateValues" dxfId="22183" priority="24947"/>
    <cfRule type="duplicateValues" dxfId="22182" priority="24948"/>
    <cfRule type="duplicateValues" dxfId="22181" priority="24949"/>
    <cfRule type="duplicateValues" dxfId="22180" priority="24950"/>
    <cfRule type="duplicateValues" dxfId="22179" priority="24951"/>
    <cfRule type="duplicateValues" dxfId="22178" priority="24952"/>
    <cfRule type="duplicateValues" dxfId="22177" priority="24953"/>
    <cfRule type="duplicateValues" dxfId="22176" priority="24954"/>
    <cfRule type="duplicateValues" dxfId="22175" priority="24955"/>
    <cfRule type="duplicateValues" dxfId="22174" priority="24956"/>
    <cfRule type="duplicateValues" dxfId="22173" priority="24957"/>
    <cfRule type="duplicateValues" dxfId="22172" priority="24958"/>
    <cfRule type="duplicateValues" dxfId="22171" priority="24959"/>
    <cfRule type="duplicateValues" dxfId="22170" priority="24960"/>
    <cfRule type="duplicateValues" dxfId="22169" priority="24961"/>
    <cfRule type="duplicateValues" dxfId="22168" priority="24962"/>
    <cfRule type="duplicateValues" dxfId="22167" priority="24963"/>
    <cfRule type="duplicateValues" dxfId="22166" priority="24964"/>
    <cfRule type="duplicateValues" dxfId="22165" priority="24965"/>
    <cfRule type="duplicateValues" dxfId="22164" priority="24966"/>
    <cfRule type="duplicateValues" dxfId="22163" priority="24967"/>
    <cfRule type="duplicateValues" dxfId="22162" priority="24968"/>
    <cfRule type="duplicateValues" dxfId="22161" priority="24969"/>
    <cfRule type="duplicateValues" dxfId="22160" priority="24970"/>
    <cfRule type="duplicateValues" dxfId="22159" priority="24971"/>
    <cfRule type="duplicateValues" dxfId="22158" priority="24972"/>
    <cfRule type="duplicateValues" dxfId="22157" priority="24973"/>
    <cfRule type="duplicateValues" dxfId="22156" priority="24974"/>
    <cfRule type="duplicateValues" dxfId="22155" priority="24975"/>
    <cfRule type="duplicateValues" dxfId="22154" priority="24976"/>
    <cfRule type="duplicateValues" dxfId="22153" priority="24977"/>
    <cfRule type="duplicateValues" dxfId="22152" priority="24978"/>
    <cfRule type="duplicateValues" dxfId="22151" priority="24979"/>
    <cfRule type="duplicateValues" dxfId="22150" priority="24980"/>
    <cfRule type="duplicateValues" dxfId="22149" priority="24981"/>
    <cfRule type="duplicateValues" dxfId="22148" priority="24982"/>
    <cfRule type="duplicateValues" dxfId="22147" priority="24983"/>
    <cfRule type="duplicateValues" dxfId="22146" priority="24984"/>
    <cfRule type="duplicateValues" dxfId="22145" priority="24985"/>
    <cfRule type="duplicateValues" dxfId="22144" priority="24986"/>
    <cfRule type="duplicateValues" dxfId="22143" priority="24987"/>
    <cfRule type="duplicateValues" dxfId="22142" priority="24988"/>
    <cfRule type="duplicateValues" dxfId="22141" priority="24989"/>
    <cfRule type="duplicateValues" dxfId="22140" priority="24990"/>
    <cfRule type="duplicateValues" dxfId="22139" priority="24991"/>
    <cfRule type="duplicateValues" dxfId="22138" priority="24992"/>
    <cfRule type="duplicateValues" dxfId="22137" priority="24993"/>
    <cfRule type="duplicateValues" dxfId="22136" priority="24994"/>
    <cfRule type="duplicateValues" dxfId="22135" priority="24995"/>
    <cfRule type="duplicateValues" dxfId="22134" priority="24996"/>
    <cfRule type="duplicateValues" dxfId="22133" priority="24997"/>
    <cfRule type="duplicateValues" dxfId="22132" priority="24998"/>
    <cfRule type="duplicateValues" dxfId="22131" priority="24999"/>
    <cfRule type="duplicateValues" dxfId="22130" priority="25000"/>
    <cfRule type="duplicateValues" dxfId="22129" priority="25001"/>
    <cfRule type="duplicateValues" dxfId="22128" priority="25002"/>
    <cfRule type="duplicateValues" dxfId="22127" priority="25003"/>
    <cfRule type="duplicateValues" dxfId="22126" priority="25004"/>
    <cfRule type="duplicateValues" dxfId="22125" priority="25005"/>
    <cfRule type="duplicateValues" dxfId="22124" priority="25006"/>
    <cfRule type="duplicateValues" dxfId="22123" priority="25007"/>
    <cfRule type="duplicateValues" dxfId="22122" priority="25008"/>
    <cfRule type="duplicateValues" dxfId="22121" priority="25009"/>
    <cfRule type="duplicateValues" dxfId="22120" priority="25010"/>
    <cfRule type="duplicateValues" dxfId="22119" priority="25011"/>
    <cfRule type="duplicateValues" dxfId="22118" priority="25012"/>
    <cfRule type="duplicateValues" dxfId="22117" priority="25013"/>
    <cfRule type="duplicateValues" dxfId="22116" priority="25014"/>
    <cfRule type="duplicateValues" dxfId="22115" priority="25015"/>
    <cfRule type="duplicateValues" dxfId="22114" priority="25016"/>
    <cfRule type="duplicateValues" dxfId="22113" priority="25017"/>
    <cfRule type="duplicateValues" dxfId="22112" priority="25018"/>
    <cfRule type="duplicateValues" dxfId="22111" priority="25019"/>
    <cfRule type="duplicateValues" dxfId="22110" priority="25020"/>
    <cfRule type="duplicateValues" dxfId="22109" priority="25021"/>
    <cfRule type="duplicateValues" dxfId="22108" priority="25022"/>
    <cfRule type="duplicateValues" dxfId="22107" priority="25023"/>
    <cfRule type="duplicateValues" dxfId="22106" priority="25024"/>
    <cfRule type="duplicateValues" dxfId="22105" priority="25025"/>
    <cfRule type="duplicateValues" dxfId="22104" priority="25026"/>
    <cfRule type="duplicateValues" dxfId="22103" priority="25027"/>
    <cfRule type="duplicateValues" dxfId="22102" priority="25028"/>
    <cfRule type="duplicateValues" dxfId="22101" priority="25029"/>
    <cfRule type="duplicateValues" dxfId="22100" priority="25030"/>
    <cfRule type="duplicateValues" dxfId="22099" priority="25031"/>
    <cfRule type="duplicateValues" dxfId="22098" priority="25032"/>
    <cfRule type="duplicateValues" dxfId="22097" priority="25033"/>
    <cfRule type="duplicateValues" dxfId="22096" priority="25034"/>
    <cfRule type="duplicateValues" dxfId="22095" priority="25035"/>
    <cfRule type="duplicateValues" dxfId="22094" priority="25036"/>
    <cfRule type="duplicateValues" dxfId="22093" priority="25037"/>
    <cfRule type="duplicateValues" dxfId="22092" priority="25038"/>
    <cfRule type="duplicateValues" dxfId="22091" priority="25039"/>
    <cfRule type="duplicateValues" dxfId="22090" priority="25040"/>
    <cfRule type="duplicateValues" dxfId="22089" priority="25041"/>
    <cfRule type="duplicateValues" dxfId="22088" priority="25042"/>
    <cfRule type="duplicateValues" dxfId="22087" priority="25043"/>
    <cfRule type="duplicateValues" dxfId="22086" priority="25044"/>
    <cfRule type="duplicateValues" dxfId="22085" priority="25045"/>
    <cfRule type="duplicateValues" dxfId="22084" priority="25046"/>
    <cfRule type="duplicateValues" dxfId="22083" priority="25047"/>
    <cfRule type="duplicateValues" dxfId="22082" priority="25048"/>
    <cfRule type="duplicateValues" dxfId="22081" priority="25049"/>
    <cfRule type="duplicateValues" dxfId="22080" priority="25050"/>
    <cfRule type="duplicateValues" dxfId="22079" priority="25051"/>
    <cfRule type="duplicateValues" dxfId="22078" priority="25052"/>
    <cfRule type="duplicateValues" dxfId="22077" priority="25053"/>
    <cfRule type="duplicateValues" dxfId="22076" priority="25054"/>
    <cfRule type="duplicateValues" dxfId="22075" priority="25055"/>
    <cfRule type="duplicateValues" dxfId="22074" priority="25056"/>
    <cfRule type="duplicateValues" dxfId="22073" priority="25057"/>
    <cfRule type="duplicateValues" dxfId="22072" priority="25058"/>
    <cfRule type="duplicateValues" dxfId="22071" priority="25059"/>
    <cfRule type="duplicateValues" dxfId="22070" priority="25060"/>
    <cfRule type="duplicateValues" dxfId="22069" priority="25061"/>
    <cfRule type="duplicateValues" dxfId="22068" priority="25062"/>
    <cfRule type="duplicateValues" dxfId="22067" priority="25063"/>
    <cfRule type="duplicateValues" dxfId="22066" priority="25064"/>
    <cfRule type="duplicateValues" dxfId="22065" priority="25065"/>
    <cfRule type="duplicateValues" dxfId="22064" priority="25066"/>
    <cfRule type="duplicateValues" dxfId="22063" priority="25067"/>
    <cfRule type="duplicateValues" dxfId="22062" priority="25068"/>
    <cfRule type="duplicateValues" dxfId="22061" priority="25069"/>
  </conditionalFormatting>
  <conditionalFormatting sqref="C215:C227">
    <cfRule type="duplicateValues" dxfId="22060" priority="7893"/>
    <cfRule type="duplicateValues" dxfId="22059" priority="7894"/>
    <cfRule type="duplicateValues" dxfId="22058" priority="7895"/>
    <cfRule type="duplicateValues" dxfId="22057" priority="7896"/>
    <cfRule type="duplicateValues" dxfId="22056" priority="7897"/>
    <cfRule type="duplicateValues" dxfId="22055" priority="7898"/>
  </conditionalFormatting>
  <conditionalFormatting sqref="C216:C223">
    <cfRule type="duplicateValues" dxfId="22054" priority="7548"/>
    <cfRule type="duplicateValues" dxfId="22053" priority="7549"/>
    <cfRule type="duplicateValues" dxfId="22052" priority="7550"/>
    <cfRule type="duplicateValues" dxfId="22051" priority="7551"/>
    <cfRule type="duplicateValues" dxfId="22050" priority="7552"/>
    <cfRule type="duplicateValues" dxfId="22049" priority="7553"/>
    <cfRule type="duplicateValues" dxfId="22048" priority="7554"/>
    <cfRule type="duplicateValues" dxfId="22047" priority="7555"/>
    <cfRule type="duplicateValues" dxfId="22046" priority="7556"/>
    <cfRule type="duplicateValues" dxfId="22045" priority="7557"/>
    <cfRule type="duplicateValues" dxfId="22044" priority="7558"/>
    <cfRule type="duplicateValues" dxfId="22043" priority="7559"/>
    <cfRule type="duplicateValues" dxfId="22042" priority="7560"/>
    <cfRule type="duplicateValues" dxfId="22041" priority="7561"/>
    <cfRule type="duplicateValues" dxfId="22040" priority="7562"/>
    <cfRule type="duplicateValues" dxfId="22039" priority="7563"/>
    <cfRule type="duplicateValues" dxfId="22038" priority="7564"/>
    <cfRule type="duplicateValues" dxfId="22037" priority="7565"/>
    <cfRule type="duplicateValues" dxfId="22036" priority="7566"/>
    <cfRule type="duplicateValues" dxfId="22035" priority="7567"/>
    <cfRule type="duplicateValues" dxfId="22034" priority="7568"/>
    <cfRule type="duplicateValues" dxfId="22033" priority="7569"/>
    <cfRule type="duplicateValues" dxfId="22032" priority="7570"/>
    <cfRule type="duplicateValues" dxfId="22031" priority="7571"/>
    <cfRule type="duplicateValues" dxfId="22030" priority="7572"/>
    <cfRule type="duplicateValues" dxfId="22029" priority="7573"/>
    <cfRule type="duplicateValues" dxfId="22028" priority="7574"/>
    <cfRule type="duplicateValues" dxfId="22027" priority="7575"/>
    <cfRule type="duplicateValues" dxfId="22026" priority="7576"/>
    <cfRule type="duplicateValues" dxfId="22025" priority="7577"/>
    <cfRule type="duplicateValues" dxfId="22024" priority="7578"/>
    <cfRule type="duplicateValues" dxfId="22023" priority="7579"/>
    <cfRule type="duplicateValues" dxfId="22022" priority="7580"/>
    <cfRule type="duplicateValues" dxfId="22021" priority="7581"/>
    <cfRule type="duplicateValues" dxfId="22020" priority="7582"/>
    <cfRule type="duplicateValues" dxfId="22019" priority="7583"/>
    <cfRule type="duplicateValues" dxfId="22018" priority="7584"/>
    <cfRule type="duplicateValues" dxfId="22017" priority="7585"/>
    <cfRule type="duplicateValues" dxfId="22016" priority="7586"/>
    <cfRule type="duplicateValues" dxfId="22015" priority="7587"/>
    <cfRule type="duplicateValues" dxfId="22014" priority="7588"/>
    <cfRule type="duplicateValues" dxfId="22013" priority="7589"/>
    <cfRule type="duplicateValues" dxfId="22012" priority="7590"/>
    <cfRule type="duplicateValues" dxfId="22011" priority="7591"/>
    <cfRule type="duplicateValues" dxfId="22010" priority="7592"/>
    <cfRule type="duplicateValues" dxfId="22009" priority="7593"/>
    <cfRule type="duplicateValues" dxfId="22008" priority="7594"/>
    <cfRule type="duplicateValues" dxfId="22007" priority="7595"/>
    <cfRule type="duplicateValues" dxfId="22006" priority="7596"/>
    <cfRule type="duplicateValues" dxfId="22005" priority="7597"/>
    <cfRule type="duplicateValues" dxfId="22004" priority="7598"/>
    <cfRule type="duplicateValues" dxfId="22003" priority="7599"/>
    <cfRule type="duplicateValues" dxfId="22002" priority="7600"/>
    <cfRule type="duplicateValues" dxfId="22001" priority="7601"/>
    <cfRule type="duplicateValues" dxfId="22000" priority="7602"/>
    <cfRule type="duplicateValues" dxfId="21999" priority="7603"/>
    <cfRule type="duplicateValues" dxfId="21998" priority="7604"/>
    <cfRule type="duplicateValues" dxfId="21997" priority="7605"/>
    <cfRule type="duplicateValues" dxfId="21996" priority="7606"/>
    <cfRule type="duplicateValues" dxfId="21995" priority="7607"/>
    <cfRule type="duplicateValues" dxfId="21994" priority="7608"/>
    <cfRule type="duplicateValues" dxfId="21993" priority="7609"/>
    <cfRule type="duplicateValues" dxfId="21992" priority="7610"/>
    <cfRule type="duplicateValues" dxfId="21991" priority="7611"/>
    <cfRule type="duplicateValues" dxfId="21990" priority="7612"/>
    <cfRule type="duplicateValues" dxfId="21989" priority="7613"/>
    <cfRule type="duplicateValues" dxfId="21988" priority="7614"/>
    <cfRule type="duplicateValues" dxfId="21987" priority="7615"/>
    <cfRule type="duplicateValues" dxfId="21986" priority="7616"/>
    <cfRule type="duplicateValues" dxfId="21985" priority="7617"/>
    <cfRule type="duplicateValues" dxfId="21984" priority="7618"/>
    <cfRule type="duplicateValues" dxfId="21983" priority="7619"/>
    <cfRule type="duplicateValues" dxfId="21982" priority="7620"/>
    <cfRule type="duplicateValues" dxfId="21981" priority="7621"/>
    <cfRule type="duplicateValues" dxfId="21980" priority="7622"/>
    <cfRule type="duplicateValues" dxfId="21979" priority="7623"/>
    <cfRule type="duplicateValues" dxfId="21978" priority="7624"/>
    <cfRule type="duplicateValues" dxfId="21977" priority="7625"/>
    <cfRule type="duplicateValues" dxfId="21976" priority="7626"/>
    <cfRule type="duplicateValues" dxfId="21975" priority="7627"/>
    <cfRule type="duplicateValues" dxfId="21974" priority="7628"/>
    <cfRule type="duplicateValues" dxfId="21973" priority="7629"/>
    <cfRule type="duplicateValues" dxfId="21972" priority="7630"/>
    <cfRule type="duplicateValues" dxfId="21971" priority="7631"/>
    <cfRule type="duplicateValues" dxfId="21970" priority="7632"/>
    <cfRule type="duplicateValues" dxfId="21969" priority="7633"/>
    <cfRule type="duplicateValues" dxfId="21968" priority="7634"/>
    <cfRule type="duplicateValues" dxfId="21967" priority="7635"/>
    <cfRule type="duplicateValues" dxfId="21966" priority="7636"/>
    <cfRule type="duplicateValues" dxfId="21965" priority="7637"/>
    <cfRule type="duplicateValues" dxfId="21964" priority="7638"/>
    <cfRule type="duplicateValues" dxfId="21963" priority="7639"/>
    <cfRule type="duplicateValues" dxfId="21962" priority="7640"/>
    <cfRule type="duplicateValues" dxfId="21961" priority="7641"/>
    <cfRule type="duplicateValues" dxfId="21960" priority="7642"/>
    <cfRule type="duplicateValues" dxfId="21959" priority="7643"/>
    <cfRule type="duplicateValues" dxfId="21958" priority="7644"/>
    <cfRule type="duplicateValues" dxfId="21957" priority="7645"/>
    <cfRule type="duplicateValues" dxfId="21956" priority="7646"/>
    <cfRule type="duplicateValues" dxfId="21955" priority="7647"/>
    <cfRule type="duplicateValues" dxfId="21954" priority="7648"/>
    <cfRule type="duplicateValues" dxfId="21953" priority="7649"/>
    <cfRule type="duplicateValues" dxfId="21952" priority="7650"/>
    <cfRule type="duplicateValues" dxfId="21951" priority="7651"/>
    <cfRule type="duplicateValues" dxfId="21950" priority="7652"/>
    <cfRule type="duplicateValues" dxfId="21949" priority="7653"/>
    <cfRule type="duplicateValues" dxfId="21948" priority="7654"/>
    <cfRule type="duplicateValues" dxfId="21947" priority="7655"/>
    <cfRule type="duplicateValues" dxfId="21946" priority="7656"/>
    <cfRule type="duplicateValues" dxfId="21945" priority="7657"/>
    <cfRule type="duplicateValues" dxfId="21944" priority="7658"/>
    <cfRule type="duplicateValues" dxfId="21943" priority="7659"/>
    <cfRule type="duplicateValues" dxfId="21942" priority="7660"/>
    <cfRule type="duplicateValues" dxfId="21941" priority="7661"/>
    <cfRule type="duplicateValues" dxfId="21940" priority="7662"/>
    <cfRule type="duplicateValues" dxfId="21939" priority="7663"/>
    <cfRule type="duplicateValues" dxfId="21938" priority="7664"/>
    <cfRule type="duplicateValues" dxfId="21937" priority="7665"/>
    <cfRule type="duplicateValues" dxfId="21936" priority="7666"/>
    <cfRule type="duplicateValues" dxfId="21935" priority="7667"/>
    <cfRule type="duplicateValues" dxfId="21934" priority="7668"/>
    <cfRule type="duplicateValues" dxfId="21933" priority="7669"/>
    <cfRule type="duplicateValues" dxfId="21932" priority="7670"/>
    <cfRule type="duplicateValues" dxfId="21931" priority="7671"/>
    <cfRule type="duplicateValues" dxfId="21930" priority="7672"/>
    <cfRule type="duplicateValues" dxfId="21929" priority="7673"/>
    <cfRule type="duplicateValues" dxfId="21928" priority="7674"/>
    <cfRule type="duplicateValues" dxfId="21927" priority="7675"/>
    <cfRule type="duplicateValues" dxfId="21926" priority="7676"/>
    <cfRule type="duplicateValues" dxfId="21925" priority="7677"/>
    <cfRule type="duplicateValues" dxfId="21924" priority="7678"/>
    <cfRule type="duplicateValues" dxfId="21923" priority="7679"/>
    <cfRule type="duplicateValues" dxfId="21922" priority="7680"/>
    <cfRule type="duplicateValues" dxfId="21921" priority="7681"/>
    <cfRule type="duplicateValues" dxfId="21920" priority="7682"/>
    <cfRule type="duplicateValues" dxfId="21919" priority="7683"/>
    <cfRule type="duplicateValues" dxfId="21918" priority="7684"/>
    <cfRule type="duplicateValues" dxfId="21917" priority="7685"/>
    <cfRule type="duplicateValues" dxfId="21916" priority="7686"/>
    <cfRule type="duplicateValues" dxfId="21915" priority="7687"/>
    <cfRule type="duplicateValues" dxfId="21914" priority="7688"/>
    <cfRule type="duplicateValues" dxfId="21913" priority="7689"/>
    <cfRule type="duplicateValues" dxfId="21912" priority="7690"/>
    <cfRule type="duplicateValues" dxfId="21911" priority="7691"/>
    <cfRule type="duplicateValues" dxfId="21910" priority="7692"/>
    <cfRule type="duplicateValues" dxfId="21909" priority="7693"/>
    <cfRule type="duplicateValues" dxfId="21908" priority="7694"/>
    <cfRule type="duplicateValues" dxfId="21907" priority="7695"/>
    <cfRule type="duplicateValues" dxfId="21906" priority="7696"/>
    <cfRule type="duplicateValues" dxfId="21905" priority="7697"/>
    <cfRule type="duplicateValues" dxfId="21904" priority="7698"/>
    <cfRule type="duplicateValues" dxfId="21903" priority="7699"/>
    <cfRule type="duplicateValues" dxfId="21902" priority="7700"/>
    <cfRule type="duplicateValues" dxfId="21901" priority="7701"/>
    <cfRule type="duplicateValues" dxfId="21900" priority="7702"/>
    <cfRule type="duplicateValues" dxfId="21899" priority="7703"/>
    <cfRule type="duplicateValues" dxfId="21898" priority="7704"/>
    <cfRule type="duplicateValues" dxfId="21897" priority="7705"/>
    <cfRule type="duplicateValues" dxfId="21896" priority="7706"/>
    <cfRule type="duplicateValues" dxfId="21895" priority="7707"/>
    <cfRule type="duplicateValues" dxfId="21894" priority="7708"/>
    <cfRule type="duplicateValues" dxfId="21893" priority="7709"/>
    <cfRule type="duplicateValues" dxfId="21892" priority="7710"/>
    <cfRule type="duplicateValues" dxfId="21891" priority="7711"/>
    <cfRule type="duplicateValues" dxfId="21890" priority="7712"/>
    <cfRule type="duplicateValues" dxfId="21889" priority="7713"/>
    <cfRule type="duplicateValues" dxfId="21888" priority="7714"/>
    <cfRule type="duplicateValues" dxfId="21887" priority="7715"/>
    <cfRule type="duplicateValues" dxfId="21886" priority="7716"/>
    <cfRule type="duplicateValues" dxfId="21885" priority="7717"/>
    <cfRule type="duplicateValues" dxfId="21884" priority="7718"/>
    <cfRule type="duplicateValues" dxfId="21883" priority="7719"/>
    <cfRule type="duplicateValues" dxfId="21882" priority="7720"/>
    <cfRule type="duplicateValues" dxfId="21881" priority="7721"/>
    <cfRule type="duplicateValues" dxfId="21880" priority="7722"/>
    <cfRule type="duplicateValues" dxfId="21879" priority="7723"/>
    <cfRule type="duplicateValues" dxfId="21878" priority="7724"/>
    <cfRule type="duplicateValues" dxfId="21877" priority="7725"/>
    <cfRule type="duplicateValues" dxfId="21876" priority="7726"/>
    <cfRule type="duplicateValues" dxfId="21875" priority="7727"/>
    <cfRule type="duplicateValues" dxfId="21874" priority="7728"/>
    <cfRule type="duplicateValues" dxfId="21873" priority="7729"/>
    <cfRule type="duplicateValues" dxfId="21872" priority="7730"/>
    <cfRule type="duplicateValues" dxfId="21871" priority="7731"/>
    <cfRule type="duplicateValues" dxfId="21870" priority="7732"/>
    <cfRule type="duplicateValues" dxfId="21869" priority="7733"/>
    <cfRule type="duplicateValues" dxfId="21868" priority="7734"/>
    <cfRule type="duplicateValues" dxfId="21867" priority="7735"/>
    <cfRule type="duplicateValues" dxfId="21866" priority="7736"/>
    <cfRule type="duplicateValues" dxfId="21865" priority="7737"/>
    <cfRule type="duplicateValues" dxfId="21864" priority="7738"/>
    <cfRule type="duplicateValues" dxfId="21863" priority="7739"/>
    <cfRule type="duplicateValues" dxfId="21862" priority="7740"/>
    <cfRule type="duplicateValues" dxfId="21861" priority="7741"/>
    <cfRule type="duplicateValues" dxfId="21860" priority="7742"/>
    <cfRule type="duplicateValues" dxfId="21859" priority="7743"/>
    <cfRule type="duplicateValues" dxfId="21858" priority="7744"/>
    <cfRule type="duplicateValues" dxfId="21857" priority="7745"/>
    <cfRule type="duplicateValues" dxfId="21856" priority="7746"/>
    <cfRule type="duplicateValues" dxfId="21855" priority="7747"/>
    <cfRule type="duplicateValues" dxfId="21854" priority="7748"/>
    <cfRule type="duplicateValues" dxfId="21853" priority="7749"/>
    <cfRule type="duplicateValues" dxfId="21852" priority="7750"/>
    <cfRule type="duplicateValues" dxfId="21851" priority="7751"/>
    <cfRule type="duplicateValues" dxfId="21850" priority="7752"/>
    <cfRule type="duplicateValues" dxfId="21849" priority="7753"/>
    <cfRule type="duplicateValues" dxfId="21848" priority="7754"/>
    <cfRule type="duplicateValues" dxfId="21847" priority="7755"/>
    <cfRule type="duplicateValues" dxfId="21846" priority="7756"/>
    <cfRule type="duplicateValues" dxfId="21845" priority="7757"/>
    <cfRule type="duplicateValues" dxfId="21844" priority="7758"/>
    <cfRule type="duplicateValues" dxfId="21843" priority="7759"/>
    <cfRule type="duplicateValues" dxfId="21842" priority="7760"/>
    <cfRule type="duplicateValues" dxfId="21841" priority="7761"/>
    <cfRule type="duplicateValues" dxfId="21840" priority="7762"/>
    <cfRule type="duplicateValues" dxfId="21839" priority="7763"/>
    <cfRule type="duplicateValues" dxfId="21838" priority="7764"/>
    <cfRule type="duplicateValues" dxfId="21837" priority="7765"/>
    <cfRule type="duplicateValues" dxfId="21836" priority="7766"/>
    <cfRule type="duplicateValues" dxfId="21835" priority="7767"/>
    <cfRule type="duplicateValues" dxfId="21834" priority="7768"/>
    <cfRule type="duplicateValues" dxfId="21833" priority="7769"/>
    <cfRule type="duplicateValues" dxfId="21832" priority="7770"/>
    <cfRule type="duplicateValues" dxfId="21831" priority="7771"/>
    <cfRule type="duplicateValues" dxfId="21830" priority="7772"/>
    <cfRule type="duplicateValues" dxfId="21829" priority="7773"/>
    <cfRule type="duplicateValues" dxfId="21828" priority="7774"/>
    <cfRule type="duplicateValues" dxfId="21827" priority="7775"/>
    <cfRule type="duplicateValues" dxfId="21826" priority="7776"/>
    <cfRule type="duplicateValues" dxfId="21825" priority="7777"/>
    <cfRule type="duplicateValues" dxfId="21824" priority="7778"/>
    <cfRule type="duplicateValues" dxfId="21823" priority="7779"/>
    <cfRule type="duplicateValues" dxfId="21822" priority="7780"/>
    <cfRule type="duplicateValues" dxfId="21821" priority="7781"/>
    <cfRule type="duplicateValues" dxfId="21820" priority="7782"/>
    <cfRule type="duplicateValues" dxfId="21819" priority="7783"/>
    <cfRule type="duplicateValues" dxfId="21818" priority="7784"/>
    <cfRule type="duplicateValues" dxfId="21817" priority="7785"/>
    <cfRule type="duplicateValues" dxfId="21816" priority="7786"/>
    <cfRule type="duplicateValues" dxfId="21815" priority="7787"/>
    <cfRule type="duplicateValues" dxfId="21814" priority="7788"/>
    <cfRule type="duplicateValues" dxfId="21813" priority="7789"/>
    <cfRule type="duplicateValues" dxfId="21812" priority="7790"/>
    <cfRule type="duplicateValues" dxfId="21811" priority="7791"/>
    <cfRule type="duplicateValues" dxfId="21810" priority="7792"/>
    <cfRule type="duplicateValues" dxfId="21809" priority="7793"/>
    <cfRule type="duplicateValues" dxfId="21808" priority="7794"/>
    <cfRule type="duplicateValues" dxfId="21807" priority="7795"/>
    <cfRule type="duplicateValues" dxfId="21806" priority="7796"/>
    <cfRule type="duplicateValues" dxfId="21805" priority="7797"/>
    <cfRule type="duplicateValues" dxfId="21804" priority="7798"/>
    <cfRule type="duplicateValues" dxfId="21803" priority="7799"/>
    <cfRule type="duplicateValues" dxfId="21802" priority="7800"/>
    <cfRule type="duplicateValues" dxfId="21801" priority="7801"/>
    <cfRule type="duplicateValues" dxfId="21800" priority="7802"/>
    <cfRule type="duplicateValues" dxfId="21799" priority="7803"/>
    <cfRule type="duplicateValues" dxfId="21798" priority="7804"/>
    <cfRule type="duplicateValues" dxfId="21797" priority="7805"/>
    <cfRule type="duplicateValues" dxfId="21796" priority="7806"/>
    <cfRule type="duplicateValues" dxfId="21795" priority="7807"/>
    <cfRule type="duplicateValues" dxfId="21794" priority="7808"/>
    <cfRule type="duplicateValues" dxfId="21793" priority="7809"/>
    <cfRule type="duplicateValues" dxfId="21792" priority="7810"/>
    <cfRule type="duplicateValues" dxfId="21791" priority="7811"/>
    <cfRule type="duplicateValues" dxfId="21790" priority="7812"/>
    <cfRule type="duplicateValues" dxfId="21789" priority="7813"/>
    <cfRule type="duplicateValues" dxfId="21788" priority="7814"/>
    <cfRule type="duplicateValues" dxfId="21787" priority="7815"/>
    <cfRule type="duplicateValues" dxfId="21786" priority="7816"/>
    <cfRule type="duplicateValues" dxfId="21785" priority="7817"/>
    <cfRule type="duplicateValues" dxfId="21784" priority="7818"/>
    <cfRule type="duplicateValues" dxfId="21783" priority="7819"/>
    <cfRule type="duplicateValues" dxfId="21782" priority="7820"/>
    <cfRule type="duplicateValues" dxfId="21781" priority="7821"/>
    <cfRule type="duplicateValues" dxfId="21780" priority="7822"/>
    <cfRule type="duplicateValues" dxfId="21779" priority="7823"/>
    <cfRule type="duplicateValues" dxfId="21778" priority="7824"/>
    <cfRule type="duplicateValues" dxfId="21777" priority="7825"/>
    <cfRule type="duplicateValues" dxfId="21776" priority="7826"/>
    <cfRule type="duplicateValues" dxfId="21775" priority="7827"/>
    <cfRule type="duplicateValues" dxfId="21774" priority="7828"/>
    <cfRule type="duplicateValues" dxfId="21773" priority="7829"/>
    <cfRule type="duplicateValues" dxfId="21772" priority="7830"/>
    <cfRule type="duplicateValues" dxfId="21771" priority="7831"/>
    <cfRule type="duplicateValues" dxfId="21770" priority="7832"/>
    <cfRule type="duplicateValues" dxfId="21769" priority="7833"/>
    <cfRule type="duplicateValues" dxfId="21768" priority="7834"/>
    <cfRule type="duplicateValues" dxfId="21767" priority="7835"/>
    <cfRule type="duplicateValues" dxfId="21766" priority="7836"/>
    <cfRule type="duplicateValues" dxfId="21765" priority="7837"/>
    <cfRule type="duplicateValues" dxfId="21764" priority="7838"/>
    <cfRule type="duplicateValues" dxfId="21763" priority="7839"/>
    <cfRule type="duplicateValues" dxfId="21762" priority="7840"/>
    <cfRule type="duplicateValues" dxfId="21761" priority="7841"/>
    <cfRule type="duplicateValues" dxfId="21760" priority="7842"/>
    <cfRule type="duplicateValues" dxfId="21759" priority="7843"/>
    <cfRule type="duplicateValues" dxfId="21758" priority="7844"/>
    <cfRule type="duplicateValues" dxfId="21757" priority="7845"/>
    <cfRule type="duplicateValues" dxfId="21756" priority="7846"/>
    <cfRule type="duplicateValues" dxfId="21755" priority="7847"/>
    <cfRule type="duplicateValues" dxfId="21754" priority="7848"/>
    <cfRule type="duplicateValues" dxfId="21753" priority="7849"/>
    <cfRule type="duplicateValues" dxfId="21752" priority="7850"/>
    <cfRule type="duplicateValues" dxfId="21751" priority="7851"/>
    <cfRule type="duplicateValues" dxfId="21750" priority="7852"/>
    <cfRule type="duplicateValues" dxfId="21749" priority="7853"/>
    <cfRule type="duplicateValues" dxfId="21748" priority="7854"/>
    <cfRule type="duplicateValues" dxfId="21747" priority="7855"/>
    <cfRule type="duplicateValues" dxfId="21746" priority="7856"/>
    <cfRule type="duplicateValues" dxfId="21745" priority="7857"/>
    <cfRule type="duplicateValues" dxfId="21744" priority="7858"/>
    <cfRule type="duplicateValues" dxfId="21743" priority="7859"/>
    <cfRule type="duplicateValues" dxfId="21742" priority="7860"/>
    <cfRule type="duplicateValues" dxfId="21741" priority="7861"/>
    <cfRule type="duplicateValues" dxfId="21740" priority="7862"/>
    <cfRule type="duplicateValues" dxfId="21739" priority="7863"/>
    <cfRule type="duplicateValues" dxfId="21738" priority="7864"/>
    <cfRule type="duplicateValues" dxfId="21737" priority="7865"/>
    <cfRule type="duplicateValues" dxfId="21736" priority="7866"/>
    <cfRule type="duplicateValues" dxfId="21735" priority="7867"/>
    <cfRule type="duplicateValues" dxfId="21734" priority="7868"/>
    <cfRule type="duplicateValues" dxfId="21733" priority="7869"/>
    <cfRule type="duplicateValues" dxfId="21732" priority="7870"/>
    <cfRule type="duplicateValues" dxfId="21731" priority="7871"/>
    <cfRule type="duplicateValues" dxfId="21730" priority="7872"/>
    <cfRule type="duplicateValues" dxfId="21729" priority="7873"/>
    <cfRule type="duplicateValues" dxfId="21728" priority="7874"/>
    <cfRule type="duplicateValues" dxfId="21727" priority="7875"/>
    <cfRule type="duplicateValues" dxfId="21726" priority="7876"/>
    <cfRule type="duplicateValues" dxfId="21725" priority="7877"/>
    <cfRule type="duplicateValues" dxfId="21724" priority="7878"/>
    <cfRule type="duplicateValues" dxfId="21723" priority="7879"/>
    <cfRule type="duplicateValues" dxfId="21722" priority="7880"/>
    <cfRule type="duplicateValues" dxfId="21721" priority="7881"/>
    <cfRule type="duplicateValues" dxfId="21720" priority="7882"/>
    <cfRule type="duplicateValues" dxfId="21719" priority="7883"/>
    <cfRule type="duplicateValues" dxfId="21718" priority="7884"/>
    <cfRule type="duplicateValues" dxfId="21717" priority="7885"/>
    <cfRule type="duplicateValues" dxfId="21716" priority="7886"/>
    <cfRule type="duplicateValues" dxfId="21715" priority="7887"/>
    <cfRule type="duplicateValues" dxfId="21714" priority="7888"/>
    <cfRule type="duplicateValues" dxfId="21713" priority="7889"/>
    <cfRule type="duplicateValues" dxfId="21712" priority="7890"/>
    <cfRule type="duplicateValues" dxfId="21711" priority="7891"/>
    <cfRule type="duplicateValues" dxfId="21710" priority="7892"/>
  </conditionalFormatting>
  <conditionalFormatting sqref="C224">
    <cfRule type="duplicateValues" dxfId="21709" priority="24327"/>
    <cfRule type="duplicateValues" dxfId="21708" priority="24328"/>
    <cfRule type="duplicateValues" dxfId="21707" priority="24329"/>
    <cfRule type="duplicateValues" dxfId="21706" priority="24330"/>
    <cfRule type="duplicateValues" dxfId="21705" priority="24331"/>
    <cfRule type="duplicateValues" dxfId="21704" priority="24332"/>
    <cfRule type="duplicateValues" dxfId="21703" priority="24333"/>
    <cfRule type="duplicateValues" dxfId="21702" priority="24334"/>
    <cfRule type="duplicateValues" dxfId="21701" priority="24335"/>
    <cfRule type="duplicateValues" dxfId="21700" priority="24336"/>
    <cfRule type="duplicateValues" dxfId="21699" priority="24337"/>
    <cfRule type="duplicateValues" dxfId="21698" priority="24338"/>
    <cfRule type="duplicateValues" dxfId="21697" priority="24339"/>
    <cfRule type="duplicateValues" dxfId="21696" priority="24340"/>
    <cfRule type="duplicateValues" dxfId="21695" priority="24341"/>
    <cfRule type="duplicateValues" dxfId="21694" priority="24342"/>
    <cfRule type="duplicateValues" dxfId="21693" priority="24343"/>
    <cfRule type="duplicateValues" dxfId="21692" priority="24344"/>
    <cfRule type="duplicateValues" dxfId="21691" priority="24345"/>
    <cfRule type="duplicateValues" dxfId="21690" priority="24346"/>
    <cfRule type="duplicateValues" dxfId="21689" priority="24347"/>
    <cfRule type="duplicateValues" dxfId="21688" priority="24348"/>
    <cfRule type="duplicateValues" dxfId="21687" priority="24349"/>
    <cfRule type="duplicateValues" dxfId="21686" priority="24350"/>
    <cfRule type="duplicateValues" dxfId="21685" priority="24351"/>
    <cfRule type="duplicateValues" dxfId="21684" priority="24352"/>
    <cfRule type="duplicateValues" dxfId="21683" priority="24353"/>
    <cfRule type="duplicateValues" dxfId="21682" priority="24354"/>
    <cfRule type="duplicateValues" dxfId="21681" priority="24355"/>
    <cfRule type="duplicateValues" dxfId="21680" priority="24356"/>
    <cfRule type="duplicateValues" dxfId="21679" priority="24357"/>
    <cfRule type="duplicateValues" dxfId="21678" priority="24358"/>
    <cfRule type="duplicateValues" dxfId="21677" priority="24359"/>
    <cfRule type="duplicateValues" dxfId="21676" priority="24360"/>
    <cfRule type="duplicateValues" dxfId="21675" priority="24361"/>
    <cfRule type="duplicateValues" dxfId="21674" priority="24362"/>
    <cfRule type="duplicateValues" dxfId="21673" priority="24363"/>
    <cfRule type="duplicateValues" dxfId="21672" priority="24364"/>
    <cfRule type="duplicateValues" dxfId="21671" priority="24365"/>
    <cfRule type="duplicateValues" dxfId="21670" priority="24366"/>
    <cfRule type="duplicateValues" dxfId="21669" priority="24367"/>
    <cfRule type="duplicateValues" dxfId="21668" priority="24368"/>
    <cfRule type="duplicateValues" dxfId="21667" priority="24369"/>
    <cfRule type="duplicateValues" dxfId="21666" priority="24370"/>
    <cfRule type="duplicateValues" dxfId="21665" priority="24371"/>
    <cfRule type="duplicateValues" dxfId="21664" priority="24372"/>
    <cfRule type="duplicateValues" dxfId="21663" priority="24373"/>
    <cfRule type="duplicateValues" dxfId="21662" priority="24374"/>
    <cfRule type="duplicateValues" dxfId="21661" priority="24375"/>
    <cfRule type="duplicateValues" dxfId="21660" priority="24376"/>
    <cfRule type="duplicateValues" dxfId="21659" priority="24377"/>
    <cfRule type="duplicateValues" dxfId="21658" priority="24378"/>
    <cfRule type="duplicateValues" dxfId="21657" priority="24379"/>
    <cfRule type="duplicateValues" dxfId="21656" priority="24380"/>
    <cfRule type="duplicateValues" dxfId="21655" priority="24381"/>
    <cfRule type="duplicateValues" dxfId="21654" priority="24382"/>
    <cfRule type="duplicateValues" dxfId="21653" priority="24383"/>
    <cfRule type="duplicateValues" dxfId="21652" priority="24384"/>
    <cfRule type="duplicateValues" dxfId="21651" priority="24385"/>
    <cfRule type="duplicateValues" dxfId="21650" priority="24386"/>
    <cfRule type="duplicateValues" dxfId="21649" priority="24387"/>
    <cfRule type="duplicateValues" dxfId="21648" priority="24388"/>
    <cfRule type="duplicateValues" dxfId="21647" priority="24389"/>
    <cfRule type="duplicateValues" dxfId="21646" priority="24390"/>
    <cfRule type="duplicateValues" dxfId="21645" priority="24391"/>
    <cfRule type="duplicateValues" dxfId="21644" priority="24392"/>
    <cfRule type="duplicateValues" dxfId="21643" priority="24393"/>
    <cfRule type="duplicateValues" dxfId="21642" priority="24394"/>
    <cfRule type="duplicateValues" dxfId="21641" priority="24395"/>
    <cfRule type="duplicateValues" dxfId="21640" priority="24396"/>
    <cfRule type="duplicateValues" dxfId="21639" priority="24397"/>
    <cfRule type="duplicateValues" dxfId="21638" priority="24398"/>
    <cfRule type="duplicateValues" dxfId="21637" priority="24399"/>
    <cfRule type="duplicateValues" dxfId="21636" priority="24400"/>
    <cfRule type="duplicateValues" dxfId="21635" priority="24401"/>
    <cfRule type="duplicateValues" dxfId="21634" priority="24402"/>
    <cfRule type="duplicateValues" dxfId="21633" priority="24403"/>
    <cfRule type="duplicateValues" dxfId="21632" priority="24404"/>
    <cfRule type="duplicateValues" dxfId="21631" priority="24405"/>
    <cfRule type="duplicateValues" dxfId="21630" priority="24406"/>
    <cfRule type="duplicateValues" dxfId="21629" priority="24407"/>
    <cfRule type="duplicateValues" dxfId="21628" priority="24408"/>
    <cfRule type="duplicateValues" dxfId="21627" priority="24409"/>
    <cfRule type="duplicateValues" dxfId="21626" priority="24410"/>
    <cfRule type="duplicateValues" dxfId="21625" priority="24411"/>
    <cfRule type="duplicateValues" dxfId="21624" priority="24412"/>
    <cfRule type="duplicateValues" dxfId="21623" priority="24413"/>
    <cfRule type="duplicateValues" dxfId="21622" priority="24414"/>
    <cfRule type="duplicateValues" dxfId="21621" priority="24415"/>
    <cfRule type="duplicateValues" dxfId="21620" priority="24416"/>
    <cfRule type="duplicateValues" dxfId="21619" priority="24417"/>
    <cfRule type="duplicateValues" dxfId="21618" priority="24418"/>
    <cfRule type="duplicateValues" dxfId="21617" priority="24419"/>
    <cfRule type="duplicateValues" dxfId="21616" priority="24420"/>
    <cfRule type="duplicateValues" dxfId="21615" priority="24421"/>
    <cfRule type="duplicateValues" dxfId="21614" priority="24422"/>
    <cfRule type="duplicateValues" dxfId="21613" priority="24423"/>
    <cfRule type="duplicateValues" dxfId="21612" priority="24424"/>
    <cfRule type="duplicateValues" dxfId="21611" priority="24425"/>
    <cfRule type="duplicateValues" dxfId="21610" priority="24426"/>
    <cfRule type="duplicateValues" dxfId="21609" priority="24427"/>
    <cfRule type="duplicateValues" dxfId="21608" priority="24428"/>
    <cfRule type="duplicateValues" dxfId="21607" priority="24429"/>
    <cfRule type="duplicateValues" dxfId="21606" priority="24430"/>
    <cfRule type="duplicateValues" dxfId="21605" priority="24431"/>
    <cfRule type="duplicateValues" dxfId="21604" priority="24432"/>
    <cfRule type="duplicateValues" dxfId="21603" priority="24433"/>
    <cfRule type="duplicateValues" dxfId="21602" priority="24434"/>
    <cfRule type="duplicateValues" dxfId="21601" priority="24435"/>
    <cfRule type="duplicateValues" dxfId="21600" priority="24436"/>
    <cfRule type="duplicateValues" dxfId="21599" priority="24437"/>
    <cfRule type="duplicateValues" dxfId="21598" priority="24438"/>
    <cfRule type="duplicateValues" dxfId="21597" priority="24439"/>
    <cfRule type="duplicateValues" dxfId="21596" priority="24440"/>
    <cfRule type="duplicateValues" dxfId="21595" priority="24441"/>
    <cfRule type="duplicateValues" dxfId="21594" priority="24442"/>
    <cfRule type="duplicateValues" dxfId="21593" priority="24443"/>
    <cfRule type="duplicateValues" dxfId="21592" priority="24444"/>
    <cfRule type="duplicateValues" dxfId="21591" priority="24445"/>
    <cfRule type="duplicateValues" dxfId="21590" priority="24446"/>
    <cfRule type="duplicateValues" dxfId="21589" priority="24447"/>
    <cfRule type="duplicateValues" dxfId="21588" priority="24448"/>
    <cfRule type="duplicateValues" dxfId="21587" priority="24449"/>
    <cfRule type="duplicateValues" dxfId="21586" priority="24450"/>
    <cfRule type="duplicateValues" dxfId="21585" priority="24451"/>
    <cfRule type="duplicateValues" dxfId="21584" priority="24452"/>
    <cfRule type="duplicateValues" dxfId="21583" priority="24453"/>
    <cfRule type="duplicateValues" dxfId="21582" priority="24454"/>
    <cfRule type="duplicateValues" dxfId="21581" priority="24455"/>
    <cfRule type="duplicateValues" dxfId="21580" priority="24456"/>
    <cfRule type="duplicateValues" dxfId="21579" priority="24457"/>
    <cfRule type="duplicateValues" dxfId="21578" priority="24458"/>
    <cfRule type="duplicateValues" dxfId="21577" priority="24459"/>
    <cfRule type="duplicateValues" dxfId="21576" priority="24460"/>
    <cfRule type="duplicateValues" dxfId="21575" priority="24461"/>
    <cfRule type="duplicateValues" dxfId="21574" priority="24462"/>
    <cfRule type="duplicateValues" dxfId="21573" priority="24463"/>
    <cfRule type="duplicateValues" dxfId="21572" priority="24464"/>
    <cfRule type="duplicateValues" dxfId="21571" priority="24465"/>
    <cfRule type="duplicateValues" dxfId="21570" priority="24466"/>
    <cfRule type="duplicateValues" dxfId="21569" priority="24467"/>
    <cfRule type="duplicateValues" dxfId="21568" priority="24468"/>
    <cfRule type="duplicateValues" dxfId="21567" priority="24469"/>
    <cfRule type="duplicateValues" dxfId="21566" priority="24470"/>
    <cfRule type="duplicateValues" dxfId="21565" priority="24471"/>
    <cfRule type="duplicateValues" dxfId="21564" priority="24472"/>
    <cfRule type="duplicateValues" dxfId="21563" priority="24473"/>
    <cfRule type="duplicateValues" dxfId="21562" priority="24474"/>
    <cfRule type="duplicateValues" dxfId="21561" priority="24475"/>
    <cfRule type="duplicateValues" dxfId="21560" priority="24476"/>
    <cfRule type="duplicateValues" dxfId="21559" priority="24477"/>
    <cfRule type="duplicateValues" dxfId="21558" priority="24478"/>
    <cfRule type="duplicateValues" dxfId="21557" priority="24479"/>
    <cfRule type="duplicateValues" dxfId="21556" priority="24480"/>
    <cfRule type="duplicateValues" dxfId="21555" priority="24481"/>
    <cfRule type="duplicateValues" dxfId="21554" priority="24482"/>
    <cfRule type="duplicateValues" dxfId="21553" priority="24483"/>
    <cfRule type="duplicateValues" dxfId="21552" priority="24484"/>
    <cfRule type="duplicateValues" dxfId="21551" priority="24485"/>
    <cfRule type="duplicateValues" dxfId="21550" priority="24486"/>
    <cfRule type="duplicateValues" dxfId="21549" priority="24487"/>
    <cfRule type="duplicateValues" dxfId="21548" priority="24488"/>
    <cfRule type="duplicateValues" dxfId="21547" priority="24489"/>
    <cfRule type="duplicateValues" dxfId="21546" priority="24490"/>
    <cfRule type="duplicateValues" dxfId="21545" priority="24491"/>
    <cfRule type="duplicateValues" dxfId="21544" priority="24492"/>
    <cfRule type="duplicateValues" dxfId="21543" priority="24493"/>
    <cfRule type="duplicateValues" dxfId="21542" priority="24494"/>
    <cfRule type="duplicateValues" dxfId="21541" priority="24495"/>
    <cfRule type="duplicateValues" dxfId="21540" priority="24496"/>
    <cfRule type="duplicateValues" dxfId="21539" priority="24497"/>
    <cfRule type="duplicateValues" dxfId="21538" priority="24498"/>
    <cfRule type="duplicateValues" dxfId="21537" priority="24499"/>
    <cfRule type="duplicateValues" dxfId="21536" priority="24500"/>
    <cfRule type="duplicateValues" dxfId="21535" priority="24501"/>
    <cfRule type="duplicateValues" dxfId="21534" priority="24502"/>
    <cfRule type="duplicateValues" dxfId="21533" priority="24503"/>
    <cfRule type="duplicateValues" dxfId="21532" priority="24504"/>
    <cfRule type="duplicateValues" dxfId="21531" priority="24505"/>
    <cfRule type="duplicateValues" dxfId="21530" priority="24506"/>
    <cfRule type="duplicateValues" dxfId="21529" priority="24507"/>
    <cfRule type="duplicateValues" dxfId="21528" priority="24508"/>
    <cfRule type="duplicateValues" dxfId="21527" priority="24509"/>
    <cfRule type="duplicateValues" dxfId="21526" priority="24510"/>
    <cfRule type="duplicateValues" dxfId="21525" priority="24511"/>
    <cfRule type="duplicateValues" dxfId="21524" priority="24512"/>
    <cfRule type="duplicateValues" dxfId="21523" priority="24513"/>
    <cfRule type="duplicateValues" dxfId="21522" priority="24514"/>
    <cfRule type="duplicateValues" dxfId="21521" priority="24515"/>
    <cfRule type="duplicateValues" dxfId="21520" priority="24516"/>
    <cfRule type="duplicateValues" dxfId="21519" priority="24517"/>
    <cfRule type="duplicateValues" dxfId="21518" priority="24518"/>
    <cfRule type="duplicateValues" dxfId="21517" priority="24519"/>
    <cfRule type="duplicateValues" dxfId="21516" priority="24520"/>
    <cfRule type="duplicateValues" dxfId="21515" priority="24521"/>
    <cfRule type="duplicateValues" dxfId="21514" priority="24522"/>
    <cfRule type="duplicateValues" dxfId="21513" priority="24523"/>
    <cfRule type="duplicateValues" dxfId="21512" priority="24524"/>
    <cfRule type="duplicateValues" dxfId="21511" priority="24525"/>
    <cfRule type="duplicateValues" dxfId="21510" priority="24526"/>
    <cfRule type="duplicateValues" dxfId="21509" priority="24527"/>
    <cfRule type="duplicateValues" dxfId="21508" priority="24528"/>
    <cfRule type="duplicateValues" dxfId="21507" priority="24529"/>
    <cfRule type="duplicateValues" dxfId="21506" priority="24530"/>
    <cfRule type="duplicateValues" dxfId="21505" priority="24531"/>
    <cfRule type="duplicateValues" dxfId="21504" priority="24532"/>
    <cfRule type="duplicateValues" dxfId="21503" priority="24533"/>
    <cfRule type="duplicateValues" dxfId="21502" priority="24534"/>
    <cfRule type="duplicateValues" dxfId="21501" priority="24535"/>
    <cfRule type="duplicateValues" dxfId="21500" priority="24536"/>
    <cfRule type="duplicateValues" dxfId="21499" priority="24537"/>
    <cfRule type="duplicateValues" dxfId="21498" priority="24538"/>
    <cfRule type="duplicateValues" dxfId="21497" priority="24539"/>
    <cfRule type="duplicateValues" dxfId="21496" priority="24540"/>
    <cfRule type="duplicateValues" dxfId="21495" priority="24541"/>
    <cfRule type="duplicateValues" dxfId="21494" priority="24542"/>
    <cfRule type="duplicateValues" dxfId="21493" priority="24543"/>
    <cfRule type="duplicateValues" dxfId="21492" priority="24544"/>
    <cfRule type="duplicateValues" dxfId="21491" priority="24545"/>
    <cfRule type="duplicateValues" dxfId="21490" priority="24546"/>
    <cfRule type="duplicateValues" dxfId="21489" priority="24547"/>
    <cfRule type="duplicateValues" dxfId="21488" priority="24548"/>
    <cfRule type="duplicateValues" dxfId="21487" priority="24549"/>
    <cfRule type="duplicateValues" dxfId="21486" priority="24550"/>
    <cfRule type="duplicateValues" dxfId="21485" priority="24551"/>
    <cfRule type="duplicateValues" dxfId="21484" priority="24552"/>
    <cfRule type="duplicateValues" dxfId="21483" priority="24553"/>
    <cfRule type="duplicateValues" dxfId="21482" priority="24554"/>
    <cfRule type="duplicateValues" dxfId="21481" priority="24555"/>
    <cfRule type="duplicateValues" dxfId="21480" priority="24556"/>
    <cfRule type="duplicateValues" dxfId="21479" priority="24557"/>
    <cfRule type="duplicateValues" dxfId="21478" priority="24558"/>
    <cfRule type="duplicateValues" dxfId="21477" priority="24559"/>
    <cfRule type="duplicateValues" dxfId="21476" priority="24560"/>
    <cfRule type="duplicateValues" dxfId="21475" priority="24561"/>
    <cfRule type="duplicateValues" dxfId="21474" priority="24562"/>
    <cfRule type="duplicateValues" dxfId="21473" priority="24563"/>
    <cfRule type="duplicateValues" dxfId="21472" priority="24564"/>
    <cfRule type="duplicateValues" dxfId="21471" priority="24565"/>
    <cfRule type="duplicateValues" dxfId="21470" priority="24566"/>
    <cfRule type="duplicateValues" dxfId="21469" priority="24567"/>
    <cfRule type="duplicateValues" dxfId="21468" priority="24568"/>
    <cfRule type="duplicateValues" dxfId="21467" priority="24569"/>
    <cfRule type="duplicateValues" dxfId="21466" priority="24570"/>
    <cfRule type="duplicateValues" dxfId="21465" priority="24571"/>
    <cfRule type="duplicateValues" dxfId="21464" priority="24572"/>
    <cfRule type="duplicateValues" dxfId="21463" priority="24573"/>
    <cfRule type="duplicateValues" dxfId="21462" priority="24574"/>
    <cfRule type="duplicateValues" dxfId="21461" priority="24575"/>
    <cfRule type="duplicateValues" dxfId="21460" priority="24576"/>
    <cfRule type="duplicateValues" dxfId="21459" priority="24577"/>
    <cfRule type="duplicateValues" dxfId="21458" priority="24578"/>
    <cfRule type="duplicateValues" dxfId="21457" priority="24579"/>
    <cfRule type="duplicateValues" dxfId="21456" priority="24580"/>
    <cfRule type="duplicateValues" dxfId="21455" priority="24581"/>
    <cfRule type="duplicateValues" dxfId="21454" priority="24582"/>
    <cfRule type="duplicateValues" dxfId="21453" priority="24583"/>
    <cfRule type="duplicateValues" dxfId="21452" priority="24584"/>
    <cfRule type="duplicateValues" dxfId="21451" priority="24585"/>
    <cfRule type="duplicateValues" dxfId="21450" priority="24586"/>
    <cfRule type="duplicateValues" dxfId="21449" priority="24587"/>
    <cfRule type="duplicateValues" dxfId="21448" priority="24588"/>
    <cfRule type="duplicateValues" dxfId="21447" priority="24589"/>
    <cfRule type="duplicateValues" dxfId="21446" priority="24590"/>
    <cfRule type="duplicateValues" dxfId="21445" priority="24591"/>
    <cfRule type="duplicateValues" dxfId="21444" priority="24592"/>
    <cfRule type="duplicateValues" dxfId="21443" priority="24593"/>
    <cfRule type="duplicateValues" dxfId="21442" priority="24594"/>
    <cfRule type="duplicateValues" dxfId="21441" priority="24595"/>
    <cfRule type="duplicateValues" dxfId="21440" priority="24596"/>
    <cfRule type="duplicateValues" dxfId="21439" priority="24597"/>
    <cfRule type="duplicateValues" dxfId="21438" priority="24598"/>
    <cfRule type="duplicateValues" dxfId="21437" priority="24599"/>
    <cfRule type="duplicateValues" dxfId="21436" priority="24600"/>
    <cfRule type="duplicateValues" dxfId="21435" priority="24601"/>
    <cfRule type="duplicateValues" dxfId="21434" priority="24602"/>
    <cfRule type="duplicateValues" dxfId="21433" priority="24603"/>
    <cfRule type="duplicateValues" dxfId="21432" priority="24604"/>
    <cfRule type="duplicateValues" dxfId="21431" priority="24605"/>
    <cfRule type="duplicateValues" dxfId="21430" priority="24606"/>
    <cfRule type="duplicateValues" dxfId="21429" priority="24607"/>
    <cfRule type="duplicateValues" dxfId="21428" priority="24608"/>
    <cfRule type="duplicateValues" dxfId="21427" priority="24609"/>
    <cfRule type="duplicateValues" dxfId="21426" priority="24610"/>
    <cfRule type="duplicateValues" dxfId="21425" priority="24611"/>
    <cfRule type="duplicateValues" dxfId="21424" priority="24612"/>
    <cfRule type="duplicateValues" dxfId="21423" priority="24613"/>
    <cfRule type="duplicateValues" dxfId="21422" priority="24614"/>
    <cfRule type="duplicateValues" dxfId="21421" priority="24615"/>
    <cfRule type="duplicateValues" dxfId="21420" priority="24616"/>
    <cfRule type="duplicateValues" dxfId="21419" priority="24617"/>
    <cfRule type="duplicateValues" dxfId="21418" priority="24618"/>
    <cfRule type="duplicateValues" dxfId="21417" priority="24619"/>
    <cfRule type="duplicateValues" dxfId="21416" priority="24620"/>
    <cfRule type="duplicateValues" dxfId="21415" priority="24621"/>
    <cfRule type="duplicateValues" dxfId="21414" priority="24622"/>
    <cfRule type="duplicateValues" dxfId="21413" priority="24623"/>
    <cfRule type="duplicateValues" dxfId="21412" priority="24624"/>
    <cfRule type="duplicateValues" dxfId="21411" priority="24625"/>
    <cfRule type="duplicateValues" dxfId="21410" priority="24626"/>
    <cfRule type="duplicateValues" dxfId="21409" priority="24627"/>
    <cfRule type="duplicateValues" dxfId="21408" priority="24628"/>
    <cfRule type="duplicateValues" dxfId="21407" priority="24629"/>
    <cfRule type="duplicateValues" dxfId="21406" priority="24630"/>
    <cfRule type="duplicateValues" dxfId="21405" priority="24631"/>
    <cfRule type="duplicateValues" dxfId="21404" priority="24632"/>
    <cfRule type="duplicateValues" dxfId="21403" priority="24633"/>
    <cfRule type="duplicateValues" dxfId="21402" priority="24634"/>
    <cfRule type="duplicateValues" dxfId="21401" priority="24635"/>
    <cfRule type="duplicateValues" dxfId="21400" priority="24636"/>
    <cfRule type="duplicateValues" dxfId="21399" priority="24637"/>
    <cfRule type="duplicateValues" dxfId="21398" priority="24638"/>
    <cfRule type="duplicateValues" dxfId="21397" priority="24639"/>
    <cfRule type="duplicateValues" dxfId="21396" priority="24640"/>
    <cfRule type="duplicateValues" dxfId="21395" priority="24641"/>
    <cfRule type="duplicateValues" dxfId="21394" priority="24642"/>
    <cfRule type="duplicateValues" dxfId="21393" priority="24643"/>
    <cfRule type="duplicateValues" dxfId="21392" priority="24644"/>
    <cfRule type="duplicateValues" dxfId="21391" priority="24645"/>
    <cfRule type="duplicateValues" dxfId="21390" priority="24646"/>
    <cfRule type="duplicateValues" dxfId="21389" priority="24647"/>
    <cfRule type="duplicateValues" dxfId="21388" priority="24648"/>
    <cfRule type="duplicateValues" dxfId="21387" priority="24649"/>
    <cfRule type="duplicateValues" dxfId="21386" priority="24650"/>
    <cfRule type="duplicateValues" dxfId="21385" priority="24651"/>
    <cfRule type="duplicateValues" dxfId="21384" priority="24652"/>
    <cfRule type="duplicateValues" dxfId="21383" priority="24653"/>
    <cfRule type="duplicateValues" dxfId="21382" priority="24654"/>
    <cfRule type="duplicateValues" dxfId="21381" priority="24655"/>
    <cfRule type="duplicateValues" dxfId="21380" priority="24656"/>
    <cfRule type="duplicateValues" dxfId="21379" priority="24657"/>
    <cfRule type="duplicateValues" dxfId="21378" priority="24658"/>
    <cfRule type="duplicateValues" dxfId="21377" priority="24659"/>
    <cfRule type="duplicateValues" dxfId="21376" priority="24660"/>
    <cfRule type="duplicateValues" dxfId="21375" priority="24661"/>
    <cfRule type="duplicateValues" dxfId="21374" priority="24662"/>
    <cfRule type="duplicateValues" dxfId="21373" priority="24663"/>
    <cfRule type="duplicateValues" dxfId="21372" priority="24664"/>
    <cfRule type="duplicateValues" dxfId="21371" priority="24665"/>
    <cfRule type="duplicateValues" dxfId="21370" priority="24666"/>
    <cfRule type="duplicateValues" dxfId="21369" priority="24667"/>
    <cfRule type="duplicateValues" dxfId="21368" priority="24668"/>
    <cfRule type="duplicateValues" dxfId="21367" priority="24669"/>
    <cfRule type="duplicateValues" dxfId="21366" priority="24670"/>
    <cfRule type="duplicateValues" dxfId="21365" priority="24671"/>
    <cfRule type="duplicateValues" dxfId="21364" priority="24672"/>
    <cfRule type="duplicateValues" dxfId="21363" priority="24673"/>
    <cfRule type="duplicateValues" dxfId="21362" priority="24674"/>
    <cfRule type="duplicateValues" dxfId="21361" priority="24675"/>
    <cfRule type="duplicateValues" dxfId="21360" priority="24676"/>
    <cfRule type="duplicateValues" dxfId="21359" priority="24677"/>
    <cfRule type="duplicateValues" dxfId="21358" priority="24678"/>
    <cfRule type="duplicateValues" dxfId="21357" priority="24679"/>
    <cfRule type="duplicateValues" dxfId="21356" priority="24680"/>
    <cfRule type="duplicateValues" dxfId="21355" priority="24681"/>
    <cfRule type="duplicateValues" dxfId="21354" priority="24682"/>
    <cfRule type="duplicateValues" dxfId="21353" priority="24683"/>
    <cfRule type="duplicateValues" dxfId="21352" priority="24684"/>
    <cfRule type="duplicateValues" dxfId="21351" priority="24685"/>
    <cfRule type="duplicateValues" dxfId="21350" priority="24686"/>
    <cfRule type="duplicateValues" dxfId="21349" priority="24687"/>
    <cfRule type="duplicateValues" dxfId="21348" priority="24688"/>
    <cfRule type="duplicateValues" dxfId="21347" priority="24689"/>
    <cfRule type="duplicateValues" dxfId="21346" priority="24690"/>
    <cfRule type="duplicateValues" dxfId="21345" priority="24691"/>
    <cfRule type="duplicateValues" dxfId="21344" priority="24692"/>
    <cfRule type="duplicateValues" dxfId="21343" priority="24693"/>
    <cfRule type="duplicateValues" dxfId="21342" priority="24694"/>
    <cfRule type="duplicateValues" dxfId="21341" priority="24695"/>
    <cfRule type="duplicateValues" dxfId="21340" priority="24696"/>
    <cfRule type="duplicateValues" dxfId="21339" priority="24697"/>
    <cfRule type="duplicateValues" dxfId="21338" priority="24698"/>
    <cfRule type="duplicateValues" dxfId="21337" priority="24699"/>
    <cfRule type="duplicateValues" dxfId="21336" priority="24700"/>
    <cfRule type="duplicateValues" dxfId="21335" priority="24701"/>
    <cfRule type="duplicateValues" dxfId="21334" priority="24702"/>
    <cfRule type="duplicateValues" dxfId="21333" priority="24703"/>
    <cfRule type="duplicateValues" dxfId="21332" priority="24704"/>
    <cfRule type="duplicateValues" dxfId="21331" priority="24705"/>
    <cfRule type="duplicateValues" dxfId="21330" priority="24706"/>
    <cfRule type="duplicateValues" dxfId="21329" priority="24707"/>
    <cfRule type="duplicateValues" dxfId="21328" priority="24708"/>
    <cfRule type="duplicateValues" dxfId="21327" priority="24709"/>
    <cfRule type="duplicateValues" dxfId="21326" priority="24710"/>
    <cfRule type="duplicateValues" dxfId="21325" priority="24711"/>
    <cfRule type="duplicateValues" dxfId="21324" priority="24712"/>
    <cfRule type="duplicateValues" dxfId="21323" priority="24713"/>
    <cfRule type="duplicateValues" dxfId="21322" priority="24714"/>
    <cfRule type="duplicateValues" dxfId="21321" priority="24715"/>
    <cfRule type="duplicateValues" dxfId="21320" priority="24716"/>
    <cfRule type="duplicateValues" dxfId="21319" priority="24717"/>
    <cfRule type="duplicateValues" dxfId="21318" priority="24718"/>
    <cfRule type="duplicateValues" dxfId="21317" priority="24719"/>
    <cfRule type="duplicateValues" dxfId="21316" priority="24720"/>
    <cfRule type="duplicateValues" dxfId="21315" priority="24721"/>
    <cfRule type="duplicateValues" dxfId="21314" priority="24722"/>
    <cfRule type="duplicateValues" dxfId="21313" priority="24723"/>
    <cfRule type="duplicateValues" dxfId="21312" priority="24724"/>
  </conditionalFormatting>
  <conditionalFormatting sqref="C225:C226">
    <cfRule type="duplicateValues" dxfId="21311" priority="7203"/>
    <cfRule type="duplicateValues" dxfId="21310" priority="7204"/>
    <cfRule type="duplicateValues" dxfId="21309" priority="7205"/>
    <cfRule type="duplicateValues" dxfId="21308" priority="7206"/>
    <cfRule type="duplicateValues" dxfId="21307" priority="7207"/>
    <cfRule type="duplicateValues" dxfId="21306" priority="7208"/>
    <cfRule type="duplicateValues" dxfId="21305" priority="7209"/>
    <cfRule type="duplicateValues" dxfId="21304" priority="7210"/>
    <cfRule type="duplicateValues" dxfId="21303" priority="7211"/>
    <cfRule type="duplicateValues" dxfId="21302" priority="7212"/>
    <cfRule type="duplicateValues" dxfId="21301" priority="7213"/>
    <cfRule type="duplicateValues" dxfId="21300" priority="7214"/>
    <cfRule type="duplicateValues" dxfId="21299" priority="7215"/>
    <cfRule type="duplicateValues" dxfId="21298" priority="7216"/>
    <cfRule type="duplicateValues" dxfId="21297" priority="7217"/>
    <cfRule type="duplicateValues" dxfId="21296" priority="7218"/>
    <cfRule type="duplicateValues" dxfId="21295" priority="7219"/>
    <cfRule type="duplicateValues" dxfId="21294" priority="7220"/>
    <cfRule type="duplicateValues" dxfId="21293" priority="7221"/>
    <cfRule type="duplicateValues" dxfId="21292" priority="7222"/>
    <cfRule type="duplicateValues" dxfId="21291" priority="7223"/>
    <cfRule type="duplicateValues" dxfId="21290" priority="7224"/>
    <cfRule type="duplicateValues" dxfId="21289" priority="7225"/>
    <cfRule type="duplicateValues" dxfId="21288" priority="7226"/>
    <cfRule type="duplicateValues" dxfId="21287" priority="7227"/>
    <cfRule type="duplicateValues" dxfId="21286" priority="7228"/>
    <cfRule type="duplicateValues" dxfId="21285" priority="7229"/>
    <cfRule type="duplicateValues" dxfId="21284" priority="7230"/>
    <cfRule type="duplicateValues" dxfId="21283" priority="7231"/>
    <cfRule type="duplicateValues" dxfId="21282" priority="7232"/>
    <cfRule type="duplicateValues" dxfId="21281" priority="7233"/>
    <cfRule type="duplicateValues" dxfId="21280" priority="7234"/>
    <cfRule type="duplicateValues" dxfId="21279" priority="7235"/>
    <cfRule type="duplicateValues" dxfId="21278" priority="7236"/>
    <cfRule type="duplicateValues" dxfId="21277" priority="7237"/>
    <cfRule type="duplicateValues" dxfId="21276" priority="7238"/>
    <cfRule type="duplicateValues" dxfId="21275" priority="7239"/>
    <cfRule type="duplicateValues" dxfId="21274" priority="7240"/>
    <cfRule type="duplicateValues" dxfId="21273" priority="7241"/>
    <cfRule type="duplicateValues" dxfId="21272" priority="7242"/>
    <cfRule type="duplicateValues" dxfId="21271" priority="7243"/>
    <cfRule type="duplicateValues" dxfId="21270" priority="7244"/>
    <cfRule type="duplicateValues" dxfId="21269" priority="7245"/>
    <cfRule type="duplicateValues" dxfId="21268" priority="7246"/>
    <cfRule type="duplicateValues" dxfId="21267" priority="7247"/>
    <cfRule type="duplicateValues" dxfId="21266" priority="7248"/>
    <cfRule type="duplicateValues" dxfId="21265" priority="7249"/>
    <cfRule type="duplicateValues" dxfId="21264" priority="7250"/>
    <cfRule type="duplicateValues" dxfId="21263" priority="7251"/>
    <cfRule type="duplicateValues" dxfId="21262" priority="7252"/>
    <cfRule type="duplicateValues" dxfId="21261" priority="7253"/>
    <cfRule type="duplicateValues" dxfId="21260" priority="7254"/>
    <cfRule type="duplicateValues" dxfId="21259" priority="7255"/>
    <cfRule type="duplicateValues" dxfId="21258" priority="7256"/>
    <cfRule type="duplicateValues" dxfId="21257" priority="7257"/>
    <cfRule type="duplicateValues" dxfId="21256" priority="7258"/>
    <cfRule type="duplicateValues" dxfId="21255" priority="7259"/>
    <cfRule type="duplicateValues" dxfId="21254" priority="7260"/>
    <cfRule type="duplicateValues" dxfId="21253" priority="7261"/>
    <cfRule type="duplicateValues" dxfId="21252" priority="7262"/>
    <cfRule type="duplicateValues" dxfId="21251" priority="7263"/>
    <cfRule type="duplicateValues" dxfId="21250" priority="7264"/>
    <cfRule type="duplicateValues" dxfId="21249" priority="7265"/>
    <cfRule type="duplicateValues" dxfId="21248" priority="7266"/>
    <cfRule type="duplicateValues" dxfId="21247" priority="7267"/>
    <cfRule type="duplicateValues" dxfId="21246" priority="7268"/>
    <cfRule type="duplicateValues" dxfId="21245" priority="7269"/>
    <cfRule type="duplicateValues" dxfId="21244" priority="7270"/>
    <cfRule type="duplicateValues" dxfId="21243" priority="7271"/>
    <cfRule type="duplicateValues" dxfId="21242" priority="7272"/>
    <cfRule type="duplicateValues" dxfId="21241" priority="7273"/>
    <cfRule type="duplicateValues" dxfId="21240" priority="7274"/>
    <cfRule type="duplicateValues" dxfId="21239" priority="7275"/>
    <cfRule type="duplicateValues" dxfId="21238" priority="7276"/>
    <cfRule type="duplicateValues" dxfId="21237" priority="7277"/>
    <cfRule type="duplicateValues" dxfId="21236" priority="7278"/>
    <cfRule type="duplicateValues" dxfId="21235" priority="7279"/>
    <cfRule type="duplicateValues" dxfId="21234" priority="7280"/>
    <cfRule type="duplicateValues" dxfId="21233" priority="7281"/>
    <cfRule type="duplicateValues" dxfId="21232" priority="7282"/>
    <cfRule type="duplicateValues" dxfId="21231" priority="7283"/>
    <cfRule type="duplicateValues" dxfId="21230" priority="7284"/>
    <cfRule type="duplicateValues" dxfId="21229" priority="7285"/>
    <cfRule type="duplicateValues" dxfId="21228" priority="7286"/>
    <cfRule type="duplicateValues" dxfId="21227" priority="7287"/>
    <cfRule type="duplicateValues" dxfId="21226" priority="7288"/>
    <cfRule type="duplicateValues" dxfId="21225" priority="7289"/>
    <cfRule type="duplicateValues" dxfId="21224" priority="7290"/>
    <cfRule type="duplicateValues" dxfId="21223" priority="7291"/>
    <cfRule type="duplicateValues" dxfId="21222" priority="7292"/>
    <cfRule type="duplicateValues" dxfId="21221" priority="7293"/>
    <cfRule type="duplicateValues" dxfId="21220" priority="7294"/>
    <cfRule type="duplicateValues" dxfId="21219" priority="7295"/>
    <cfRule type="duplicateValues" dxfId="21218" priority="7296"/>
    <cfRule type="duplicateValues" dxfId="21217" priority="7297"/>
    <cfRule type="duplicateValues" dxfId="21216" priority="7298"/>
    <cfRule type="duplicateValues" dxfId="21215" priority="7299"/>
    <cfRule type="duplicateValues" dxfId="21214" priority="7300"/>
    <cfRule type="duplicateValues" dxfId="21213" priority="7301"/>
    <cfRule type="duplicateValues" dxfId="21212" priority="7302"/>
    <cfRule type="duplicateValues" dxfId="21211" priority="7303"/>
    <cfRule type="duplicateValues" dxfId="21210" priority="7304"/>
    <cfRule type="duplicateValues" dxfId="21209" priority="7305"/>
    <cfRule type="duplicateValues" dxfId="21208" priority="7306"/>
    <cfRule type="duplicateValues" dxfId="21207" priority="7307"/>
    <cfRule type="duplicateValues" dxfId="21206" priority="7308"/>
    <cfRule type="duplicateValues" dxfId="21205" priority="7309"/>
    <cfRule type="duplicateValues" dxfId="21204" priority="7310"/>
    <cfRule type="duplicateValues" dxfId="21203" priority="7311"/>
    <cfRule type="duplicateValues" dxfId="21202" priority="7312"/>
    <cfRule type="duplicateValues" dxfId="21201" priority="7313"/>
    <cfRule type="duplicateValues" dxfId="21200" priority="7314"/>
    <cfRule type="duplicateValues" dxfId="21199" priority="7315"/>
    <cfRule type="duplicateValues" dxfId="21198" priority="7316"/>
    <cfRule type="duplicateValues" dxfId="21197" priority="7317"/>
    <cfRule type="duplicateValues" dxfId="21196" priority="7318"/>
    <cfRule type="duplicateValues" dxfId="21195" priority="7319"/>
    <cfRule type="duplicateValues" dxfId="21194" priority="7320"/>
    <cfRule type="duplicateValues" dxfId="21193" priority="7321"/>
    <cfRule type="duplicateValues" dxfId="21192" priority="7322"/>
    <cfRule type="duplicateValues" dxfId="21191" priority="7323"/>
    <cfRule type="duplicateValues" dxfId="21190" priority="7324"/>
    <cfRule type="duplicateValues" dxfId="21189" priority="7325"/>
    <cfRule type="duplicateValues" dxfId="21188" priority="7326"/>
    <cfRule type="duplicateValues" dxfId="21187" priority="7327"/>
    <cfRule type="duplicateValues" dxfId="21186" priority="7328"/>
    <cfRule type="duplicateValues" dxfId="21185" priority="7329"/>
    <cfRule type="duplicateValues" dxfId="21184" priority="7330"/>
    <cfRule type="duplicateValues" dxfId="21183" priority="7331"/>
    <cfRule type="duplicateValues" dxfId="21182" priority="7332"/>
    <cfRule type="duplicateValues" dxfId="21181" priority="7333"/>
    <cfRule type="duplicateValues" dxfId="21180" priority="7334"/>
    <cfRule type="duplicateValues" dxfId="21179" priority="7335"/>
    <cfRule type="duplicateValues" dxfId="21178" priority="7336"/>
    <cfRule type="duplicateValues" dxfId="21177" priority="7337"/>
    <cfRule type="duplicateValues" dxfId="21176" priority="7338"/>
    <cfRule type="duplicateValues" dxfId="21175" priority="7339"/>
    <cfRule type="duplicateValues" dxfId="21174" priority="7340"/>
    <cfRule type="duplicateValues" dxfId="21173" priority="7341"/>
    <cfRule type="duplicateValues" dxfId="21172" priority="7342"/>
    <cfRule type="duplicateValues" dxfId="21171" priority="7343"/>
    <cfRule type="duplicateValues" dxfId="21170" priority="7344"/>
    <cfRule type="duplicateValues" dxfId="21169" priority="7345"/>
    <cfRule type="duplicateValues" dxfId="21168" priority="7346"/>
    <cfRule type="duplicateValues" dxfId="21167" priority="7347"/>
    <cfRule type="duplicateValues" dxfId="21166" priority="7348"/>
    <cfRule type="duplicateValues" dxfId="21165" priority="7349"/>
    <cfRule type="duplicateValues" dxfId="21164" priority="7350"/>
    <cfRule type="duplicateValues" dxfId="21163" priority="7351"/>
    <cfRule type="duplicateValues" dxfId="21162" priority="7352"/>
    <cfRule type="duplicateValues" dxfId="21161" priority="7353"/>
    <cfRule type="duplicateValues" dxfId="21160" priority="7354"/>
    <cfRule type="duplicateValues" dxfId="21159" priority="7355"/>
    <cfRule type="duplicateValues" dxfId="21158" priority="7356"/>
    <cfRule type="duplicateValues" dxfId="21157" priority="7357"/>
    <cfRule type="duplicateValues" dxfId="21156" priority="7358"/>
    <cfRule type="duplicateValues" dxfId="21155" priority="7359"/>
    <cfRule type="duplicateValues" dxfId="21154" priority="7360"/>
    <cfRule type="duplicateValues" dxfId="21153" priority="7361"/>
    <cfRule type="duplicateValues" dxfId="21152" priority="7362"/>
    <cfRule type="duplicateValues" dxfId="21151" priority="7363"/>
    <cfRule type="duplicateValues" dxfId="21150" priority="7364"/>
    <cfRule type="duplicateValues" dxfId="21149" priority="7365"/>
    <cfRule type="duplicateValues" dxfId="21148" priority="7366"/>
    <cfRule type="duplicateValues" dxfId="21147" priority="7367"/>
    <cfRule type="duplicateValues" dxfId="21146" priority="7368"/>
    <cfRule type="duplicateValues" dxfId="21145" priority="7369"/>
    <cfRule type="duplicateValues" dxfId="21144" priority="7370"/>
    <cfRule type="duplicateValues" dxfId="21143" priority="7371"/>
    <cfRule type="duplicateValues" dxfId="21142" priority="7372"/>
    <cfRule type="duplicateValues" dxfId="21141" priority="7373"/>
    <cfRule type="duplicateValues" dxfId="21140" priority="7374"/>
    <cfRule type="duplicateValues" dxfId="21139" priority="7375"/>
    <cfRule type="duplicateValues" dxfId="21138" priority="7376"/>
    <cfRule type="duplicateValues" dxfId="21137" priority="7377"/>
    <cfRule type="duplicateValues" dxfId="21136" priority="7378"/>
    <cfRule type="duplicateValues" dxfId="21135" priority="7379"/>
    <cfRule type="duplicateValues" dxfId="21134" priority="7380"/>
    <cfRule type="duplicateValues" dxfId="21133" priority="7381"/>
    <cfRule type="duplicateValues" dxfId="21132" priority="7382"/>
    <cfRule type="duplicateValues" dxfId="21131" priority="7383"/>
    <cfRule type="duplicateValues" dxfId="21130" priority="7384"/>
    <cfRule type="duplicateValues" dxfId="21129" priority="7385"/>
    <cfRule type="duplicateValues" dxfId="21128" priority="7386"/>
    <cfRule type="duplicateValues" dxfId="21127" priority="7387"/>
    <cfRule type="duplicateValues" dxfId="21126" priority="7388"/>
    <cfRule type="duplicateValues" dxfId="21125" priority="7389"/>
    <cfRule type="duplicateValues" dxfId="21124" priority="7390"/>
    <cfRule type="duplicateValues" dxfId="21123" priority="7391"/>
    <cfRule type="duplicateValues" dxfId="21122" priority="7392"/>
    <cfRule type="duplicateValues" dxfId="21121" priority="7393"/>
    <cfRule type="duplicateValues" dxfId="21120" priority="7394"/>
    <cfRule type="duplicateValues" dxfId="21119" priority="7395"/>
    <cfRule type="duplicateValues" dxfId="21118" priority="7396"/>
    <cfRule type="duplicateValues" dxfId="21117" priority="7397"/>
    <cfRule type="duplicateValues" dxfId="21116" priority="7398"/>
    <cfRule type="duplicateValues" dxfId="21115" priority="7399"/>
    <cfRule type="duplicateValues" dxfId="21114" priority="7400"/>
    <cfRule type="duplicateValues" dxfId="21113" priority="7401"/>
    <cfRule type="duplicateValues" dxfId="21112" priority="7402"/>
    <cfRule type="duplicateValues" dxfId="21111" priority="7403"/>
    <cfRule type="duplicateValues" dxfId="21110" priority="7404"/>
    <cfRule type="duplicateValues" dxfId="21109" priority="7405"/>
    <cfRule type="duplicateValues" dxfId="21108" priority="7406"/>
    <cfRule type="duplicateValues" dxfId="21107" priority="7407"/>
    <cfRule type="duplicateValues" dxfId="21106" priority="7408"/>
    <cfRule type="duplicateValues" dxfId="21105" priority="7409"/>
    <cfRule type="duplicateValues" dxfId="21104" priority="7410"/>
    <cfRule type="duplicateValues" dxfId="21103" priority="7411"/>
    <cfRule type="duplicateValues" dxfId="21102" priority="7412"/>
    <cfRule type="duplicateValues" dxfId="21101" priority="7413"/>
    <cfRule type="duplicateValues" dxfId="21100" priority="7414"/>
    <cfRule type="duplicateValues" dxfId="21099" priority="7415"/>
    <cfRule type="duplicateValues" dxfId="21098" priority="7416"/>
    <cfRule type="duplicateValues" dxfId="21097" priority="7417"/>
    <cfRule type="duplicateValues" dxfId="21096" priority="7418"/>
    <cfRule type="duplicateValues" dxfId="21095" priority="7419"/>
    <cfRule type="duplicateValues" dxfId="21094" priority="7420"/>
    <cfRule type="duplicateValues" dxfId="21093" priority="7421"/>
    <cfRule type="duplicateValues" dxfId="21092" priority="7422"/>
    <cfRule type="duplicateValues" dxfId="21091" priority="7423"/>
    <cfRule type="duplicateValues" dxfId="21090" priority="7424"/>
    <cfRule type="duplicateValues" dxfId="21089" priority="7425"/>
    <cfRule type="duplicateValues" dxfId="21088" priority="7426"/>
    <cfRule type="duplicateValues" dxfId="21087" priority="7427"/>
    <cfRule type="duplicateValues" dxfId="21086" priority="7428"/>
    <cfRule type="duplicateValues" dxfId="21085" priority="7429"/>
    <cfRule type="duplicateValues" dxfId="21084" priority="7430"/>
    <cfRule type="duplicateValues" dxfId="21083" priority="7431"/>
    <cfRule type="duplicateValues" dxfId="21082" priority="7432"/>
    <cfRule type="duplicateValues" dxfId="21081" priority="7433"/>
    <cfRule type="duplicateValues" dxfId="21080" priority="7434"/>
    <cfRule type="duplicateValues" dxfId="21079" priority="7435"/>
    <cfRule type="duplicateValues" dxfId="21078" priority="7436"/>
    <cfRule type="duplicateValues" dxfId="21077" priority="7437"/>
    <cfRule type="duplicateValues" dxfId="21076" priority="7438"/>
    <cfRule type="duplicateValues" dxfId="21075" priority="7439"/>
    <cfRule type="duplicateValues" dxfId="21074" priority="7440"/>
    <cfRule type="duplicateValues" dxfId="21073" priority="7441"/>
    <cfRule type="duplicateValues" dxfId="21072" priority="7442"/>
    <cfRule type="duplicateValues" dxfId="21071" priority="7443"/>
    <cfRule type="duplicateValues" dxfId="21070" priority="7444"/>
    <cfRule type="duplicateValues" dxfId="21069" priority="7445"/>
    <cfRule type="duplicateValues" dxfId="21068" priority="7446"/>
    <cfRule type="duplicateValues" dxfId="21067" priority="7447"/>
    <cfRule type="duplicateValues" dxfId="21066" priority="7448"/>
    <cfRule type="duplicateValues" dxfId="21065" priority="7449"/>
    <cfRule type="duplicateValues" dxfId="21064" priority="7450"/>
    <cfRule type="duplicateValues" dxfId="21063" priority="7451"/>
    <cfRule type="duplicateValues" dxfId="21062" priority="7452"/>
    <cfRule type="duplicateValues" dxfId="21061" priority="7453"/>
    <cfRule type="duplicateValues" dxfId="21060" priority="7454"/>
    <cfRule type="duplicateValues" dxfId="21059" priority="7455"/>
    <cfRule type="duplicateValues" dxfId="21058" priority="7456"/>
    <cfRule type="duplicateValues" dxfId="21057" priority="7457"/>
    <cfRule type="duplicateValues" dxfId="21056" priority="7458"/>
    <cfRule type="duplicateValues" dxfId="21055" priority="7459"/>
    <cfRule type="duplicateValues" dxfId="21054" priority="7460"/>
    <cfRule type="duplicateValues" dxfId="21053" priority="7461"/>
    <cfRule type="duplicateValues" dxfId="21052" priority="7462"/>
    <cfRule type="duplicateValues" dxfId="21051" priority="7463"/>
    <cfRule type="duplicateValues" dxfId="21050" priority="7464"/>
    <cfRule type="duplicateValues" dxfId="21049" priority="7465"/>
    <cfRule type="duplicateValues" dxfId="21048" priority="7466"/>
    <cfRule type="duplicateValues" dxfId="21047" priority="7467"/>
    <cfRule type="duplicateValues" dxfId="21046" priority="7468"/>
    <cfRule type="duplicateValues" dxfId="21045" priority="7469"/>
    <cfRule type="duplicateValues" dxfId="21044" priority="7470"/>
    <cfRule type="duplicateValues" dxfId="21043" priority="7471"/>
    <cfRule type="duplicateValues" dxfId="21042" priority="7472"/>
    <cfRule type="duplicateValues" dxfId="21041" priority="7473"/>
    <cfRule type="duplicateValues" dxfId="21040" priority="7474"/>
    <cfRule type="duplicateValues" dxfId="21039" priority="7475"/>
    <cfRule type="duplicateValues" dxfId="21038" priority="7476"/>
    <cfRule type="duplicateValues" dxfId="21037" priority="7477"/>
    <cfRule type="duplicateValues" dxfId="21036" priority="7478"/>
    <cfRule type="duplicateValues" dxfId="21035" priority="7479"/>
    <cfRule type="duplicateValues" dxfId="21034" priority="7480"/>
    <cfRule type="duplicateValues" dxfId="21033" priority="7481"/>
    <cfRule type="duplicateValues" dxfId="21032" priority="7482"/>
    <cfRule type="duplicateValues" dxfId="21031" priority="7483"/>
    <cfRule type="duplicateValues" dxfId="21030" priority="7484"/>
    <cfRule type="duplicateValues" dxfId="21029" priority="7485"/>
    <cfRule type="duplicateValues" dxfId="21028" priority="7486"/>
    <cfRule type="duplicateValues" dxfId="21027" priority="7487"/>
    <cfRule type="duplicateValues" dxfId="21026" priority="7488"/>
    <cfRule type="duplicateValues" dxfId="21025" priority="7489"/>
    <cfRule type="duplicateValues" dxfId="21024" priority="7490"/>
    <cfRule type="duplicateValues" dxfId="21023" priority="7491"/>
    <cfRule type="duplicateValues" dxfId="21022" priority="7492"/>
    <cfRule type="duplicateValues" dxfId="21021" priority="7493"/>
    <cfRule type="duplicateValues" dxfId="21020" priority="7494"/>
    <cfRule type="duplicateValues" dxfId="21019" priority="7495"/>
    <cfRule type="duplicateValues" dxfId="21018" priority="7496"/>
    <cfRule type="duplicateValues" dxfId="21017" priority="7497"/>
    <cfRule type="duplicateValues" dxfId="21016" priority="7498"/>
    <cfRule type="duplicateValues" dxfId="21015" priority="7499"/>
    <cfRule type="duplicateValues" dxfId="21014" priority="7500"/>
    <cfRule type="duplicateValues" dxfId="21013" priority="7501"/>
    <cfRule type="duplicateValues" dxfId="21012" priority="7502"/>
    <cfRule type="duplicateValues" dxfId="21011" priority="7503"/>
    <cfRule type="duplicateValues" dxfId="21010" priority="7504"/>
    <cfRule type="duplicateValues" dxfId="21009" priority="7505"/>
    <cfRule type="duplicateValues" dxfId="21008" priority="7506"/>
    <cfRule type="duplicateValues" dxfId="21007" priority="7507"/>
    <cfRule type="duplicateValues" dxfId="21006" priority="7508"/>
    <cfRule type="duplicateValues" dxfId="21005" priority="7509"/>
    <cfRule type="duplicateValues" dxfId="21004" priority="7510"/>
    <cfRule type="duplicateValues" dxfId="21003" priority="7511"/>
    <cfRule type="duplicateValues" dxfId="21002" priority="7512"/>
    <cfRule type="duplicateValues" dxfId="21001" priority="7513"/>
    <cfRule type="duplicateValues" dxfId="21000" priority="7514"/>
    <cfRule type="duplicateValues" dxfId="20999" priority="7515"/>
    <cfRule type="duplicateValues" dxfId="20998" priority="7516"/>
    <cfRule type="duplicateValues" dxfId="20997" priority="7517"/>
    <cfRule type="duplicateValues" dxfId="20996" priority="7518"/>
    <cfRule type="duplicateValues" dxfId="20995" priority="7519"/>
    <cfRule type="duplicateValues" dxfId="20994" priority="7520"/>
    <cfRule type="duplicateValues" dxfId="20993" priority="7521"/>
    <cfRule type="duplicateValues" dxfId="20992" priority="7522"/>
    <cfRule type="duplicateValues" dxfId="20991" priority="7523"/>
    <cfRule type="duplicateValues" dxfId="20990" priority="7524"/>
    <cfRule type="duplicateValues" dxfId="20989" priority="7525"/>
    <cfRule type="duplicateValues" dxfId="20988" priority="7526"/>
    <cfRule type="duplicateValues" dxfId="20987" priority="7527"/>
    <cfRule type="duplicateValues" dxfId="20986" priority="7528"/>
    <cfRule type="duplicateValues" dxfId="20985" priority="7529"/>
    <cfRule type="duplicateValues" dxfId="20984" priority="7530"/>
    <cfRule type="duplicateValues" dxfId="20983" priority="7531"/>
    <cfRule type="duplicateValues" dxfId="20982" priority="7532"/>
    <cfRule type="duplicateValues" dxfId="20981" priority="7533"/>
    <cfRule type="duplicateValues" dxfId="20980" priority="7534"/>
    <cfRule type="duplicateValues" dxfId="20979" priority="7535"/>
    <cfRule type="duplicateValues" dxfId="20978" priority="7536"/>
    <cfRule type="duplicateValues" dxfId="20977" priority="7537"/>
    <cfRule type="duplicateValues" dxfId="20976" priority="7538"/>
    <cfRule type="duplicateValues" dxfId="20975" priority="7539"/>
    <cfRule type="duplicateValues" dxfId="20974" priority="7540"/>
    <cfRule type="duplicateValues" dxfId="20973" priority="7541"/>
    <cfRule type="duplicateValues" dxfId="20972" priority="7542"/>
    <cfRule type="duplicateValues" dxfId="20971" priority="7543"/>
    <cfRule type="duplicateValues" dxfId="20970" priority="7544"/>
    <cfRule type="duplicateValues" dxfId="20969" priority="7545"/>
    <cfRule type="duplicateValues" dxfId="20968" priority="7546"/>
    <cfRule type="duplicateValues" dxfId="20967" priority="7547"/>
  </conditionalFormatting>
  <conditionalFormatting sqref="C227 C249:C305">
    <cfRule type="duplicateValues" dxfId="20966" priority="872"/>
    <cfRule type="duplicateValues" dxfId="20965" priority="873"/>
    <cfRule type="duplicateValues" dxfId="20964" priority="874"/>
    <cfRule type="duplicateValues" dxfId="20963" priority="875"/>
    <cfRule type="duplicateValues" dxfId="20962" priority="876"/>
    <cfRule type="duplicateValues" dxfId="20961" priority="877"/>
    <cfRule type="duplicateValues" dxfId="20960" priority="878"/>
    <cfRule type="duplicateValues" dxfId="20959" priority="879"/>
    <cfRule type="duplicateValues" dxfId="20958" priority="880"/>
    <cfRule type="duplicateValues" dxfId="20957" priority="881"/>
    <cfRule type="duplicateValues" dxfId="20956" priority="882"/>
    <cfRule type="duplicateValues" dxfId="20955" priority="883"/>
    <cfRule type="duplicateValues" dxfId="20954" priority="884"/>
    <cfRule type="duplicateValues" dxfId="20953" priority="885"/>
    <cfRule type="duplicateValues" dxfId="20952" priority="886"/>
    <cfRule type="duplicateValues" dxfId="20951" priority="887"/>
    <cfRule type="duplicateValues" dxfId="20950" priority="888"/>
    <cfRule type="duplicateValues" dxfId="20949" priority="889"/>
    <cfRule type="duplicateValues" dxfId="20948" priority="890"/>
    <cfRule type="duplicateValues" dxfId="20947" priority="891"/>
    <cfRule type="duplicateValues" dxfId="20946" priority="892"/>
    <cfRule type="duplicateValues" dxfId="20945" priority="893"/>
    <cfRule type="duplicateValues" dxfId="20944" priority="894"/>
    <cfRule type="duplicateValues" dxfId="20943" priority="895"/>
    <cfRule type="duplicateValues" dxfId="20942" priority="896"/>
    <cfRule type="duplicateValues" dxfId="20941" priority="897"/>
    <cfRule type="duplicateValues" dxfId="20940" priority="898"/>
    <cfRule type="duplicateValues" dxfId="20939" priority="899"/>
    <cfRule type="duplicateValues" dxfId="20938" priority="900"/>
    <cfRule type="duplicateValues" dxfId="20937" priority="901"/>
    <cfRule type="duplicateValues" dxfId="20936" priority="902"/>
    <cfRule type="duplicateValues" dxfId="20935" priority="903"/>
    <cfRule type="duplicateValues" dxfId="20934" priority="904"/>
    <cfRule type="duplicateValues" dxfId="20933" priority="905"/>
    <cfRule type="duplicateValues" dxfId="20932" priority="906"/>
    <cfRule type="duplicateValues" dxfId="20931" priority="907"/>
    <cfRule type="duplicateValues" dxfId="20930" priority="908"/>
    <cfRule type="duplicateValues" dxfId="20929" priority="909"/>
    <cfRule type="duplicateValues" dxfId="20928" priority="910"/>
    <cfRule type="duplicateValues" dxfId="20927" priority="911"/>
    <cfRule type="duplicateValues" dxfId="20926" priority="912"/>
    <cfRule type="duplicateValues" dxfId="20925" priority="913"/>
    <cfRule type="duplicateValues" dxfId="20924" priority="914"/>
    <cfRule type="duplicateValues" dxfId="20923" priority="915"/>
    <cfRule type="duplicateValues" dxfId="20922" priority="916"/>
    <cfRule type="duplicateValues" dxfId="20921" priority="917"/>
    <cfRule type="duplicateValues" dxfId="20920" priority="918"/>
    <cfRule type="duplicateValues" dxfId="20919" priority="919"/>
    <cfRule type="duplicateValues" dxfId="20918" priority="920"/>
    <cfRule type="duplicateValues" dxfId="20917" priority="921"/>
    <cfRule type="duplicateValues" dxfId="20916" priority="922"/>
    <cfRule type="duplicateValues" dxfId="20915" priority="923"/>
    <cfRule type="duplicateValues" dxfId="20914" priority="924"/>
  </conditionalFormatting>
  <conditionalFormatting sqref="C227">
    <cfRule type="duplicateValues" dxfId="20913" priority="23982"/>
    <cfRule type="duplicateValues" dxfId="20912" priority="23983"/>
    <cfRule type="duplicateValues" dxfId="20911" priority="23984"/>
    <cfRule type="duplicateValues" dxfId="20910" priority="23985"/>
    <cfRule type="duplicateValues" dxfId="20909" priority="23986"/>
    <cfRule type="duplicateValues" dxfId="20908" priority="23987"/>
    <cfRule type="duplicateValues" dxfId="20907" priority="23988"/>
    <cfRule type="duplicateValues" dxfId="20906" priority="23989"/>
    <cfRule type="duplicateValues" dxfId="20905" priority="23990"/>
    <cfRule type="duplicateValues" dxfId="20904" priority="23991"/>
    <cfRule type="duplicateValues" dxfId="20903" priority="23992"/>
    <cfRule type="duplicateValues" dxfId="20902" priority="23993"/>
    <cfRule type="duplicateValues" dxfId="20901" priority="23994"/>
    <cfRule type="duplicateValues" dxfId="20900" priority="23995"/>
    <cfRule type="duplicateValues" dxfId="20899" priority="23996"/>
    <cfRule type="duplicateValues" dxfId="20898" priority="23997"/>
    <cfRule type="duplicateValues" dxfId="20897" priority="23998"/>
    <cfRule type="duplicateValues" dxfId="20896" priority="23999"/>
    <cfRule type="duplicateValues" dxfId="20895" priority="24000"/>
    <cfRule type="duplicateValues" dxfId="20894" priority="24001"/>
    <cfRule type="duplicateValues" dxfId="20893" priority="24002"/>
    <cfRule type="duplicateValues" dxfId="20892" priority="24003"/>
    <cfRule type="duplicateValues" dxfId="20891" priority="24004"/>
    <cfRule type="duplicateValues" dxfId="20890" priority="24005"/>
    <cfRule type="duplicateValues" dxfId="20889" priority="24006"/>
    <cfRule type="duplicateValues" dxfId="20888" priority="24007"/>
    <cfRule type="duplicateValues" dxfId="20887" priority="24008"/>
    <cfRule type="duplicateValues" dxfId="20886" priority="24009"/>
    <cfRule type="duplicateValues" dxfId="20885" priority="24010"/>
    <cfRule type="duplicateValues" dxfId="20884" priority="24011"/>
    <cfRule type="duplicateValues" dxfId="20883" priority="24012"/>
    <cfRule type="duplicateValues" dxfId="20882" priority="24013"/>
    <cfRule type="duplicateValues" dxfId="20881" priority="24014"/>
    <cfRule type="duplicateValues" dxfId="20880" priority="24015"/>
    <cfRule type="duplicateValues" dxfId="20879" priority="24016"/>
    <cfRule type="duplicateValues" dxfId="20878" priority="24017"/>
    <cfRule type="duplicateValues" dxfId="20877" priority="24018"/>
    <cfRule type="duplicateValues" dxfId="20876" priority="24019"/>
    <cfRule type="duplicateValues" dxfId="20875" priority="24020"/>
    <cfRule type="duplicateValues" dxfId="20874" priority="24021"/>
    <cfRule type="duplicateValues" dxfId="20873" priority="24022"/>
    <cfRule type="duplicateValues" dxfId="20872" priority="24023"/>
    <cfRule type="duplicateValues" dxfId="20871" priority="24024"/>
    <cfRule type="duplicateValues" dxfId="20870" priority="24025"/>
    <cfRule type="duplicateValues" dxfId="20869" priority="24026"/>
    <cfRule type="duplicateValues" dxfId="20868" priority="24027"/>
    <cfRule type="duplicateValues" dxfId="20867" priority="24028"/>
    <cfRule type="duplicateValues" dxfId="20866" priority="24029"/>
    <cfRule type="duplicateValues" dxfId="20865" priority="24030"/>
    <cfRule type="duplicateValues" dxfId="20864" priority="24031"/>
    <cfRule type="duplicateValues" dxfId="20863" priority="24032"/>
    <cfRule type="duplicateValues" dxfId="20862" priority="24033"/>
    <cfRule type="duplicateValues" dxfId="20861" priority="24034"/>
    <cfRule type="duplicateValues" dxfId="20860" priority="24035"/>
    <cfRule type="duplicateValues" dxfId="20859" priority="24036"/>
    <cfRule type="duplicateValues" dxfId="20858" priority="24037"/>
    <cfRule type="duplicateValues" dxfId="20857" priority="24038"/>
    <cfRule type="duplicateValues" dxfId="20856" priority="24039"/>
    <cfRule type="duplicateValues" dxfId="20855" priority="24040"/>
    <cfRule type="duplicateValues" dxfId="20854" priority="24041"/>
    <cfRule type="duplicateValues" dxfId="20853" priority="24042"/>
    <cfRule type="duplicateValues" dxfId="20852" priority="24043"/>
    <cfRule type="duplicateValues" dxfId="20851" priority="24044"/>
    <cfRule type="duplicateValues" dxfId="20850" priority="24045"/>
    <cfRule type="duplicateValues" dxfId="20849" priority="24046"/>
    <cfRule type="duplicateValues" dxfId="20848" priority="24047"/>
    <cfRule type="duplicateValues" dxfId="20847" priority="24048"/>
    <cfRule type="duplicateValues" dxfId="20846" priority="24049"/>
    <cfRule type="duplicateValues" dxfId="20845" priority="24050"/>
    <cfRule type="duplicateValues" dxfId="20844" priority="24051"/>
    <cfRule type="duplicateValues" dxfId="20843" priority="24052"/>
    <cfRule type="duplicateValues" dxfId="20842" priority="24053"/>
    <cfRule type="duplicateValues" dxfId="20841" priority="24054"/>
    <cfRule type="duplicateValues" dxfId="20840" priority="24055"/>
    <cfRule type="duplicateValues" dxfId="20839" priority="24056"/>
    <cfRule type="duplicateValues" dxfId="20838" priority="24057"/>
    <cfRule type="duplicateValues" dxfId="20837" priority="24058"/>
    <cfRule type="duplicateValues" dxfId="20836" priority="24059"/>
    <cfRule type="duplicateValues" dxfId="20835" priority="24060"/>
    <cfRule type="duplicateValues" dxfId="20834" priority="24061"/>
    <cfRule type="duplicateValues" dxfId="20833" priority="24062"/>
    <cfRule type="duplicateValues" dxfId="20832" priority="24063"/>
    <cfRule type="duplicateValues" dxfId="20831" priority="24064"/>
    <cfRule type="duplicateValues" dxfId="20830" priority="24065"/>
    <cfRule type="duplicateValues" dxfId="20829" priority="24066"/>
    <cfRule type="duplicateValues" dxfId="20828" priority="24067"/>
    <cfRule type="duplicateValues" dxfId="20827" priority="24068"/>
    <cfRule type="duplicateValues" dxfId="20826" priority="24069"/>
    <cfRule type="duplicateValues" dxfId="20825" priority="24070"/>
    <cfRule type="duplicateValues" dxfId="20824" priority="24071"/>
    <cfRule type="duplicateValues" dxfId="20823" priority="24072"/>
    <cfRule type="duplicateValues" dxfId="20822" priority="24073"/>
    <cfRule type="duplicateValues" dxfId="20821" priority="24074"/>
    <cfRule type="duplicateValues" dxfId="20820" priority="24075"/>
    <cfRule type="duplicateValues" dxfId="20819" priority="24076"/>
    <cfRule type="duplicateValues" dxfId="20818" priority="24077"/>
    <cfRule type="duplicateValues" dxfId="20817" priority="24078"/>
    <cfRule type="duplicateValues" dxfId="20816" priority="24079"/>
    <cfRule type="duplicateValues" dxfId="20815" priority="24080"/>
    <cfRule type="duplicateValues" dxfId="20814" priority="24081"/>
    <cfRule type="duplicateValues" dxfId="20813" priority="24082"/>
    <cfRule type="duplicateValues" dxfId="20812" priority="24083"/>
    <cfRule type="duplicateValues" dxfId="20811" priority="24084"/>
    <cfRule type="duplicateValues" dxfId="20810" priority="24085"/>
    <cfRule type="duplicateValues" dxfId="20809" priority="24086"/>
    <cfRule type="duplicateValues" dxfId="20808" priority="24087"/>
    <cfRule type="duplicateValues" dxfId="20807" priority="24088"/>
    <cfRule type="duplicateValues" dxfId="20806" priority="24089"/>
    <cfRule type="duplicateValues" dxfId="20805" priority="24090"/>
    <cfRule type="duplicateValues" dxfId="20804" priority="24091"/>
    <cfRule type="duplicateValues" dxfId="20803" priority="24092"/>
    <cfRule type="duplicateValues" dxfId="20802" priority="24093"/>
    <cfRule type="duplicateValues" dxfId="20801" priority="24094"/>
    <cfRule type="duplicateValues" dxfId="20800" priority="24095"/>
    <cfRule type="duplicateValues" dxfId="20799" priority="24096"/>
    <cfRule type="duplicateValues" dxfId="20798" priority="24097"/>
    <cfRule type="duplicateValues" dxfId="20797" priority="24098"/>
    <cfRule type="duplicateValues" dxfId="20796" priority="24099"/>
    <cfRule type="duplicateValues" dxfId="20795" priority="24100"/>
    <cfRule type="duplicateValues" dxfId="20794" priority="24101"/>
    <cfRule type="duplicateValues" dxfId="20793" priority="24102"/>
    <cfRule type="duplicateValues" dxfId="20792" priority="24103"/>
    <cfRule type="duplicateValues" dxfId="20791" priority="24104"/>
    <cfRule type="duplicateValues" dxfId="20790" priority="24105"/>
    <cfRule type="duplicateValues" dxfId="20789" priority="24106"/>
    <cfRule type="duplicateValues" dxfId="20788" priority="24107"/>
    <cfRule type="duplicateValues" dxfId="20787" priority="24108"/>
    <cfRule type="duplicateValues" dxfId="20786" priority="24109"/>
    <cfRule type="duplicateValues" dxfId="20785" priority="24110"/>
    <cfRule type="duplicateValues" dxfId="20784" priority="24111"/>
    <cfRule type="duplicateValues" dxfId="20783" priority="24112"/>
    <cfRule type="duplicateValues" dxfId="20782" priority="24113"/>
    <cfRule type="duplicateValues" dxfId="20781" priority="24114"/>
    <cfRule type="duplicateValues" dxfId="20780" priority="24115"/>
    <cfRule type="duplicateValues" dxfId="20779" priority="24116"/>
    <cfRule type="duplicateValues" dxfId="20778" priority="24117"/>
    <cfRule type="duplicateValues" dxfId="20777" priority="24118"/>
    <cfRule type="duplicateValues" dxfId="20776" priority="24119"/>
    <cfRule type="duplicateValues" dxfId="20775" priority="24120"/>
    <cfRule type="duplicateValues" dxfId="20774" priority="24121"/>
    <cfRule type="duplicateValues" dxfId="20773" priority="24122"/>
    <cfRule type="duplicateValues" dxfId="20772" priority="24123"/>
    <cfRule type="duplicateValues" dxfId="20771" priority="24124"/>
    <cfRule type="duplicateValues" dxfId="20770" priority="24125"/>
    <cfRule type="duplicateValues" dxfId="20769" priority="24126"/>
    <cfRule type="duplicateValues" dxfId="20768" priority="24127"/>
    <cfRule type="duplicateValues" dxfId="20767" priority="24128"/>
    <cfRule type="duplicateValues" dxfId="20766" priority="24129"/>
    <cfRule type="duplicateValues" dxfId="20765" priority="24130"/>
    <cfRule type="duplicateValues" dxfId="20764" priority="24131"/>
    <cfRule type="duplicateValues" dxfId="20763" priority="24132"/>
    <cfRule type="duplicateValues" dxfId="20762" priority="24133"/>
    <cfRule type="duplicateValues" dxfId="20761" priority="24134"/>
    <cfRule type="duplicateValues" dxfId="20760" priority="24135"/>
    <cfRule type="duplicateValues" dxfId="20759" priority="24136"/>
    <cfRule type="duplicateValues" dxfId="20758" priority="24137"/>
    <cfRule type="duplicateValues" dxfId="20757" priority="24138"/>
    <cfRule type="duplicateValues" dxfId="20756" priority="24139"/>
    <cfRule type="duplicateValues" dxfId="20755" priority="24140"/>
    <cfRule type="duplicateValues" dxfId="20754" priority="24141"/>
    <cfRule type="duplicateValues" dxfId="20753" priority="24142"/>
    <cfRule type="duplicateValues" dxfId="20752" priority="24143"/>
    <cfRule type="duplicateValues" dxfId="20751" priority="24144"/>
    <cfRule type="duplicateValues" dxfId="20750" priority="24145"/>
    <cfRule type="duplicateValues" dxfId="20749" priority="24146"/>
    <cfRule type="duplicateValues" dxfId="20748" priority="24147"/>
    <cfRule type="duplicateValues" dxfId="20747" priority="24148"/>
    <cfRule type="duplicateValues" dxfId="20746" priority="24149"/>
    <cfRule type="duplicateValues" dxfId="20745" priority="24150"/>
    <cfRule type="duplicateValues" dxfId="20744" priority="24151"/>
    <cfRule type="duplicateValues" dxfId="20743" priority="24152"/>
    <cfRule type="duplicateValues" dxfId="20742" priority="24153"/>
    <cfRule type="duplicateValues" dxfId="20741" priority="24154"/>
    <cfRule type="duplicateValues" dxfId="20740" priority="24155"/>
    <cfRule type="duplicateValues" dxfId="20739" priority="24156"/>
    <cfRule type="duplicateValues" dxfId="20738" priority="24157"/>
    <cfRule type="duplicateValues" dxfId="20737" priority="24158"/>
    <cfRule type="duplicateValues" dxfId="20736" priority="24159"/>
    <cfRule type="duplicateValues" dxfId="20735" priority="24160"/>
    <cfRule type="duplicateValues" dxfId="20734" priority="24161"/>
    <cfRule type="duplicateValues" dxfId="20733" priority="24162"/>
    <cfRule type="duplicateValues" dxfId="20732" priority="24163"/>
    <cfRule type="duplicateValues" dxfId="20731" priority="24164"/>
    <cfRule type="duplicateValues" dxfId="20730" priority="24165"/>
    <cfRule type="duplicateValues" dxfId="20729" priority="24166"/>
    <cfRule type="duplicateValues" dxfId="20728" priority="24167"/>
    <cfRule type="duplicateValues" dxfId="20727" priority="24168"/>
    <cfRule type="duplicateValues" dxfId="20726" priority="24169"/>
    <cfRule type="duplicateValues" dxfId="20725" priority="24170"/>
    <cfRule type="duplicateValues" dxfId="20724" priority="24171"/>
    <cfRule type="duplicateValues" dxfId="20723" priority="24172"/>
    <cfRule type="duplicateValues" dxfId="20722" priority="24173"/>
    <cfRule type="duplicateValues" dxfId="20721" priority="24174"/>
    <cfRule type="duplicateValues" dxfId="20720" priority="24175"/>
    <cfRule type="duplicateValues" dxfId="20719" priority="24176"/>
    <cfRule type="duplicateValues" dxfId="20718" priority="24177"/>
    <cfRule type="duplicateValues" dxfId="20717" priority="24178"/>
    <cfRule type="duplicateValues" dxfId="20716" priority="24179"/>
    <cfRule type="duplicateValues" dxfId="20715" priority="24180"/>
    <cfRule type="duplicateValues" dxfId="20714" priority="24181"/>
    <cfRule type="duplicateValues" dxfId="20713" priority="24182"/>
    <cfRule type="duplicateValues" dxfId="20712" priority="24183"/>
    <cfRule type="duplicateValues" dxfId="20711" priority="24184"/>
    <cfRule type="duplicateValues" dxfId="20710" priority="24185"/>
    <cfRule type="duplicateValues" dxfId="20709" priority="24186"/>
    <cfRule type="duplicateValues" dxfId="20708" priority="24187"/>
    <cfRule type="duplicateValues" dxfId="20707" priority="24188"/>
    <cfRule type="duplicateValues" dxfId="20706" priority="24189"/>
    <cfRule type="duplicateValues" dxfId="20705" priority="24190"/>
    <cfRule type="duplicateValues" dxfId="20704" priority="24191"/>
    <cfRule type="duplicateValues" dxfId="20703" priority="24192"/>
    <cfRule type="duplicateValues" dxfId="20702" priority="24193"/>
    <cfRule type="duplicateValues" dxfId="20701" priority="24194"/>
    <cfRule type="duplicateValues" dxfId="20700" priority="24195"/>
    <cfRule type="duplicateValues" dxfId="20699" priority="24196"/>
    <cfRule type="duplicateValues" dxfId="20698" priority="24197"/>
    <cfRule type="duplicateValues" dxfId="20697" priority="24198"/>
    <cfRule type="duplicateValues" dxfId="20696" priority="24199"/>
    <cfRule type="duplicateValues" dxfId="20695" priority="24200"/>
    <cfRule type="duplicateValues" dxfId="20694" priority="24201"/>
    <cfRule type="duplicateValues" dxfId="20693" priority="24202"/>
    <cfRule type="duplicateValues" dxfId="20692" priority="24203"/>
    <cfRule type="duplicateValues" dxfId="20691" priority="24204"/>
    <cfRule type="duplicateValues" dxfId="20690" priority="24205"/>
    <cfRule type="duplicateValues" dxfId="20689" priority="24206"/>
    <cfRule type="duplicateValues" dxfId="20688" priority="24207"/>
    <cfRule type="duplicateValues" dxfId="20687" priority="24208"/>
    <cfRule type="duplicateValues" dxfId="20686" priority="24209"/>
    <cfRule type="duplicateValues" dxfId="20685" priority="24210"/>
    <cfRule type="duplicateValues" dxfId="20684" priority="24211"/>
    <cfRule type="duplicateValues" dxfId="20683" priority="24212"/>
    <cfRule type="duplicateValues" dxfId="20682" priority="24213"/>
    <cfRule type="duplicateValues" dxfId="20681" priority="24214"/>
    <cfRule type="duplicateValues" dxfId="20680" priority="24215"/>
    <cfRule type="duplicateValues" dxfId="20679" priority="24216"/>
    <cfRule type="duplicateValues" dxfId="20678" priority="24217"/>
    <cfRule type="duplicateValues" dxfId="20677" priority="24218"/>
    <cfRule type="duplicateValues" dxfId="20676" priority="24219"/>
    <cfRule type="duplicateValues" dxfId="20675" priority="24220"/>
    <cfRule type="duplicateValues" dxfId="20674" priority="24221"/>
    <cfRule type="duplicateValues" dxfId="20673" priority="24222"/>
    <cfRule type="duplicateValues" dxfId="20672" priority="24223"/>
    <cfRule type="duplicateValues" dxfId="20671" priority="24224"/>
    <cfRule type="duplicateValues" dxfId="20670" priority="24225"/>
    <cfRule type="duplicateValues" dxfId="20669" priority="24226"/>
    <cfRule type="duplicateValues" dxfId="20668" priority="24227"/>
    <cfRule type="duplicateValues" dxfId="20667" priority="24228"/>
    <cfRule type="duplicateValues" dxfId="20666" priority="24229"/>
    <cfRule type="duplicateValues" dxfId="20665" priority="24230"/>
    <cfRule type="duplicateValues" dxfId="20664" priority="24231"/>
    <cfRule type="duplicateValues" dxfId="20663" priority="24232"/>
    <cfRule type="duplicateValues" dxfId="20662" priority="24233"/>
    <cfRule type="duplicateValues" dxfId="20661" priority="24234"/>
    <cfRule type="duplicateValues" dxfId="20660" priority="24235"/>
    <cfRule type="duplicateValues" dxfId="20659" priority="24236"/>
    <cfRule type="duplicateValues" dxfId="20658" priority="24237"/>
    <cfRule type="duplicateValues" dxfId="20657" priority="24238"/>
    <cfRule type="duplicateValues" dxfId="20656" priority="24239"/>
    <cfRule type="duplicateValues" dxfId="20655" priority="24240"/>
    <cfRule type="duplicateValues" dxfId="20654" priority="24241"/>
    <cfRule type="duplicateValues" dxfId="20653" priority="24242"/>
    <cfRule type="duplicateValues" dxfId="20652" priority="24243"/>
    <cfRule type="duplicateValues" dxfId="20651" priority="24244"/>
    <cfRule type="duplicateValues" dxfId="20650" priority="24245"/>
    <cfRule type="duplicateValues" dxfId="20649" priority="24246"/>
    <cfRule type="duplicateValues" dxfId="20648" priority="24247"/>
    <cfRule type="duplicateValues" dxfId="20647" priority="24248"/>
    <cfRule type="duplicateValues" dxfId="20646" priority="24249"/>
    <cfRule type="duplicateValues" dxfId="20645" priority="24250"/>
    <cfRule type="duplicateValues" dxfId="20644" priority="24251"/>
    <cfRule type="duplicateValues" dxfId="20643" priority="24252"/>
    <cfRule type="duplicateValues" dxfId="20642" priority="24253"/>
    <cfRule type="duplicateValues" dxfId="20641" priority="24254"/>
    <cfRule type="duplicateValues" dxfId="20640" priority="24255"/>
    <cfRule type="duplicateValues" dxfId="20639" priority="24256"/>
    <cfRule type="duplicateValues" dxfId="20638" priority="24257"/>
    <cfRule type="duplicateValues" dxfId="20637" priority="24258"/>
    <cfRule type="duplicateValues" dxfId="20636" priority="24259"/>
    <cfRule type="duplicateValues" dxfId="20635" priority="24260"/>
    <cfRule type="duplicateValues" dxfId="20634" priority="24261"/>
    <cfRule type="duplicateValues" dxfId="20633" priority="24262"/>
    <cfRule type="duplicateValues" dxfId="20632" priority="24263"/>
    <cfRule type="duplicateValues" dxfId="20631" priority="24264"/>
    <cfRule type="duplicateValues" dxfId="20630" priority="24265"/>
    <cfRule type="duplicateValues" dxfId="20629" priority="24266"/>
    <cfRule type="duplicateValues" dxfId="20628" priority="24267"/>
    <cfRule type="duplicateValues" dxfId="20627" priority="24268"/>
    <cfRule type="duplicateValues" dxfId="20626" priority="24269"/>
    <cfRule type="duplicateValues" dxfId="20625" priority="24270"/>
    <cfRule type="duplicateValues" dxfId="20624" priority="24271"/>
    <cfRule type="duplicateValues" dxfId="20623" priority="24272"/>
    <cfRule type="duplicateValues" dxfId="20622" priority="24273"/>
    <cfRule type="duplicateValues" dxfId="20621" priority="24274"/>
    <cfRule type="duplicateValues" dxfId="20620" priority="24275"/>
    <cfRule type="duplicateValues" dxfId="20619" priority="24276"/>
    <cfRule type="duplicateValues" dxfId="20618" priority="24277"/>
    <cfRule type="duplicateValues" dxfId="20617" priority="24278"/>
    <cfRule type="duplicateValues" dxfId="20616" priority="24279"/>
    <cfRule type="duplicateValues" dxfId="20615" priority="24280"/>
    <cfRule type="duplicateValues" dxfId="20614" priority="24281"/>
    <cfRule type="duplicateValues" dxfId="20613" priority="24282"/>
    <cfRule type="duplicateValues" dxfId="20612" priority="24283"/>
    <cfRule type="duplicateValues" dxfId="20611" priority="24284"/>
    <cfRule type="duplicateValues" dxfId="20610" priority="24285"/>
    <cfRule type="duplicateValues" dxfId="20609" priority="24286"/>
    <cfRule type="duplicateValues" dxfId="20608" priority="24287"/>
    <cfRule type="duplicateValues" dxfId="20607" priority="24288"/>
    <cfRule type="duplicateValues" dxfId="20606" priority="24289"/>
    <cfRule type="duplicateValues" dxfId="20605" priority="24290"/>
    <cfRule type="duplicateValues" dxfId="20604" priority="24291"/>
    <cfRule type="duplicateValues" dxfId="20603" priority="24292"/>
    <cfRule type="duplicateValues" dxfId="20602" priority="24293"/>
    <cfRule type="duplicateValues" dxfId="20601" priority="24294"/>
    <cfRule type="duplicateValues" dxfId="20600" priority="24295"/>
    <cfRule type="duplicateValues" dxfId="20599" priority="24296"/>
    <cfRule type="duplicateValues" dxfId="20598" priority="24297"/>
    <cfRule type="duplicateValues" dxfId="20597" priority="24298"/>
    <cfRule type="duplicateValues" dxfId="20596" priority="24299"/>
    <cfRule type="duplicateValues" dxfId="20595" priority="24300"/>
    <cfRule type="duplicateValues" dxfId="20594" priority="24301"/>
    <cfRule type="duplicateValues" dxfId="20593" priority="24302"/>
    <cfRule type="duplicateValues" dxfId="20592" priority="24303"/>
    <cfRule type="duplicateValues" dxfId="20591" priority="24304"/>
    <cfRule type="duplicateValues" dxfId="20590" priority="24305"/>
    <cfRule type="duplicateValues" dxfId="20589" priority="24306"/>
    <cfRule type="duplicateValues" dxfId="20588" priority="24307"/>
    <cfRule type="duplicateValues" dxfId="20587" priority="24308"/>
    <cfRule type="duplicateValues" dxfId="20586" priority="24309"/>
    <cfRule type="duplicateValues" dxfId="20585" priority="24310"/>
    <cfRule type="duplicateValues" dxfId="20584" priority="24311"/>
    <cfRule type="duplicateValues" dxfId="20583" priority="24312"/>
    <cfRule type="duplicateValues" dxfId="20582" priority="24313"/>
    <cfRule type="duplicateValues" dxfId="20581" priority="24314"/>
    <cfRule type="duplicateValues" dxfId="20580" priority="24315"/>
    <cfRule type="duplicateValues" dxfId="20579" priority="24316"/>
    <cfRule type="duplicateValues" dxfId="20578" priority="24317"/>
    <cfRule type="duplicateValues" dxfId="20577" priority="24318"/>
    <cfRule type="duplicateValues" dxfId="20576" priority="24319"/>
    <cfRule type="duplicateValues" dxfId="20575" priority="24320"/>
    <cfRule type="duplicateValues" dxfId="20574" priority="24321"/>
    <cfRule type="duplicateValues" dxfId="20573" priority="24322"/>
    <cfRule type="duplicateValues" dxfId="20572" priority="24323"/>
    <cfRule type="duplicateValues" dxfId="20571" priority="24324"/>
    <cfRule type="duplicateValues" dxfId="20570" priority="24325"/>
    <cfRule type="duplicateValues" dxfId="20569" priority="24326"/>
  </conditionalFormatting>
  <conditionalFormatting sqref="C228">
    <cfRule type="duplicateValues" dxfId="20568" priority="23637"/>
    <cfRule type="duplicateValues" dxfId="20567" priority="23638"/>
    <cfRule type="duplicateValues" dxfId="20566" priority="23639"/>
    <cfRule type="duplicateValues" dxfId="20565" priority="23640"/>
    <cfRule type="duplicateValues" dxfId="20564" priority="23641"/>
    <cfRule type="duplicateValues" dxfId="20563" priority="23642"/>
    <cfRule type="duplicateValues" dxfId="20562" priority="23643"/>
    <cfRule type="duplicateValues" dxfId="20561" priority="23644"/>
    <cfRule type="duplicateValues" dxfId="20560" priority="23645"/>
    <cfRule type="duplicateValues" dxfId="20559" priority="23646"/>
    <cfRule type="duplicateValues" dxfId="20558" priority="23647"/>
    <cfRule type="duplicateValues" dxfId="20557" priority="23648"/>
    <cfRule type="duplicateValues" dxfId="20556" priority="23649"/>
    <cfRule type="duplicateValues" dxfId="20555" priority="23650"/>
    <cfRule type="duplicateValues" dxfId="20554" priority="23651"/>
    <cfRule type="duplicateValues" dxfId="20553" priority="23652"/>
    <cfRule type="duplicateValues" dxfId="20552" priority="23653"/>
    <cfRule type="duplicateValues" dxfId="20551" priority="23654"/>
    <cfRule type="duplicateValues" dxfId="20550" priority="23655"/>
    <cfRule type="duplicateValues" dxfId="20549" priority="23656"/>
    <cfRule type="duplicateValues" dxfId="20548" priority="23657"/>
    <cfRule type="duplicateValues" dxfId="20547" priority="23658"/>
    <cfRule type="duplicateValues" dxfId="20546" priority="23659"/>
    <cfRule type="duplicateValues" dxfId="20545" priority="23660"/>
    <cfRule type="duplicateValues" dxfId="20544" priority="23661"/>
    <cfRule type="duplicateValues" dxfId="20543" priority="23662"/>
    <cfRule type="duplicateValues" dxfId="20542" priority="23663"/>
    <cfRule type="duplicateValues" dxfId="20541" priority="23664"/>
    <cfRule type="duplicateValues" dxfId="20540" priority="23665"/>
    <cfRule type="duplicateValues" dxfId="20539" priority="23666"/>
    <cfRule type="duplicateValues" dxfId="20538" priority="23667"/>
    <cfRule type="duplicateValues" dxfId="20537" priority="23668"/>
    <cfRule type="duplicateValues" dxfId="20536" priority="23669"/>
    <cfRule type="duplicateValues" dxfId="20535" priority="23670"/>
    <cfRule type="duplicateValues" dxfId="20534" priority="23671"/>
    <cfRule type="duplicateValues" dxfId="20533" priority="23672"/>
    <cfRule type="duplicateValues" dxfId="20532" priority="23673"/>
    <cfRule type="duplicateValues" dxfId="20531" priority="23674"/>
    <cfRule type="duplicateValues" dxfId="20530" priority="23675"/>
    <cfRule type="duplicateValues" dxfId="20529" priority="23676"/>
    <cfRule type="duplicateValues" dxfId="20528" priority="23677"/>
    <cfRule type="duplicateValues" dxfId="20527" priority="23678"/>
    <cfRule type="duplicateValues" dxfId="20526" priority="23679"/>
    <cfRule type="duplicateValues" dxfId="20525" priority="23680"/>
    <cfRule type="duplicateValues" dxfId="20524" priority="23681"/>
    <cfRule type="duplicateValues" dxfId="20523" priority="23682"/>
    <cfRule type="duplicateValues" dxfId="20522" priority="23683"/>
    <cfRule type="duplicateValues" dxfId="20521" priority="23684"/>
    <cfRule type="duplicateValues" dxfId="20520" priority="23685"/>
    <cfRule type="duplicateValues" dxfId="20519" priority="23686"/>
    <cfRule type="duplicateValues" dxfId="20518" priority="23687"/>
    <cfRule type="duplicateValues" dxfId="20517" priority="23688"/>
    <cfRule type="duplicateValues" dxfId="20516" priority="23689"/>
    <cfRule type="duplicateValues" dxfId="20515" priority="23690"/>
    <cfRule type="duplicateValues" dxfId="20514" priority="23691"/>
    <cfRule type="duplicateValues" dxfId="20513" priority="23692"/>
    <cfRule type="duplicateValues" dxfId="20512" priority="23693"/>
    <cfRule type="duplicateValues" dxfId="20511" priority="23694"/>
    <cfRule type="duplicateValues" dxfId="20510" priority="23695"/>
    <cfRule type="duplicateValues" dxfId="20509" priority="23696"/>
    <cfRule type="duplicateValues" dxfId="20508" priority="23697"/>
    <cfRule type="duplicateValues" dxfId="20507" priority="23698"/>
    <cfRule type="duplicateValues" dxfId="20506" priority="23699"/>
    <cfRule type="duplicateValues" dxfId="20505" priority="23700"/>
    <cfRule type="duplicateValues" dxfId="20504" priority="23701"/>
    <cfRule type="duplicateValues" dxfId="20503" priority="23702"/>
    <cfRule type="duplicateValues" dxfId="20502" priority="23703"/>
    <cfRule type="duplicateValues" dxfId="20501" priority="23704"/>
    <cfRule type="duplicateValues" dxfId="20500" priority="23705"/>
    <cfRule type="duplicateValues" dxfId="20499" priority="23706"/>
    <cfRule type="duplicateValues" dxfId="20498" priority="23707"/>
    <cfRule type="duplicateValues" dxfId="20497" priority="23708"/>
    <cfRule type="duplicateValues" dxfId="20496" priority="23709"/>
    <cfRule type="duplicateValues" dxfId="20495" priority="23710"/>
    <cfRule type="duplicateValues" dxfId="20494" priority="23711"/>
    <cfRule type="duplicateValues" dxfId="20493" priority="23712"/>
    <cfRule type="duplicateValues" dxfId="20492" priority="23713"/>
    <cfRule type="duplicateValues" dxfId="20491" priority="23714"/>
    <cfRule type="duplicateValues" dxfId="20490" priority="23715"/>
    <cfRule type="duplicateValues" dxfId="20489" priority="23716"/>
    <cfRule type="duplicateValues" dxfId="20488" priority="23717"/>
    <cfRule type="duplicateValues" dxfId="20487" priority="23718"/>
    <cfRule type="duplicateValues" dxfId="20486" priority="23719"/>
    <cfRule type="duplicateValues" dxfId="20485" priority="23720"/>
    <cfRule type="duplicateValues" dxfId="20484" priority="23721"/>
    <cfRule type="duplicateValues" dxfId="20483" priority="23722"/>
    <cfRule type="duplicateValues" dxfId="20482" priority="23723"/>
    <cfRule type="duplicateValues" dxfId="20481" priority="23724"/>
    <cfRule type="duplicateValues" dxfId="20480" priority="23725"/>
    <cfRule type="duplicateValues" dxfId="20479" priority="23726"/>
    <cfRule type="duplicateValues" dxfId="20478" priority="23727"/>
    <cfRule type="duplicateValues" dxfId="20477" priority="23728"/>
    <cfRule type="duplicateValues" dxfId="20476" priority="23729"/>
    <cfRule type="duplicateValues" dxfId="20475" priority="23730"/>
    <cfRule type="duplicateValues" dxfId="20474" priority="23731"/>
    <cfRule type="duplicateValues" dxfId="20473" priority="23732"/>
    <cfRule type="duplicateValues" dxfId="20472" priority="23733"/>
    <cfRule type="duplicateValues" dxfId="20471" priority="23734"/>
    <cfRule type="duplicateValues" dxfId="20470" priority="23735"/>
    <cfRule type="duplicateValues" dxfId="20469" priority="23736"/>
    <cfRule type="duplicateValues" dxfId="20468" priority="23737"/>
    <cfRule type="duplicateValues" dxfId="20467" priority="23738"/>
    <cfRule type="duplicateValues" dxfId="20466" priority="23739"/>
    <cfRule type="duplicateValues" dxfId="20465" priority="23740"/>
    <cfRule type="duplicateValues" dxfId="20464" priority="23741"/>
    <cfRule type="duplicateValues" dxfId="20463" priority="23742"/>
    <cfRule type="duplicateValues" dxfId="20462" priority="23743"/>
    <cfRule type="duplicateValues" dxfId="20461" priority="23744"/>
    <cfRule type="duplicateValues" dxfId="20460" priority="23745"/>
    <cfRule type="duplicateValues" dxfId="20459" priority="23746"/>
    <cfRule type="duplicateValues" dxfId="20458" priority="23747"/>
    <cfRule type="duplicateValues" dxfId="20457" priority="23748"/>
    <cfRule type="duplicateValues" dxfId="20456" priority="23749"/>
    <cfRule type="duplicateValues" dxfId="20455" priority="23750"/>
    <cfRule type="duplicateValues" dxfId="20454" priority="23751"/>
    <cfRule type="duplicateValues" dxfId="20453" priority="23752"/>
    <cfRule type="duplicateValues" dxfId="20452" priority="23753"/>
    <cfRule type="duplicateValues" dxfId="20451" priority="23754"/>
    <cfRule type="duplicateValues" dxfId="20450" priority="23755"/>
    <cfRule type="duplicateValues" dxfId="20449" priority="23756"/>
    <cfRule type="duplicateValues" dxfId="20448" priority="23757"/>
    <cfRule type="duplicateValues" dxfId="20447" priority="23758"/>
    <cfRule type="duplicateValues" dxfId="20446" priority="23759"/>
    <cfRule type="duplicateValues" dxfId="20445" priority="23760"/>
    <cfRule type="duplicateValues" dxfId="20444" priority="23761"/>
    <cfRule type="duplicateValues" dxfId="20443" priority="23762"/>
    <cfRule type="duplicateValues" dxfId="20442" priority="23763"/>
    <cfRule type="duplicateValues" dxfId="20441" priority="23764"/>
    <cfRule type="duplicateValues" dxfId="20440" priority="23765"/>
    <cfRule type="duplicateValues" dxfId="20439" priority="23766"/>
    <cfRule type="duplicateValues" dxfId="20438" priority="23767"/>
    <cfRule type="duplicateValues" dxfId="20437" priority="23768"/>
    <cfRule type="duplicateValues" dxfId="20436" priority="23769"/>
    <cfRule type="duplicateValues" dxfId="20435" priority="23770"/>
    <cfRule type="duplicateValues" dxfId="20434" priority="23771"/>
    <cfRule type="duplicateValues" dxfId="20433" priority="23772"/>
    <cfRule type="duplicateValues" dxfId="20432" priority="23773"/>
    <cfRule type="duplicateValues" dxfId="20431" priority="23774"/>
    <cfRule type="duplicateValues" dxfId="20430" priority="23775"/>
    <cfRule type="duplicateValues" dxfId="20429" priority="23776"/>
    <cfRule type="duplicateValues" dxfId="20428" priority="23777"/>
    <cfRule type="duplicateValues" dxfId="20427" priority="23778"/>
    <cfRule type="duplicateValues" dxfId="20426" priority="23779"/>
    <cfRule type="duplicateValues" dxfId="20425" priority="23780"/>
    <cfRule type="duplicateValues" dxfId="20424" priority="23781"/>
    <cfRule type="duplicateValues" dxfId="20423" priority="23782"/>
    <cfRule type="duplicateValues" dxfId="20422" priority="23783"/>
    <cfRule type="duplicateValues" dxfId="20421" priority="23784"/>
    <cfRule type="duplicateValues" dxfId="20420" priority="23785"/>
    <cfRule type="duplicateValues" dxfId="20419" priority="23786"/>
    <cfRule type="duplicateValues" dxfId="20418" priority="23787"/>
    <cfRule type="duplicateValues" dxfId="20417" priority="23788"/>
    <cfRule type="duplicateValues" dxfId="20416" priority="23789"/>
    <cfRule type="duplicateValues" dxfId="20415" priority="23790"/>
    <cfRule type="duplicateValues" dxfId="20414" priority="23791"/>
    <cfRule type="duplicateValues" dxfId="20413" priority="23792"/>
    <cfRule type="duplicateValues" dxfId="20412" priority="23793"/>
    <cfRule type="duplicateValues" dxfId="20411" priority="23794"/>
    <cfRule type="duplicateValues" dxfId="20410" priority="23795"/>
    <cfRule type="duplicateValues" dxfId="20409" priority="23796"/>
    <cfRule type="duplicateValues" dxfId="20408" priority="23797"/>
    <cfRule type="duplicateValues" dxfId="20407" priority="23798"/>
    <cfRule type="duplicateValues" dxfId="20406" priority="23799"/>
    <cfRule type="duplicateValues" dxfId="20405" priority="23800"/>
    <cfRule type="duplicateValues" dxfId="20404" priority="23801"/>
    <cfRule type="duplicateValues" dxfId="20403" priority="23802"/>
    <cfRule type="duplicateValues" dxfId="20402" priority="23803"/>
    <cfRule type="duplicateValues" dxfId="20401" priority="23804"/>
    <cfRule type="duplicateValues" dxfId="20400" priority="23805"/>
    <cfRule type="duplicateValues" dxfId="20399" priority="23806"/>
    <cfRule type="duplicateValues" dxfId="20398" priority="23807"/>
    <cfRule type="duplicateValues" dxfId="20397" priority="23808"/>
    <cfRule type="duplicateValues" dxfId="20396" priority="23809"/>
    <cfRule type="duplicateValues" dxfId="20395" priority="23810"/>
    <cfRule type="duplicateValues" dxfId="20394" priority="23811"/>
    <cfRule type="duplicateValues" dxfId="20393" priority="23812"/>
    <cfRule type="duplicateValues" dxfId="20392" priority="23813"/>
    <cfRule type="duplicateValues" dxfId="20391" priority="23814"/>
    <cfRule type="duplicateValues" dxfId="20390" priority="23815"/>
    <cfRule type="duplicateValues" dxfId="20389" priority="23816"/>
    <cfRule type="duplicateValues" dxfId="20388" priority="23817"/>
    <cfRule type="duplicateValues" dxfId="20387" priority="23818"/>
    <cfRule type="duplicateValues" dxfId="20386" priority="23819"/>
    <cfRule type="duplicateValues" dxfId="20385" priority="23820"/>
    <cfRule type="duplicateValues" dxfId="20384" priority="23821"/>
    <cfRule type="duplicateValues" dxfId="20383" priority="23822"/>
    <cfRule type="duplicateValues" dxfId="20382" priority="23823"/>
    <cfRule type="duplicateValues" dxfId="20381" priority="23824"/>
    <cfRule type="duplicateValues" dxfId="20380" priority="23825"/>
    <cfRule type="duplicateValues" dxfId="20379" priority="23826"/>
    <cfRule type="duplicateValues" dxfId="20378" priority="23827"/>
    <cfRule type="duplicateValues" dxfId="20377" priority="23828"/>
    <cfRule type="duplicateValues" dxfId="20376" priority="23829"/>
    <cfRule type="duplicateValues" dxfId="20375" priority="23830"/>
    <cfRule type="duplicateValues" dxfId="20374" priority="23831"/>
    <cfRule type="duplicateValues" dxfId="20373" priority="23832"/>
    <cfRule type="duplicateValues" dxfId="20372" priority="23833"/>
    <cfRule type="duplicateValues" dxfId="20371" priority="23834"/>
    <cfRule type="duplicateValues" dxfId="20370" priority="23835"/>
    <cfRule type="duplicateValues" dxfId="20369" priority="23836"/>
    <cfRule type="duplicateValues" dxfId="20368" priority="23837"/>
    <cfRule type="duplicateValues" dxfId="20367" priority="23838"/>
    <cfRule type="duplicateValues" dxfId="20366" priority="23839"/>
    <cfRule type="duplicateValues" dxfId="20365" priority="23840"/>
    <cfRule type="duplicateValues" dxfId="20364" priority="23841"/>
    <cfRule type="duplicateValues" dxfId="20363" priority="23842"/>
    <cfRule type="duplicateValues" dxfId="20362" priority="23843"/>
    <cfRule type="duplicateValues" dxfId="20361" priority="23844"/>
    <cfRule type="duplicateValues" dxfId="20360" priority="23845"/>
    <cfRule type="duplicateValues" dxfId="20359" priority="23846"/>
    <cfRule type="duplicateValues" dxfId="20358" priority="23847"/>
    <cfRule type="duplicateValues" dxfId="20357" priority="23848"/>
    <cfRule type="duplicateValues" dxfId="20356" priority="23849"/>
    <cfRule type="duplicateValues" dxfId="20355" priority="23850"/>
    <cfRule type="duplicateValues" dxfId="20354" priority="23851"/>
    <cfRule type="duplicateValues" dxfId="20353" priority="23852"/>
    <cfRule type="duplicateValues" dxfId="20352" priority="23853"/>
    <cfRule type="duplicateValues" dxfId="20351" priority="23854"/>
    <cfRule type="duplicateValues" dxfId="20350" priority="23855"/>
    <cfRule type="duplicateValues" dxfId="20349" priority="23856"/>
    <cfRule type="duplicateValues" dxfId="20348" priority="23857"/>
    <cfRule type="duplicateValues" dxfId="20347" priority="23858"/>
    <cfRule type="duplicateValues" dxfId="20346" priority="23859"/>
    <cfRule type="duplicateValues" dxfId="20345" priority="23860"/>
    <cfRule type="duplicateValues" dxfId="20344" priority="23861"/>
    <cfRule type="duplicateValues" dxfId="20343" priority="23862"/>
    <cfRule type="duplicateValues" dxfId="20342" priority="23863"/>
    <cfRule type="duplicateValues" dxfId="20341" priority="23864"/>
    <cfRule type="duplicateValues" dxfId="20340" priority="23865"/>
    <cfRule type="duplicateValues" dxfId="20339" priority="23866"/>
    <cfRule type="duplicateValues" dxfId="20338" priority="23867"/>
    <cfRule type="duplicateValues" dxfId="20337" priority="23868"/>
    <cfRule type="duplicateValues" dxfId="20336" priority="23869"/>
    <cfRule type="duplicateValues" dxfId="20335" priority="23870"/>
    <cfRule type="duplicateValues" dxfId="20334" priority="23871"/>
    <cfRule type="duplicateValues" dxfId="20333" priority="23872"/>
    <cfRule type="duplicateValues" dxfId="20332" priority="23873"/>
    <cfRule type="duplicateValues" dxfId="20331" priority="23874"/>
    <cfRule type="duplicateValues" dxfId="20330" priority="23875"/>
    <cfRule type="duplicateValues" dxfId="20329" priority="23876"/>
    <cfRule type="duplicateValues" dxfId="20328" priority="23877"/>
    <cfRule type="duplicateValues" dxfId="20327" priority="23878"/>
    <cfRule type="duplicateValues" dxfId="20326" priority="23879"/>
    <cfRule type="duplicateValues" dxfId="20325" priority="23880"/>
    <cfRule type="duplicateValues" dxfId="20324" priority="23881"/>
    <cfRule type="duplicateValues" dxfId="20323" priority="23882"/>
    <cfRule type="duplicateValues" dxfId="20322" priority="23883"/>
    <cfRule type="duplicateValues" dxfId="20321" priority="23884"/>
    <cfRule type="duplicateValues" dxfId="20320" priority="23885"/>
    <cfRule type="duplicateValues" dxfId="20319" priority="23886"/>
    <cfRule type="duplicateValues" dxfId="20318" priority="23887"/>
    <cfRule type="duplicateValues" dxfId="20317" priority="23888"/>
    <cfRule type="duplicateValues" dxfId="20316" priority="23889"/>
    <cfRule type="duplicateValues" dxfId="20315" priority="23890"/>
    <cfRule type="duplicateValues" dxfId="20314" priority="23891"/>
    <cfRule type="duplicateValues" dxfId="20313" priority="23892"/>
    <cfRule type="duplicateValues" dxfId="20312" priority="23893"/>
    <cfRule type="duplicateValues" dxfId="20311" priority="23894"/>
    <cfRule type="duplicateValues" dxfId="20310" priority="23895"/>
    <cfRule type="duplicateValues" dxfId="20309" priority="23896"/>
    <cfRule type="duplicateValues" dxfId="20308" priority="23897"/>
    <cfRule type="duplicateValues" dxfId="20307" priority="23898"/>
    <cfRule type="duplicateValues" dxfId="20306" priority="23899"/>
    <cfRule type="duplicateValues" dxfId="20305" priority="23900"/>
    <cfRule type="duplicateValues" dxfId="20304" priority="23901"/>
    <cfRule type="duplicateValues" dxfId="20303" priority="23902"/>
    <cfRule type="duplicateValues" dxfId="20302" priority="23903"/>
    <cfRule type="duplicateValues" dxfId="20301" priority="23904"/>
    <cfRule type="duplicateValues" dxfId="20300" priority="23905"/>
    <cfRule type="duplicateValues" dxfId="20299" priority="23906"/>
    <cfRule type="duplicateValues" dxfId="20298" priority="23907"/>
    <cfRule type="duplicateValues" dxfId="20297" priority="23908"/>
    <cfRule type="duplicateValues" dxfId="20296" priority="23909"/>
    <cfRule type="duplicateValues" dxfId="20295" priority="23910"/>
    <cfRule type="duplicateValues" dxfId="20294" priority="23911"/>
    <cfRule type="duplicateValues" dxfId="20293" priority="23912"/>
    <cfRule type="duplicateValues" dxfId="20292" priority="23913"/>
    <cfRule type="duplicateValues" dxfId="20291" priority="23914"/>
    <cfRule type="duplicateValues" dxfId="20290" priority="23915"/>
    <cfRule type="duplicateValues" dxfId="20289" priority="23916"/>
    <cfRule type="duplicateValues" dxfId="20288" priority="23917"/>
    <cfRule type="duplicateValues" dxfId="20287" priority="23918"/>
    <cfRule type="duplicateValues" dxfId="20286" priority="23919"/>
    <cfRule type="duplicateValues" dxfId="20285" priority="23920"/>
    <cfRule type="duplicateValues" dxfId="20284" priority="23921"/>
    <cfRule type="duplicateValues" dxfId="20283" priority="23922"/>
    <cfRule type="duplicateValues" dxfId="20282" priority="23923"/>
    <cfRule type="duplicateValues" dxfId="20281" priority="23924"/>
    <cfRule type="duplicateValues" dxfId="20280" priority="23925"/>
    <cfRule type="duplicateValues" dxfId="20279" priority="23926"/>
    <cfRule type="duplicateValues" dxfId="20278" priority="23927"/>
    <cfRule type="duplicateValues" dxfId="20277" priority="23928"/>
    <cfRule type="duplicateValues" dxfId="20276" priority="23929"/>
    <cfRule type="duplicateValues" dxfId="20275" priority="23930"/>
    <cfRule type="duplicateValues" dxfId="20274" priority="23931"/>
    <cfRule type="duplicateValues" dxfId="20273" priority="23932"/>
    <cfRule type="duplicateValues" dxfId="20272" priority="23933"/>
    <cfRule type="duplicateValues" dxfId="20271" priority="23934"/>
    <cfRule type="duplicateValues" dxfId="20270" priority="23935"/>
    <cfRule type="duplicateValues" dxfId="20269" priority="23936"/>
    <cfRule type="duplicateValues" dxfId="20268" priority="23937"/>
    <cfRule type="duplicateValues" dxfId="20267" priority="23938"/>
    <cfRule type="duplicateValues" dxfId="20266" priority="23939"/>
    <cfRule type="duplicateValues" dxfId="20265" priority="23940"/>
    <cfRule type="duplicateValues" dxfId="20264" priority="23941"/>
    <cfRule type="duplicateValues" dxfId="20263" priority="23942"/>
    <cfRule type="duplicateValues" dxfId="20262" priority="23943"/>
    <cfRule type="duplicateValues" dxfId="20261" priority="23944"/>
    <cfRule type="duplicateValues" dxfId="20260" priority="23945"/>
    <cfRule type="duplicateValues" dxfId="20259" priority="23946"/>
    <cfRule type="duplicateValues" dxfId="20258" priority="23947"/>
    <cfRule type="duplicateValues" dxfId="20257" priority="23948"/>
    <cfRule type="duplicateValues" dxfId="20256" priority="23949"/>
    <cfRule type="duplicateValues" dxfId="20255" priority="23950"/>
    <cfRule type="duplicateValues" dxfId="20254" priority="23951"/>
    <cfRule type="duplicateValues" dxfId="20253" priority="23952"/>
    <cfRule type="duplicateValues" dxfId="20252" priority="23953"/>
    <cfRule type="duplicateValues" dxfId="20251" priority="23954"/>
    <cfRule type="duplicateValues" dxfId="20250" priority="23955"/>
    <cfRule type="duplicateValues" dxfId="20249" priority="23956"/>
    <cfRule type="duplicateValues" dxfId="20248" priority="23957"/>
    <cfRule type="duplicateValues" dxfId="20247" priority="23958"/>
    <cfRule type="duplicateValues" dxfId="20246" priority="23959"/>
    <cfRule type="duplicateValues" dxfId="20245" priority="23960"/>
    <cfRule type="duplicateValues" dxfId="20244" priority="23961"/>
    <cfRule type="duplicateValues" dxfId="20243" priority="23962"/>
    <cfRule type="duplicateValues" dxfId="20242" priority="23963"/>
    <cfRule type="duplicateValues" dxfId="20241" priority="23964"/>
    <cfRule type="duplicateValues" dxfId="20240" priority="23965"/>
    <cfRule type="duplicateValues" dxfId="20239" priority="23966"/>
    <cfRule type="duplicateValues" dxfId="20238" priority="23967"/>
    <cfRule type="duplicateValues" dxfId="20237" priority="23968"/>
    <cfRule type="duplicateValues" dxfId="20236" priority="23969"/>
    <cfRule type="duplicateValues" dxfId="20235" priority="23970"/>
    <cfRule type="duplicateValues" dxfId="20234" priority="23971"/>
    <cfRule type="duplicateValues" dxfId="20233" priority="23972"/>
    <cfRule type="duplicateValues" dxfId="20232" priority="23973"/>
    <cfRule type="duplicateValues" dxfId="20231" priority="23974"/>
    <cfRule type="duplicateValues" dxfId="20230" priority="23975"/>
    <cfRule type="duplicateValues" dxfId="20229" priority="23976"/>
    <cfRule type="duplicateValues" dxfId="20228" priority="23977"/>
    <cfRule type="duplicateValues" dxfId="20227" priority="23978"/>
    <cfRule type="duplicateValues" dxfId="20226" priority="23979"/>
    <cfRule type="duplicateValues" dxfId="20225" priority="23980"/>
    <cfRule type="duplicateValues" dxfId="20224" priority="23981"/>
  </conditionalFormatting>
  <conditionalFormatting sqref="C228:C232">
    <cfRule type="duplicateValues" dxfId="20223" priority="7197"/>
    <cfRule type="duplicateValues" dxfId="20222" priority="7198"/>
    <cfRule type="duplicateValues" dxfId="20221" priority="7199"/>
    <cfRule type="duplicateValues" dxfId="20220" priority="7200"/>
    <cfRule type="duplicateValues" dxfId="20219" priority="7201"/>
    <cfRule type="duplicateValues" dxfId="20218" priority="7202"/>
  </conditionalFormatting>
  <conditionalFormatting sqref="C229">
    <cfRule type="duplicateValues" dxfId="20217" priority="23292"/>
    <cfRule type="duplicateValues" dxfId="20216" priority="23293"/>
    <cfRule type="duplicateValues" dxfId="20215" priority="23294"/>
    <cfRule type="duplicateValues" dxfId="20214" priority="23295"/>
    <cfRule type="duplicateValues" dxfId="20213" priority="23296"/>
    <cfRule type="duplicateValues" dxfId="20212" priority="23297"/>
    <cfRule type="duplicateValues" dxfId="20211" priority="23298"/>
    <cfRule type="duplicateValues" dxfId="20210" priority="23299"/>
    <cfRule type="duplicateValues" dxfId="20209" priority="23300"/>
    <cfRule type="duplicateValues" dxfId="20208" priority="23301"/>
    <cfRule type="duplicateValues" dxfId="20207" priority="23302"/>
    <cfRule type="duplicateValues" dxfId="20206" priority="23303"/>
    <cfRule type="duplicateValues" dxfId="20205" priority="23304"/>
    <cfRule type="duplicateValues" dxfId="20204" priority="23305"/>
    <cfRule type="duplicateValues" dxfId="20203" priority="23306"/>
    <cfRule type="duplicateValues" dxfId="20202" priority="23307"/>
    <cfRule type="duplicateValues" dxfId="20201" priority="23308"/>
    <cfRule type="duplicateValues" dxfId="20200" priority="23309"/>
    <cfRule type="duplicateValues" dxfId="20199" priority="23310"/>
    <cfRule type="duplicateValues" dxfId="20198" priority="23311"/>
    <cfRule type="duplicateValues" dxfId="20197" priority="23312"/>
    <cfRule type="duplicateValues" dxfId="20196" priority="23313"/>
    <cfRule type="duplicateValues" dxfId="20195" priority="23314"/>
    <cfRule type="duplicateValues" dxfId="20194" priority="23315"/>
    <cfRule type="duplicateValues" dxfId="20193" priority="23316"/>
    <cfRule type="duplicateValues" dxfId="20192" priority="23317"/>
    <cfRule type="duplicateValues" dxfId="20191" priority="23318"/>
    <cfRule type="duplicateValues" dxfId="20190" priority="23319"/>
    <cfRule type="duplicateValues" dxfId="20189" priority="23320"/>
    <cfRule type="duplicateValues" dxfId="20188" priority="23321"/>
    <cfRule type="duplicateValues" dxfId="20187" priority="23322"/>
    <cfRule type="duplicateValues" dxfId="20186" priority="23323"/>
    <cfRule type="duplicateValues" dxfId="20185" priority="23324"/>
    <cfRule type="duplicateValues" dxfId="20184" priority="23325"/>
    <cfRule type="duplicateValues" dxfId="20183" priority="23326"/>
    <cfRule type="duplicateValues" dxfId="20182" priority="23327"/>
    <cfRule type="duplicateValues" dxfId="20181" priority="23328"/>
    <cfRule type="duplicateValues" dxfId="20180" priority="23329"/>
    <cfRule type="duplicateValues" dxfId="20179" priority="23330"/>
    <cfRule type="duplicateValues" dxfId="20178" priority="23331"/>
    <cfRule type="duplicateValues" dxfId="20177" priority="23332"/>
    <cfRule type="duplicateValues" dxfId="20176" priority="23333"/>
    <cfRule type="duplicateValues" dxfId="20175" priority="23334"/>
    <cfRule type="duplicateValues" dxfId="20174" priority="23335"/>
    <cfRule type="duplicateValues" dxfId="20173" priority="23336"/>
    <cfRule type="duplicateValues" dxfId="20172" priority="23337"/>
    <cfRule type="duplicateValues" dxfId="20171" priority="23338"/>
    <cfRule type="duplicateValues" dxfId="20170" priority="23339"/>
    <cfRule type="duplicateValues" dxfId="20169" priority="23340"/>
    <cfRule type="duplicateValues" dxfId="20168" priority="23341"/>
    <cfRule type="duplicateValues" dxfId="20167" priority="23342"/>
    <cfRule type="duplicateValues" dxfId="20166" priority="23343"/>
    <cfRule type="duplicateValues" dxfId="20165" priority="23344"/>
    <cfRule type="duplicateValues" dxfId="20164" priority="23345"/>
    <cfRule type="duplicateValues" dxfId="20163" priority="23346"/>
    <cfRule type="duplicateValues" dxfId="20162" priority="23347"/>
    <cfRule type="duplicateValues" dxfId="20161" priority="23348"/>
    <cfRule type="duplicateValues" dxfId="20160" priority="23349"/>
    <cfRule type="duplicateValues" dxfId="20159" priority="23350"/>
    <cfRule type="duplicateValues" dxfId="20158" priority="23351"/>
    <cfRule type="duplicateValues" dxfId="20157" priority="23352"/>
    <cfRule type="duplicateValues" dxfId="20156" priority="23353"/>
    <cfRule type="duplicateValues" dxfId="20155" priority="23354"/>
    <cfRule type="duplicateValues" dxfId="20154" priority="23355"/>
    <cfRule type="duplicateValues" dxfId="20153" priority="23356"/>
    <cfRule type="duplicateValues" dxfId="20152" priority="23357"/>
    <cfRule type="duplicateValues" dxfId="20151" priority="23358"/>
    <cfRule type="duplicateValues" dxfId="20150" priority="23359"/>
    <cfRule type="duplicateValues" dxfId="20149" priority="23360"/>
    <cfRule type="duplicateValues" dxfId="20148" priority="23361"/>
    <cfRule type="duplicateValues" dxfId="20147" priority="23362"/>
    <cfRule type="duplicateValues" dxfId="20146" priority="23363"/>
    <cfRule type="duplicateValues" dxfId="20145" priority="23364"/>
    <cfRule type="duplicateValues" dxfId="20144" priority="23365"/>
    <cfRule type="duplicateValues" dxfId="20143" priority="23366"/>
    <cfRule type="duplicateValues" dxfId="20142" priority="23367"/>
    <cfRule type="duplicateValues" dxfId="20141" priority="23368"/>
    <cfRule type="duplicateValues" dxfId="20140" priority="23369"/>
    <cfRule type="duplicateValues" dxfId="20139" priority="23370"/>
    <cfRule type="duplicateValues" dxfId="20138" priority="23371"/>
    <cfRule type="duplicateValues" dxfId="20137" priority="23372"/>
    <cfRule type="duplicateValues" dxfId="20136" priority="23373"/>
    <cfRule type="duplicateValues" dxfId="20135" priority="23374"/>
    <cfRule type="duplicateValues" dxfId="20134" priority="23375"/>
    <cfRule type="duplicateValues" dxfId="20133" priority="23376"/>
    <cfRule type="duplicateValues" dxfId="20132" priority="23377"/>
    <cfRule type="duplicateValues" dxfId="20131" priority="23378"/>
    <cfRule type="duplicateValues" dxfId="20130" priority="23379"/>
    <cfRule type="duplicateValues" dxfId="20129" priority="23380"/>
    <cfRule type="duplicateValues" dxfId="20128" priority="23381"/>
    <cfRule type="duplicateValues" dxfId="20127" priority="23382"/>
    <cfRule type="duplicateValues" dxfId="20126" priority="23383"/>
    <cfRule type="duplicateValues" dxfId="20125" priority="23384"/>
    <cfRule type="duplicateValues" dxfId="20124" priority="23385"/>
    <cfRule type="duplicateValues" dxfId="20123" priority="23386"/>
    <cfRule type="duplicateValues" dxfId="20122" priority="23387"/>
    <cfRule type="duplicateValues" dxfId="20121" priority="23388"/>
    <cfRule type="duplicateValues" dxfId="20120" priority="23389"/>
    <cfRule type="duplicateValues" dxfId="20119" priority="23390"/>
    <cfRule type="duplicateValues" dxfId="20118" priority="23391"/>
    <cfRule type="duplicateValues" dxfId="20117" priority="23392"/>
    <cfRule type="duplicateValues" dxfId="20116" priority="23393"/>
    <cfRule type="duplicateValues" dxfId="20115" priority="23394"/>
    <cfRule type="duplicateValues" dxfId="20114" priority="23395"/>
    <cfRule type="duplicateValues" dxfId="20113" priority="23396"/>
    <cfRule type="duplicateValues" dxfId="20112" priority="23397"/>
    <cfRule type="duplicateValues" dxfId="20111" priority="23398"/>
    <cfRule type="duplicateValues" dxfId="20110" priority="23399"/>
    <cfRule type="duplicateValues" dxfId="20109" priority="23400"/>
    <cfRule type="duplicateValues" dxfId="20108" priority="23401"/>
    <cfRule type="duplicateValues" dxfId="20107" priority="23402"/>
    <cfRule type="duplicateValues" dxfId="20106" priority="23403"/>
    <cfRule type="duplicateValues" dxfId="20105" priority="23404"/>
    <cfRule type="duplicateValues" dxfId="20104" priority="23405"/>
    <cfRule type="duplicateValues" dxfId="20103" priority="23406"/>
    <cfRule type="duplicateValues" dxfId="20102" priority="23407"/>
    <cfRule type="duplicateValues" dxfId="20101" priority="23408"/>
    <cfRule type="duplicateValues" dxfId="20100" priority="23409"/>
    <cfRule type="duplicateValues" dxfId="20099" priority="23410"/>
    <cfRule type="duplicateValues" dxfId="20098" priority="23411"/>
    <cfRule type="duplicateValues" dxfId="20097" priority="23412"/>
    <cfRule type="duplicateValues" dxfId="20096" priority="23413"/>
    <cfRule type="duplicateValues" dxfId="20095" priority="23414"/>
    <cfRule type="duplicateValues" dxfId="20094" priority="23415"/>
    <cfRule type="duplicateValues" dxfId="20093" priority="23416"/>
    <cfRule type="duplicateValues" dxfId="20092" priority="23417"/>
    <cfRule type="duplicateValues" dxfId="20091" priority="23418"/>
    <cfRule type="duplicateValues" dxfId="20090" priority="23419"/>
    <cfRule type="duplicateValues" dxfId="20089" priority="23420"/>
    <cfRule type="duplicateValues" dxfId="20088" priority="23421"/>
    <cfRule type="duplicateValues" dxfId="20087" priority="23422"/>
    <cfRule type="duplicateValues" dxfId="20086" priority="23423"/>
    <cfRule type="duplicateValues" dxfId="20085" priority="23424"/>
    <cfRule type="duplicateValues" dxfId="20084" priority="23425"/>
    <cfRule type="duplicateValues" dxfId="20083" priority="23426"/>
    <cfRule type="duplicateValues" dxfId="20082" priority="23427"/>
    <cfRule type="duplicateValues" dxfId="20081" priority="23428"/>
    <cfRule type="duplicateValues" dxfId="20080" priority="23429"/>
    <cfRule type="duplicateValues" dxfId="20079" priority="23430"/>
    <cfRule type="duplicateValues" dxfId="20078" priority="23431"/>
    <cfRule type="duplicateValues" dxfId="20077" priority="23432"/>
    <cfRule type="duplicateValues" dxfId="20076" priority="23433"/>
    <cfRule type="duplicateValues" dxfId="20075" priority="23434"/>
    <cfRule type="duplicateValues" dxfId="20074" priority="23435"/>
    <cfRule type="duplicateValues" dxfId="20073" priority="23436"/>
    <cfRule type="duplicateValues" dxfId="20072" priority="23437"/>
    <cfRule type="duplicateValues" dxfId="20071" priority="23438"/>
    <cfRule type="duplicateValues" dxfId="20070" priority="23439"/>
    <cfRule type="duplicateValues" dxfId="20069" priority="23440"/>
    <cfRule type="duplicateValues" dxfId="20068" priority="23441"/>
    <cfRule type="duplicateValues" dxfId="20067" priority="23442"/>
    <cfRule type="duplicateValues" dxfId="20066" priority="23443"/>
    <cfRule type="duplicateValues" dxfId="20065" priority="23444"/>
    <cfRule type="duplicateValues" dxfId="20064" priority="23445"/>
    <cfRule type="duplicateValues" dxfId="20063" priority="23446"/>
    <cfRule type="duplicateValues" dxfId="20062" priority="23447"/>
    <cfRule type="duplicateValues" dxfId="20061" priority="23448"/>
    <cfRule type="duplicateValues" dxfId="20060" priority="23449"/>
    <cfRule type="duplicateValues" dxfId="20059" priority="23450"/>
    <cfRule type="duplicateValues" dxfId="20058" priority="23451"/>
    <cfRule type="duplicateValues" dxfId="20057" priority="23452"/>
    <cfRule type="duplicateValues" dxfId="20056" priority="23453"/>
    <cfRule type="duplicateValues" dxfId="20055" priority="23454"/>
    <cfRule type="duplicateValues" dxfId="20054" priority="23455"/>
    <cfRule type="duplicateValues" dxfId="20053" priority="23456"/>
    <cfRule type="duplicateValues" dxfId="20052" priority="23457"/>
    <cfRule type="duplicateValues" dxfId="20051" priority="23458"/>
    <cfRule type="duplicateValues" dxfId="20050" priority="23459"/>
    <cfRule type="duplicateValues" dxfId="20049" priority="23460"/>
    <cfRule type="duplicateValues" dxfId="20048" priority="23461"/>
    <cfRule type="duplicateValues" dxfId="20047" priority="23462"/>
    <cfRule type="duplicateValues" dxfId="20046" priority="23463"/>
    <cfRule type="duplicateValues" dxfId="20045" priority="23464"/>
    <cfRule type="duplicateValues" dxfId="20044" priority="23465"/>
    <cfRule type="duplicateValues" dxfId="20043" priority="23466"/>
    <cfRule type="duplicateValues" dxfId="20042" priority="23467"/>
    <cfRule type="duplicateValues" dxfId="20041" priority="23468"/>
    <cfRule type="duplicateValues" dxfId="20040" priority="23469"/>
    <cfRule type="duplicateValues" dxfId="20039" priority="23470"/>
    <cfRule type="duplicateValues" dxfId="20038" priority="23471"/>
    <cfRule type="duplicateValues" dxfId="20037" priority="23472"/>
    <cfRule type="duplicateValues" dxfId="20036" priority="23473"/>
    <cfRule type="duplicateValues" dxfId="20035" priority="23474"/>
    <cfRule type="duplicateValues" dxfId="20034" priority="23475"/>
    <cfRule type="duplicateValues" dxfId="20033" priority="23476"/>
    <cfRule type="duplicateValues" dxfId="20032" priority="23477"/>
    <cfRule type="duplicateValues" dxfId="20031" priority="23478"/>
    <cfRule type="duplicateValues" dxfId="20030" priority="23479"/>
    <cfRule type="duplicateValues" dxfId="20029" priority="23480"/>
    <cfRule type="duplicateValues" dxfId="20028" priority="23481"/>
    <cfRule type="duplicateValues" dxfId="20027" priority="23482"/>
    <cfRule type="duplicateValues" dxfId="20026" priority="23483"/>
    <cfRule type="duplicateValues" dxfId="20025" priority="23484"/>
    <cfRule type="duplicateValues" dxfId="20024" priority="23485"/>
    <cfRule type="duplicateValues" dxfId="20023" priority="23486"/>
    <cfRule type="duplicateValues" dxfId="20022" priority="23487"/>
    <cfRule type="duplicateValues" dxfId="20021" priority="23488"/>
    <cfRule type="duplicateValues" dxfId="20020" priority="23489"/>
    <cfRule type="duplicateValues" dxfId="20019" priority="23490"/>
    <cfRule type="duplicateValues" dxfId="20018" priority="23491"/>
    <cfRule type="duplicateValues" dxfId="20017" priority="23492"/>
    <cfRule type="duplicateValues" dxfId="20016" priority="23493"/>
    <cfRule type="duplicateValues" dxfId="20015" priority="23494"/>
    <cfRule type="duplicateValues" dxfId="20014" priority="23495"/>
    <cfRule type="duplicateValues" dxfId="20013" priority="23496"/>
    <cfRule type="duplicateValues" dxfId="20012" priority="23497"/>
    <cfRule type="duplicateValues" dxfId="20011" priority="23498"/>
    <cfRule type="duplicateValues" dxfId="20010" priority="23499"/>
    <cfRule type="duplicateValues" dxfId="20009" priority="23500"/>
    <cfRule type="duplicateValues" dxfId="20008" priority="23501"/>
    <cfRule type="duplicateValues" dxfId="20007" priority="23502"/>
    <cfRule type="duplicateValues" dxfId="20006" priority="23503"/>
    <cfRule type="duplicateValues" dxfId="20005" priority="23504"/>
    <cfRule type="duplicateValues" dxfId="20004" priority="23505"/>
    <cfRule type="duplicateValues" dxfId="20003" priority="23506"/>
    <cfRule type="duplicateValues" dxfId="20002" priority="23507"/>
    <cfRule type="duplicateValues" dxfId="20001" priority="23508"/>
    <cfRule type="duplicateValues" dxfId="20000" priority="23509"/>
    <cfRule type="duplicateValues" dxfId="19999" priority="23510"/>
    <cfRule type="duplicateValues" dxfId="19998" priority="23511"/>
    <cfRule type="duplicateValues" dxfId="19997" priority="23512"/>
    <cfRule type="duplicateValues" dxfId="19996" priority="23513"/>
    <cfRule type="duplicateValues" dxfId="19995" priority="23514"/>
    <cfRule type="duplicateValues" dxfId="19994" priority="23515"/>
    <cfRule type="duplicateValues" dxfId="19993" priority="23516"/>
    <cfRule type="duplicateValues" dxfId="19992" priority="23517"/>
    <cfRule type="duplicateValues" dxfId="19991" priority="23518"/>
    <cfRule type="duplicateValues" dxfId="19990" priority="23519"/>
    <cfRule type="duplicateValues" dxfId="19989" priority="23520"/>
    <cfRule type="duplicateValues" dxfId="19988" priority="23521"/>
    <cfRule type="duplicateValues" dxfId="19987" priority="23522"/>
    <cfRule type="duplicateValues" dxfId="19986" priority="23523"/>
    <cfRule type="duplicateValues" dxfId="19985" priority="23524"/>
    <cfRule type="duplicateValues" dxfId="19984" priority="23525"/>
    <cfRule type="duplicateValues" dxfId="19983" priority="23526"/>
    <cfRule type="duplicateValues" dxfId="19982" priority="23527"/>
    <cfRule type="duplicateValues" dxfId="19981" priority="23528"/>
    <cfRule type="duplicateValues" dxfId="19980" priority="23529"/>
    <cfRule type="duplicateValues" dxfId="19979" priority="23530"/>
    <cfRule type="duplicateValues" dxfId="19978" priority="23531"/>
    <cfRule type="duplicateValues" dxfId="19977" priority="23532"/>
    <cfRule type="duplicateValues" dxfId="19976" priority="23533"/>
    <cfRule type="duplicateValues" dxfId="19975" priority="23534"/>
    <cfRule type="duplicateValues" dxfId="19974" priority="23535"/>
    <cfRule type="duplicateValues" dxfId="19973" priority="23536"/>
    <cfRule type="duplicateValues" dxfId="19972" priority="23537"/>
    <cfRule type="duplicateValues" dxfId="19971" priority="23538"/>
    <cfRule type="duplicateValues" dxfId="19970" priority="23539"/>
    <cfRule type="duplicateValues" dxfId="19969" priority="23540"/>
    <cfRule type="duplicateValues" dxfId="19968" priority="23541"/>
    <cfRule type="duplicateValues" dxfId="19967" priority="23542"/>
    <cfRule type="duplicateValues" dxfId="19966" priority="23543"/>
    <cfRule type="duplicateValues" dxfId="19965" priority="23544"/>
    <cfRule type="duplicateValues" dxfId="19964" priority="23545"/>
    <cfRule type="duplicateValues" dxfId="19963" priority="23546"/>
    <cfRule type="duplicateValues" dxfId="19962" priority="23547"/>
    <cfRule type="duplicateValues" dxfId="19961" priority="23548"/>
    <cfRule type="duplicateValues" dxfId="19960" priority="23549"/>
    <cfRule type="duplicateValues" dxfId="19959" priority="23550"/>
    <cfRule type="duplicateValues" dxfId="19958" priority="23551"/>
    <cfRule type="duplicateValues" dxfId="19957" priority="23552"/>
    <cfRule type="duplicateValues" dxfId="19956" priority="23553"/>
    <cfRule type="duplicateValues" dxfId="19955" priority="23554"/>
    <cfRule type="duplicateValues" dxfId="19954" priority="23555"/>
    <cfRule type="duplicateValues" dxfId="19953" priority="23556"/>
    <cfRule type="duplicateValues" dxfId="19952" priority="23557"/>
    <cfRule type="duplicateValues" dxfId="19951" priority="23558"/>
    <cfRule type="duplicateValues" dxfId="19950" priority="23559"/>
    <cfRule type="duplicateValues" dxfId="19949" priority="23560"/>
    <cfRule type="duplicateValues" dxfId="19948" priority="23561"/>
    <cfRule type="duplicateValues" dxfId="19947" priority="23562"/>
    <cfRule type="duplicateValues" dxfId="19946" priority="23563"/>
    <cfRule type="duplicateValues" dxfId="19945" priority="23564"/>
    <cfRule type="duplicateValues" dxfId="19944" priority="23565"/>
    <cfRule type="duplicateValues" dxfId="19943" priority="23566"/>
    <cfRule type="duplicateValues" dxfId="19942" priority="23567"/>
    <cfRule type="duplicateValues" dxfId="19941" priority="23568"/>
    <cfRule type="duplicateValues" dxfId="19940" priority="23569"/>
    <cfRule type="duplicateValues" dxfId="19939" priority="23570"/>
    <cfRule type="duplicateValues" dxfId="19938" priority="23571"/>
    <cfRule type="duplicateValues" dxfId="19937" priority="23572"/>
    <cfRule type="duplicateValues" dxfId="19936" priority="23573"/>
    <cfRule type="duplicateValues" dxfId="19935" priority="23574"/>
    <cfRule type="duplicateValues" dxfId="19934" priority="23575"/>
    <cfRule type="duplicateValues" dxfId="19933" priority="23576"/>
    <cfRule type="duplicateValues" dxfId="19932" priority="23577"/>
    <cfRule type="duplicateValues" dxfId="19931" priority="23578"/>
    <cfRule type="duplicateValues" dxfId="19930" priority="23579"/>
    <cfRule type="duplicateValues" dxfId="19929" priority="23580"/>
    <cfRule type="duplicateValues" dxfId="19928" priority="23581"/>
    <cfRule type="duplicateValues" dxfId="19927" priority="23582"/>
    <cfRule type="duplicateValues" dxfId="19926" priority="23583"/>
    <cfRule type="duplicateValues" dxfId="19925" priority="23584"/>
    <cfRule type="duplicateValues" dxfId="19924" priority="23585"/>
    <cfRule type="duplicateValues" dxfId="19923" priority="23586"/>
    <cfRule type="duplicateValues" dxfId="19922" priority="23587"/>
    <cfRule type="duplicateValues" dxfId="19921" priority="23588"/>
    <cfRule type="duplicateValues" dxfId="19920" priority="23589"/>
    <cfRule type="duplicateValues" dxfId="19919" priority="23590"/>
    <cfRule type="duplicateValues" dxfId="19918" priority="23591"/>
    <cfRule type="duplicateValues" dxfId="19917" priority="23592"/>
    <cfRule type="duplicateValues" dxfId="19916" priority="23593"/>
    <cfRule type="duplicateValues" dxfId="19915" priority="23594"/>
    <cfRule type="duplicateValues" dxfId="19914" priority="23595"/>
    <cfRule type="duplicateValues" dxfId="19913" priority="23596"/>
    <cfRule type="duplicateValues" dxfId="19912" priority="23597"/>
    <cfRule type="duplicateValues" dxfId="19911" priority="23598"/>
    <cfRule type="duplicateValues" dxfId="19910" priority="23599"/>
    <cfRule type="duplicateValues" dxfId="19909" priority="23600"/>
    <cfRule type="duplicateValues" dxfId="19908" priority="23601"/>
    <cfRule type="duplicateValues" dxfId="19907" priority="23602"/>
    <cfRule type="duplicateValues" dxfId="19906" priority="23603"/>
    <cfRule type="duplicateValues" dxfId="19905" priority="23604"/>
    <cfRule type="duplicateValues" dxfId="19904" priority="23605"/>
    <cfRule type="duplicateValues" dxfId="19903" priority="23606"/>
    <cfRule type="duplicateValues" dxfId="19902" priority="23607"/>
    <cfRule type="duplicateValues" dxfId="19901" priority="23608"/>
    <cfRule type="duplicateValues" dxfId="19900" priority="23609"/>
    <cfRule type="duplicateValues" dxfId="19899" priority="23610"/>
    <cfRule type="duplicateValues" dxfId="19898" priority="23611"/>
    <cfRule type="duplicateValues" dxfId="19897" priority="23612"/>
    <cfRule type="duplicateValues" dxfId="19896" priority="23613"/>
    <cfRule type="duplicateValues" dxfId="19895" priority="23614"/>
    <cfRule type="duplicateValues" dxfId="19894" priority="23615"/>
    <cfRule type="duplicateValues" dxfId="19893" priority="23616"/>
    <cfRule type="duplicateValues" dxfId="19892" priority="23617"/>
    <cfRule type="duplicateValues" dxfId="19891" priority="23618"/>
    <cfRule type="duplicateValues" dxfId="19890" priority="23619"/>
    <cfRule type="duplicateValues" dxfId="19889" priority="23620"/>
    <cfRule type="duplicateValues" dxfId="19888" priority="23621"/>
    <cfRule type="duplicateValues" dxfId="19887" priority="23622"/>
    <cfRule type="duplicateValues" dxfId="19886" priority="23623"/>
    <cfRule type="duplicateValues" dxfId="19885" priority="23624"/>
    <cfRule type="duplicateValues" dxfId="19884" priority="23625"/>
    <cfRule type="duplicateValues" dxfId="19883" priority="23626"/>
    <cfRule type="duplicateValues" dxfId="19882" priority="23627"/>
    <cfRule type="duplicateValues" dxfId="19881" priority="23628"/>
    <cfRule type="duplicateValues" dxfId="19880" priority="23629"/>
    <cfRule type="duplicateValues" dxfId="19879" priority="23630"/>
    <cfRule type="duplicateValues" dxfId="19878" priority="23631"/>
    <cfRule type="duplicateValues" dxfId="19877" priority="23632"/>
    <cfRule type="duplicateValues" dxfId="19876" priority="23633"/>
    <cfRule type="duplicateValues" dxfId="19875" priority="23634"/>
    <cfRule type="duplicateValues" dxfId="19874" priority="23635"/>
    <cfRule type="duplicateValues" dxfId="19873" priority="23636"/>
  </conditionalFormatting>
  <conditionalFormatting sqref="C230">
    <cfRule type="duplicateValues" dxfId="19872" priority="22947"/>
    <cfRule type="duplicateValues" dxfId="19871" priority="22948"/>
    <cfRule type="duplicateValues" dxfId="19870" priority="22949"/>
    <cfRule type="duplicateValues" dxfId="19869" priority="22950"/>
    <cfRule type="duplicateValues" dxfId="19868" priority="22951"/>
    <cfRule type="duplicateValues" dxfId="19867" priority="22952"/>
    <cfRule type="duplicateValues" dxfId="19866" priority="22953"/>
    <cfRule type="duplicateValues" dxfId="19865" priority="22954"/>
    <cfRule type="duplicateValues" dxfId="19864" priority="22955"/>
    <cfRule type="duplicateValues" dxfId="19863" priority="22956"/>
    <cfRule type="duplicateValues" dxfId="19862" priority="22957"/>
    <cfRule type="duplicateValues" dxfId="19861" priority="22958"/>
    <cfRule type="duplicateValues" dxfId="19860" priority="22959"/>
    <cfRule type="duplicateValues" dxfId="19859" priority="22960"/>
    <cfRule type="duplicateValues" dxfId="19858" priority="22961"/>
    <cfRule type="duplicateValues" dxfId="19857" priority="22962"/>
    <cfRule type="duplicateValues" dxfId="19856" priority="22963"/>
    <cfRule type="duplicateValues" dxfId="19855" priority="22964"/>
    <cfRule type="duplicateValues" dxfId="19854" priority="22965"/>
    <cfRule type="duplicateValues" dxfId="19853" priority="22966"/>
    <cfRule type="duplicateValues" dxfId="19852" priority="22967"/>
    <cfRule type="duplicateValues" dxfId="19851" priority="22968"/>
    <cfRule type="duplicateValues" dxfId="19850" priority="22969"/>
    <cfRule type="duplicateValues" dxfId="19849" priority="22970"/>
    <cfRule type="duplicateValues" dxfId="19848" priority="22971"/>
    <cfRule type="duplicateValues" dxfId="19847" priority="22972"/>
    <cfRule type="duplicateValues" dxfId="19846" priority="22973"/>
    <cfRule type="duplicateValues" dxfId="19845" priority="22974"/>
    <cfRule type="duplicateValues" dxfId="19844" priority="22975"/>
    <cfRule type="duplicateValues" dxfId="19843" priority="22976"/>
    <cfRule type="duplicateValues" dxfId="19842" priority="22977"/>
    <cfRule type="duplicateValues" dxfId="19841" priority="22978"/>
    <cfRule type="duplicateValues" dxfId="19840" priority="22979"/>
    <cfRule type="duplicateValues" dxfId="19839" priority="22980"/>
    <cfRule type="duplicateValues" dxfId="19838" priority="22981"/>
    <cfRule type="duplicateValues" dxfId="19837" priority="22982"/>
    <cfRule type="duplicateValues" dxfId="19836" priority="22983"/>
    <cfRule type="duplicateValues" dxfId="19835" priority="22984"/>
    <cfRule type="duplicateValues" dxfId="19834" priority="22985"/>
    <cfRule type="duplicateValues" dxfId="19833" priority="22986"/>
    <cfRule type="duplicateValues" dxfId="19832" priority="22987"/>
    <cfRule type="duplicateValues" dxfId="19831" priority="22988"/>
    <cfRule type="duplicateValues" dxfId="19830" priority="22989"/>
    <cfRule type="duplicateValues" dxfId="19829" priority="22990"/>
    <cfRule type="duplicateValues" dxfId="19828" priority="22991"/>
    <cfRule type="duplicateValues" dxfId="19827" priority="22992"/>
    <cfRule type="duplicateValues" dxfId="19826" priority="22993"/>
    <cfRule type="duplicateValues" dxfId="19825" priority="22994"/>
    <cfRule type="duplicateValues" dxfId="19824" priority="22995"/>
    <cfRule type="duplicateValues" dxfId="19823" priority="22996"/>
    <cfRule type="duplicateValues" dxfId="19822" priority="22997"/>
    <cfRule type="duplicateValues" dxfId="19821" priority="22998"/>
    <cfRule type="duplicateValues" dxfId="19820" priority="22999"/>
    <cfRule type="duplicateValues" dxfId="19819" priority="23000"/>
    <cfRule type="duplicateValues" dxfId="19818" priority="23001"/>
    <cfRule type="duplicateValues" dxfId="19817" priority="23002"/>
    <cfRule type="duplicateValues" dxfId="19816" priority="23003"/>
    <cfRule type="duplicateValues" dxfId="19815" priority="23004"/>
    <cfRule type="duplicateValues" dxfId="19814" priority="23005"/>
    <cfRule type="duplicateValues" dxfId="19813" priority="23006"/>
    <cfRule type="duplicateValues" dxfId="19812" priority="23007"/>
    <cfRule type="duplicateValues" dxfId="19811" priority="23008"/>
    <cfRule type="duplicateValues" dxfId="19810" priority="23009"/>
    <cfRule type="duplicateValues" dxfId="19809" priority="23010"/>
    <cfRule type="duplicateValues" dxfId="19808" priority="23011"/>
    <cfRule type="duplicateValues" dxfId="19807" priority="23012"/>
    <cfRule type="duplicateValues" dxfId="19806" priority="23013"/>
    <cfRule type="duplicateValues" dxfId="19805" priority="23014"/>
    <cfRule type="duplicateValues" dxfId="19804" priority="23015"/>
    <cfRule type="duplicateValues" dxfId="19803" priority="23016"/>
    <cfRule type="duplicateValues" dxfId="19802" priority="23017"/>
    <cfRule type="duplicateValues" dxfId="19801" priority="23018"/>
    <cfRule type="duplicateValues" dxfId="19800" priority="23019"/>
    <cfRule type="duplicateValues" dxfId="19799" priority="23020"/>
    <cfRule type="duplicateValues" dxfId="19798" priority="23021"/>
    <cfRule type="duplicateValues" dxfId="19797" priority="23022"/>
    <cfRule type="duplicateValues" dxfId="19796" priority="23023"/>
    <cfRule type="duplicateValues" dxfId="19795" priority="23024"/>
    <cfRule type="duplicateValues" dxfId="19794" priority="23025"/>
    <cfRule type="duplicateValues" dxfId="19793" priority="23026"/>
    <cfRule type="duplicateValues" dxfId="19792" priority="23027"/>
    <cfRule type="duplicateValues" dxfId="19791" priority="23028"/>
    <cfRule type="duplicateValues" dxfId="19790" priority="23029"/>
    <cfRule type="duplicateValues" dxfId="19789" priority="23030"/>
    <cfRule type="duplicateValues" dxfId="19788" priority="23031"/>
    <cfRule type="duplicateValues" dxfId="19787" priority="23032"/>
    <cfRule type="duplicateValues" dxfId="19786" priority="23033"/>
    <cfRule type="duplicateValues" dxfId="19785" priority="23034"/>
    <cfRule type="duplicateValues" dxfId="19784" priority="23035"/>
    <cfRule type="duplicateValues" dxfId="19783" priority="23036"/>
    <cfRule type="duplicateValues" dxfId="19782" priority="23037"/>
    <cfRule type="duplicateValues" dxfId="19781" priority="23038"/>
    <cfRule type="duplicateValues" dxfId="19780" priority="23039"/>
    <cfRule type="duplicateValues" dxfId="19779" priority="23040"/>
    <cfRule type="duplicateValues" dxfId="19778" priority="23041"/>
    <cfRule type="duplicateValues" dxfId="19777" priority="23042"/>
    <cfRule type="duplicateValues" dxfId="19776" priority="23043"/>
    <cfRule type="duplicateValues" dxfId="19775" priority="23044"/>
    <cfRule type="duplicateValues" dxfId="19774" priority="23045"/>
    <cfRule type="duplicateValues" dxfId="19773" priority="23046"/>
    <cfRule type="duplicateValues" dxfId="19772" priority="23047"/>
    <cfRule type="duplicateValues" dxfId="19771" priority="23048"/>
    <cfRule type="duplicateValues" dxfId="19770" priority="23049"/>
    <cfRule type="duplicateValues" dxfId="19769" priority="23050"/>
    <cfRule type="duplicateValues" dxfId="19768" priority="23051"/>
    <cfRule type="duplicateValues" dxfId="19767" priority="23052"/>
    <cfRule type="duplicateValues" dxfId="19766" priority="23053"/>
    <cfRule type="duplicateValues" dxfId="19765" priority="23054"/>
    <cfRule type="duplicateValues" dxfId="19764" priority="23055"/>
    <cfRule type="duplicateValues" dxfId="19763" priority="23056"/>
    <cfRule type="duplicateValues" dxfId="19762" priority="23057"/>
    <cfRule type="duplicateValues" dxfId="19761" priority="23058"/>
    <cfRule type="duplicateValues" dxfId="19760" priority="23059"/>
    <cfRule type="duplicateValues" dxfId="19759" priority="23060"/>
    <cfRule type="duplicateValues" dxfId="19758" priority="23061"/>
    <cfRule type="duplicateValues" dxfId="19757" priority="23062"/>
    <cfRule type="duplicateValues" dxfId="19756" priority="23063"/>
    <cfRule type="duplicateValues" dxfId="19755" priority="23064"/>
    <cfRule type="duplicateValues" dxfId="19754" priority="23065"/>
    <cfRule type="duplicateValues" dxfId="19753" priority="23066"/>
    <cfRule type="duplicateValues" dxfId="19752" priority="23067"/>
    <cfRule type="duplicateValues" dxfId="19751" priority="23068"/>
    <cfRule type="duplicateValues" dxfId="19750" priority="23069"/>
    <cfRule type="duplicateValues" dxfId="19749" priority="23070"/>
    <cfRule type="duplicateValues" dxfId="19748" priority="23071"/>
    <cfRule type="duplicateValues" dxfId="19747" priority="23072"/>
    <cfRule type="duplicateValues" dxfId="19746" priority="23073"/>
    <cfRule type="duplicateValues" dxfId="19745" priority="23074"/>
    <cfRule type="duplicateValues" dxfId="19744" priority="23075"/>
    <cfRule type="duplicateValues" dxfId="19743" priority="23076"/>
    <cfRule type="duplicateValues" dxfId="19742" priority="23077"/>
    <cfRule type="duplicateValues" dxfId="19741" priority="23078"/>
    <cfRule type="duplicateValues" dxfId="19740" priority="23079"/>
    <cfRule type="duplicateValues" dxfId="19739" priority="23080"/>
    <cfRule type="duplicateValues" dxfId="19738" priority="23081"/>
    <cfRule type="duplicateValues" dxfId="19737" priority="23082"/>
    <cfRule type="duplicateValues" dxfId="19736" priority="23083"/>
    <cfRule type="duplicateValues" dxfId="19735" priority="23084"/>
    <cfRule type="duplicateValues" dxfId="19734" priority="23085"/>
    <cfRule type="duplicateValues" dxfId="19733" priority="23086"/>
    <cfRule type="duplicateValues" dxfId="19732" priority="23087"/>
    <cfRule type="duplicateValues" dxfId="19731" priority="23088"/>
    <cfRule type="duplicateValues" dxfId="19730" priority="23089"/>
    <cfRule type="duplicateValues" dxfId="19729" priority="23090"/>
    <cfRule type="duplicateValues" dxfId="19728" priority="23091"/>
    <cfRule type="duplicateValues" dxfId="19727" priority="23092"/>
    <cfRule type="duplicateValues" dxfId="19726" priority="23093"/>
    <cfRule type="duplicateValues" dxfId="19725" priority="23094"/>
    <cfRule type="duplicateValues" dxfId="19724" priority="23095"/>
    <cfRule type="duplicateValues" dxfId="19723" priority="23096"/>
    <cfRule type="duplicateValues" dxfId="19722" priority="23097"/>
    <cfRule type="duplicateValues" dxfId="19721" priority="23098"/>
    <cfRule type="duplicateValues" dxfId="19720" priority="23099"/>
    <cfRule type="duplicateValues" dxfId="19719" priority="23100"/>
    <cfRule type="duplicateValues" dxfId="19718" priority="23101"/>
    <cfRule type="duplicateValues" dxfId="19717" priority="23102"/>
    <cfRule type="duplicateValues" dxfId="19716" priority="23103"/>
    <cfRule type="duplicateValues" dxfId="19715" priority="23104"/>
    <cfRule type="duplicateValues" dxfId="19714" priority="23105"/>
    <cfRule type="duplicateValues" dxfId="19713" priority="23106"/>
    <cfRule type="duplicateValues" dxfId="19712" priority="23107"/>
    <cfRule type="duplicateValues" dxfId="19711" priority="23108"/>
    <cfRule type="duplicateValues" dxfId="19710" priority="23109"/>
    <cfRule type="duplicateValues" dxfId="19709" priority="23110"/>
    <cfRule type="duplicateValues" dxfId="19708" priority="23111"/>
    <cfRule type="duplicateValues" dxfId="19707" priority="23112"/>
    <cfRule type="duplicateValues" dxfId="19706" priority="23113"/>
    <cfRule type="duplicateValues" dxfId="19705" priority="23114"/>
    <cfRule type="duplicateValues" dxfId="19704" priority="23115"/>
    <cfRule type="duplicateValues" dxfId="19703" priority="23116"/>
    <cfRule type="duplicateValues" dxfId="19702" priority="23117"/>
    <cfRule type="duplicateValues" dxfId="19701" priority="23118"/>
    <cfRule type="duplicateValues" dxfId="19700" priority="23119"/>
    <cfRule type="duplicateValues" dxfId="19699" priority="23120"/>
    <cfRule type="duplicateValues" dxfId="19698" priority="23121"/>
    <cfRule type="duplicateValues" dxfId="19697" priority="23122"/>
    <cfRule type="duplicateValues" dxfId="19696" priority="23123"/>
    <cfRule type="duplicateValues" dxfId="19695" priority="23124"/>
    <cfRule type="duplicateValues" dxfId="19694" priority="23125"/>
    <cfRule type="duplicateValues" dxfId="19693" priority="23126"/>
    <cfRule type="duplicateValues" dxfId="19692" priority="23127"/>
    <cfRule type="duplicateValues" dxfId="19691" priority="23128"/>
    <cfRule type="duplicateValues" dxfId="19690" priority="23129"/>
    <cfRule type="duplicateValues" dxfId="19689" priority="23130"/>
    <cfRule type="duplicateValues" dxfId="19688" priority="23131"/>
    <cfRule type="duplicateValues" dxfId="19687" priority="23132"/>
    <cfRule type="duplicateValues" dxfId="19686" priority="23133"/>
    <cfRule type="duplicateValues" dxfId="19685" priority="23134"/>
    <cfRule type="duplicateValues" dxfId="19684" priority="23135"/>
    <cfRule type="duplicateValues" dxfId="19683" priority="23136"/>
    <cfRule type="duplicateValues" dxfId="19682" priority="23137"/>
    <cfRule type="duplicateValues" dxfId="19681" priority="23138"/>
    <cfRule type="duplicateValues" dxfId="19680" priority="23139"/>
    <cfRule type="duplicateValues" dxfId="19679" priority="23140"/>
    <cfRule type="duplicateValues" dxfId="19678" priority="23141"/>
    <cfRule type="duplicateValues" dxfId="19677" priority="23142"/>
    <cfRule type="duplicateValues" dxfId="19676" priority="23143"/>
    <cfRule type="duplicateValues" dxfId="19675" priority="23144"/>
    <cfRule type="duplicateValues" dxfId="19674" priority="23145"/>
    <cfRule type="duplicateValues" dxfId="19673" priority="23146"/>
    <cfRule type="duplicateValues" dxfId="19672" priority="23147"/>
    <cfRule type="duplicateValues" dxfId="19671" priority="23148"/>
    <cfRule type="duplicateValues" dxfId="19670" priority="23149"/>
    <cfRule type="duplicateValues" dxfId="19669" priority="23150"/>
    <cfRule type="duplicateValues" dxfId="19668" priority="23151"/>
    <cfRule type="duplicateValues" dxfId="19667" priority="23152"/>
    <cfRule type="duplicateValues" dxfId="19666" priority="23153"/>
    <cfRule type="duplicateValues" dxfId="19665" priority="23154"/>
    <cfRule type="duplicateValues" dxfId="19664" priority="23155"/>
    <cfRule type="duplicateValues" dxfId="19663" priority="23156"/>
    <cfRule type="duplicateValues" dxfId="19662" priority="23157"/>
    <cfRule type="duplicateValues" dxfId="19661" priority="23158"/>
    <cfRule type="duplicateValues" dxfId="19660" priority="23159"/>
    <cfRule type="duplicateValues" dxfId="19659" priority="23160"/>
    <cfRule type="duplicateValues" dxfId="19658" priority="23161"/>
    <cfRule type="duplicateValues" dxfId="19657" priority="23162"/>
    <cfRule type="duplicateValues" dxfId="19656" priority="23163"/>
    <cfRule type="duplicateValues" dxfId="19655" priority="23164"/>
    <cfRule type="duplicateValues" dxfId="19654" priority="23165"/>
    <cfRule type="duplicateValues" dxfId="19653" priority="23166"/>
    <cfRule type="duplicateValues" dxfId="19652" priority="23167"/>
    <cfRule type="duplicateValues" dxfId="19651" priority="23168"/>
    <cfRule type="duplicateValues" dxfId="19650" priority="23169"/>
    <cfRule type="duplicateValues" dxfId="19649" priority="23170"/>
    <cfRule type="duplicateValues" dxfId="19648" priority="23171"/>
    <cfRule type="duplicateValues" dxfId="19647" priority="23172"/>
    <cfRule type="duplicateValues" dxfId="19646" priority="23173"/>
    <cfRule type="duplicateValues" dxfId="19645" priority="23174"/>
    <cfRule type="duplicateValues" dxfId="19644" priority="23175"/>
    <cfRule type="duplicateValues" dxfId="19643" priority="23176"/>
    <cfRule type="duplicateValues" dxfId="19642" priority="23177"/>
    <cfRule type="duplicateValues" dxfId="19641" priority="23178"/>
    <cfRule type="duplicateValues" dxfId="19640" priority="23179"/>
    <cfRule type="duplicateValues" dxfId="19639" priority="23180"/>
    <cfRule type="duplicateValues" dxfId="19638" priority="23181"/>
    <cfRule type="duplicateValues" dxfId="19637" priority="23182"/>
    <cfRule type="duplicateValues" dxfId="19636" priority="23183"/>
    <cfRule type="duplicateValues" dxfId="19635" priority="23184"/>
    <cfRule type="duplicateValues" dxfId="19634" priority="23185"/>
    <cfRule type="duplicateValues" dxfId="19633" priority="23186"/>
    <cfRule type="duplicateValues" dxfId="19632" priority="23187"/>
    <cfRule type="duplicateValues" dxfId="19631" priority="23188"/>
    <cfRule type="duplicateValues" dxfId="19630" priority="23189"/>
    <cfRule type="duplicateValues" dxfId="19629" priority="23190"/>
    <cfRule type="duplicateValues" dxfId="19628" priority="23191"/>
    <cfRule type="duplicateValues" dxfId="19627" priority="23192"/>
    <cfRule type="duplicateValues" dxfId="19626" priority="23193"/>
    <cfRule type="duplicateValues" dxfId="19625" priority="23194"/>
    <cfRule type="duplicateValues" dxfId="19624" priority="23195"/>
    <cfRule type="duplicateValues" dxfId="19623" priority="23196"/>
    <cfRule type="duplicateValues" dxfId="19622" priority="23197"/>
    <cfRule type="duplicateValues" dxfId="19621" priority="23198"/>
    <cfRule type="duplicateValues" dxfId="19620" priority="23199"/>
    <cfRule type="duplicateValues" dxfId="19619" priority="23200"/>
    <cfRule type="duplicateValues" dxfId="19618" priority="23201"/>
    <cfRule type="duplicateValues" dxfId="19617" priority="23202"/>
    <cfRule type="duplicateValues" dxfId="19616" priority="23203"/>
    <cfRule type="duplicateValues" dxfId="19615" priority="23204"/>
    <cfRule type="duplicateValues" dxfId="19614" priority="23205"/>
    <cfRule type="duplicateValues" dxfId="19613" priority="23206"/>
    <cfRule type="duplicateValues" dxfId="19612" priority="23207"/>
    <cfRule type="duplicateValues" dxfId="19611" priority="23208"/>
    <cfRule type="duplicateValues" dxfId="19610" priority="23209"/>
    <cfRule type="duplicateValues" dxfId="19609" priority="23210"/>
    <cfRule type="duplicateValues" dxfId="19608" priority="23211"/>
    <cfRule type="duplicateValues" dxfId="19607" priority="23212"/>
    <cfRule type="duplicateValues" dxfId="19606" priority="23213"/>
    <cfRule type="duplicateValues" dxfId="19605" priority="23214"/>
    <cfRule type="duplicateValues" dxfId="19604" priority="23215"/>
    <cfRule type="duplicateValues" dxfId="19603" priority="23216"/>
    <cfRule type="duplicateValues" dxfId="19602" priority="23217"/>
    <cfRule type="duplicateValues" dxfId="19601" priority="23218"/>
    <cfRule type="duplicateValues" dxfId="19600" priority="23219"/>
    <cfRule type="duplicateValues" dxfId="19599" priority="23220"/>
    <cfRule type="duplicateValues" dxfId="19598" priority="23221"/>
    <cfRule type="duplicateValues" dxfId="19597" priority="23222"/>
    <cfRule type="duplicateValues" dxfId="19596" priority="23223"/>
    <cfRule type="duplicateValues" dxfId="19595" priority="23224"/>
    <cfRule type="duplicateValues" dxfId="19594" priority="23225"/>
    <cfRule type="duplicateValues" dxfId="19593" priority="23226"/>
    <cfRule type="duplicateValues" dxfId="19592" priority="23227"/>
    <cfRule type="duplicateValues" dxfId="19591" priority="23228"/>
    <cfRule type="duplicateValues" dxfId="19590" priority="23229"/>
    <cfRule type="duplicateValues" dxfId="19589" priority="23230"/>
    <cfRule type="duplicateValues" dxfId="19588" priority="23231"/>
    <cfRule type="duplicateValues" dxfId="19587" priority="23232"/>
    <cfRule type="duplicateValues" dxfId="19586" priority="23233"/>
    <cfRule type="duplicateValues" dxfId="19585" priority="23234"/>
    <cfRule type="duplicateValues" dxfId="19584" priority="23235"/>
    <cfRule type="duplicateValues" dxfId="19583" priority="23236"/>
    <cfRule type="duplicateValues" dxfId="19582" priority="23237"/>
    <cfRule type="duplicateValues" dxfId="19581" priority="23238"/>
    <cfRule type="duplicateValues" dxfId="19580" priority="23239"/>
    <cfRule type="duplicateValues" dxfId="19579" priority="23240"/>
    <cfRule type="duplicateValues" dxfId="19578" priority="23241"/>
    <cfRule type="duplicateValues" dxfId="19577" priority="23242"/>
    <cfRule type="duplicateValues" dxfId="19576" priority="23243"/>
    <cfRule type="duplicateValues" dxfId="19575" priority="23244"/>
    <cfRule type="duplicateValues" dxfId="19574" priority="23245"/>
    <cfRule type="duplicateValues" dxfId="19573" priority="23246"/>
    <cfRule type="duplicateValues" dxfId="19572" priority="23247"/>
    <cfRule type="duplicateValues" dxfId="19571" priority="23248"/>
    <cfRule type="duplicateValues" dxfId="19570" priority="23249"/>
    <cfRule type="duplicateValues" dxfId="19569" priority="23250"/>
    <cfRule type="duplicateValues" dxfId="19568" priority="23251"/>
    <cfRule type="duplicateValues" dxfId="19567" priority="23252"/>
    <cfRule type="duplicateValues" dxfId="19566" priority="23253"/>
    <cfRule type="duplicateValues" dxfId="19565" priority="23254"/>
    <cfRule type="duplicateValues" dxfId="19564" priority="23255"/>
    <cfRule type="duplicateValues" dxfId="19563" priority="23256"/>
    <cfRule type="duplicateValues" dxfId="19562" priority="23257"/>
    <cfRule type="duplicateValues" dxfId="19561" priority="23258"/>
    <cfRule type="duplicateValues" dxfId="19560" priority="23259"/>
    <cfRule type="duplicateValues" dxfId="19559" priority="23260"/>
    <cfRule type="duplicateValues" dxfId="19558" priority="23261"/>
    <cfRule type="duplicateValues" dxfId="19557" priority="23262"/>
    <cfRule type="duplicateValues" dxfId="19556" priority="23263"/>
    <cfRule type="duplicateValues" dxfId="19555" priority="23264"/>
    <cfRule type="duplicateValues" dxfId="19554" priority="23265"/>
    <cfRule type="duplicateValues" dxfId="19553" priority="23266"/>
    <cfRule type="duplicateValues" dxfId="19552" priority="23267"/>
    <cfRule type="duplicateValues" dxfId="19551" priority="23268"/>
    <cfRule type="duplicateValues" dxfId="19550" priority="23269"/>
    <cfRule type="duplicateValues" dxfId="19549" priority="23270"/>
    <cfRule type="duplicateValues" dxfId="19548" priority="23271"/>
    <cfRule type="duplicateValues" dxfId="19547" priority="23272"/>
    <cfRule type="duplicateValues" dxfId="19546" priority="23273"/>
    <cfRule type="duplicateValues" dxfId="19545" priority="23274"/>
    <cfRule type="duplicateValues" dxfId="19544" priority="23275"/>
    <cfRule type="duplicateValues" dxfId="19543" priority="23276"/>
    <cfRule type="duplicateValues" dxfId="19542" priority="23277"/>
    <cfRule type="duplicateValues" dxfId="19541" priority="23278"/>
    <cfRule type="duplicateValues" dxfId="19540" priority="23279"/>
    <cfRule type="duplicateValues" dxfId="19539" priority="23280"/>
    <cfRule type="duplicateValues" dxfId="19538" priority="23281"/>
    <cfRule type="duplicateValues" dxfId="19537" priority="23282"/>
    <cfRule type="duplicateValues" dxfId="19536" priority="23283"/>
    <cfRule type="duplicateValues" dxfId="19535" priority="23284"/>
    <cfRule type="duplicateValues" dxfId="19534" priority="23285"/>
    <cfRule type="duplicateValues" dxfId="19533" priority="23286"/>
    <cfRule type="duplicateValues" dxfId="19532" priority="23287"/>
    <cfRule type="duplicateValues" dxfId="19531" priority="23288"/>
    <cfRule type="duplicateValues" dxfId="19530" priority="23289"/>
    <cfRule type="duplicateValues" dxfId="19529" priority="23290"/>
    <cfRule type="duplicateValues" dxfId="19528" priority="23291"/>
  </conditionalFormatting>
  <conditionalFormatting sqref="C231">
    <cfRule type="duplicateValues" dxfId="19527" priority="22602"/>
    <cfRule type="duplicateValues" dxfId="19526" priority="22603"/>
    <cfRule type="duplicateValues" dxfId="19525" priority="22604"/>
    <cfRule type="duplicateValues" dxfId="19524" priority="22605"/>
    <cfRule type="duplicateValues" dxfId="19523" priority="22606"/>
    <cfRule type="duplicateValues" dxfId="19522" priority="22607"/>
    <cfRule type="duplicateValues" dxfId="19521" priority="22608"/>
    <cfRule type="duplicateValues" dxfId="19520" priority="22609"/>
    <cfRule type="duplicateValues" dxfId="19519" priority="22610"/>
    <cfRule type="duplicateValues" dxfId="19518" priority="22611"/>
    <cfRule type="duplicateValues" dxfId="19517" priority="22612"/>
    <cfRule type="duplicateValues" dxfId="19516" priority="22613"/>
    <cfRule type="duplicateValues" dxfId="19515" priority="22614"/>
    <cfRule type="duplicateValues" dxfId="19514" priority="22615"/>
    <cfRule type="duplicateValues" dxfId="19513" priority="22616"/>
    <cfRule type="duplicateValues" dxfId="19512" priority="22617"/>
    <cfRule type="duplicateValues" dxfId="19511" priority="22618"/>
    <cfRule type="duplicateValues" dxfId="19510" priority="22619"/>
    <cfRule type="duplicateValues" dxfId="19509" priority="22620"/>
    <cfRule type="duplicateValues" dxfId="19508" priority="22621"/>
    <cfRule type="duplicateValues" dxfId="19507" priority="22622"/>
    <cfRule type="duplicateValues" dxfId="19506" priority="22623"/>
    <cfRule type="duplicateValues" dxfId="19505" priority="22624"/>
    <cfRule type="duplicateValues" dxfId="19504" priority="22625"/>
    <cfRule type="duplicateValues" dxfId="19503" priority="22626"/>
    <cfRule type="duplicateValues" dxfId="19502" priority="22627"/>
    <cfRule type="duplicateValues" dxfId="19501" priority="22628"/>
    <cfRule type="duplicateValues" dxfId="19500" priority="22629"/>
    <cfRule type="duplicateValues" dxfId="19499" priority="22630"/>
    <cfRule type="duplicateValues" dxfId="19498" priority="22631"/>
    <cfRule type="duplicateValues" dxfId="19497" priority="22632"/>
    <cfRule type="duplicateValues" dxfId="19496" priority="22633"/>
    <cfRule type="duplicateValues" dxfId="19495" priority="22634"/>
    <cfRule type="duplicateValues" dxfId="19494" priority="22635"/>
    <cfRule type="duplicateValues" dxfId="19493" priority="22636"/>
    <cfRule type="duplicateValues" dxfId="19492" priority="22637"/>
    <cfRule type="duplicateValues" dxfId="19491" priority="22638"/>
    <cfRule type="duplicateValues" dxfId="19490" priority="22639"/>
    <cfRule type="duplicateValues" dxfId="19489" priority="22640"/>
    <cfRule type="duplicateValues" dxfId="19488" priority="22641"/>
    <cfRule type="duplicateValues" dxfId="19487" priority="22642"/>
    <cfRule type="duplicateValues" dxfId="19486" priority="22643"/>
    <cfRule type="duplicateValues" dxfId="19485" priority="22644"/>
    <cfRule type="duplicateValues" dxfId="19484" priority="22645"/>
    <cfRule type="duplicateValues" dxfId="19483" priority="22646"/>
    <cfRule type="duplicateValues" dxfId="19482" priority="22647"/>
    <cfRule type="duplicateValues" dxfId="19481" priority="22648"/>
    <cfRule type="duplicateValues" dxfId="19480" priority="22649"/>
    <cfRule type="duplicateValues" dxfId="19479" priority="22650"/>
    <cfRule type="duplicateValues" dxfId="19478" priority="22651"/>
    <cfRule type="duplicateValues" dxfId="19477" priority="22652"/>
    <cfRule type="duplicateValues" dxfId="19476" priority="22653"/>
    <cfRule type="duplicateValues" dxfId="19475" priority="22654"/>
    <cfRule type="duplicateValues" dxfId="19474" priority="22655"/>
    <cfRule type="duplicateValues" dxfId="19473" priority="22656"/>
    <cfRule type="duplicateValues" dxfId="19472" priority="22657"/>
    <cfRule type="duplicateValues" dxfId="19471" priority="22658"/>
    <cfRule type="duplicateValues" dxfId="19470" priority="22659"/>
    <cfRule type="duplicateValues" dxfId="19469" priority="22660"/>
    <cfRule type="duplicateValues" dxfId="19468" priority="22661"/>
    <cfRule type="duplicateValues" dxfId="19467" priority="22662"/>
    <cfRule type="duplicateValues" dxfId="19466" priority="22663"/>
    <cfRule type="duplicateValues" dxfId="19465" priority="22664"/>
    <cfRule type="duplicateValues" dxfId="19464" priority="22665"/>
    <cfRule type="duplicateValues" dxfId="19463" priority="22666"/>
    <cfRule type="duplicateValues" dxfId="19462" priority="22667"/>
    <cfRule type="duplicateValues" dxfId="19461" priority="22668"/>
    <cfRule type="duplicateValues" dxfId="19460" priority="22669"/>
    <cfRule type="duplicateValues" dxfId="19459" priority="22670"/>
    <cfRule type="duplicateValues" dxfId="19458" priority="22671"/>
    <cfRule type="duplicateValues" dxfId="19457" priority="22672"/>
    <cfRule type="duplicateValues" dxfId="19456" priority="22673"/>
    <cfRule type="duplicateValues" dxfId="19455" priority="22674"/>
    <cfRule type="duplicateValues" dxfId="19454" priority="22675"/>
    <cfRule type="duplicateValues" dxfId="19453" priority="22676"/>
    <cfRule type="duplicateValues" dxfId="19452" priority="22677"/>
    <cfRule type="duplicateValues" dxfId="19451" priority="22678"/>
    <cfRule type="duplicateValues" dxfId="19450" priority="22679"/>
    <cfRule type="duplicateValues" dxfId="19449" priority="22680"/>
    <cfRule type="duplicateValues" dxfId="19448" priority="22681"/>
    <cfRule type="duplicateValues" dxfId="19447" priority="22682"/>
    <cfRule type="duplicateValues" dxfId="19446" priority="22683"/>
    <cfRule type="duplicateValues" dxfId="19445" priority="22684"/>
    <cfRule type="duplicateValues" dxfId="19444" priority="22685"/>
    <cfRule type="duplicateValues" dxfId="19443" priority="22686"/>
    <cfRule type="duplicateValues" dxfId="19442" priority="22687"/>
    <cfRule type="duplicateValues" dxfId="19441" priority="22688"/>
    <cfRule type="duplicateValues" dxfId="19440" priority="22689"/>
    <cfRule type="duplicateValues" dxfId="19439" priority="22690"/>
    <cfRule type="duplicateValues" dxfId="19438" priority="22691"/>
    <cfRule type="duplicateValues" dxfId="19437" priority="22692"/>
    <cfRule type="duplicateValues" dxfId="19436" priority="22693"/>
    <cfRule type="duplicateValues" dxfId="19435" priority="22694"/>
    <cfRule type="duplicateValues" dxfId="19434" priority="22695"/>
    <cfRule type="duplicateValues" dxfId="19433" priority="22696"/>
    <cfRule type="duplicateValues" dxfId="19432" priority="22697"/>
    <cfRule type="duplicateValues" dxfId="19431" priority="22698"/>
    <cfRule type="duplicateValues" dxfId="19430" priority="22699"/>
    <cfRule type="duplicateValues" dxfId="19429" priority="22700"/>
    <cfRule type="duplicateValues" dxfId="19428" priority="22701"/>
    <cfRule type="duplicateValues" dxfId="19427" priority="22702"/>
    <cfRule type="duplicateValues" dxfId="19426" priority="22703"/>
    <cfRule type="duplicateValues" dxfId="19425" priority="22704"/>
    <cfRule type="duplicateValues" dxfId="19424" priority="22705"/>
    <cfRule type="duplicateValues" dxfId="19423" priority="22706"/>
    <cfRule type="duplicateValues" dxfId="19422" priority="22707"/>
    <cfRule type="duplicateValues" dxfId="19421" priority="22708"/>
    <cfRule type="duplicateValues" dxfId="19420" priority="22709"/>
    <cfRule type="duplicateValues" dxfId="19419" priority="22710"/>
    <cfRule type="duplicateValues" dxfId="19418" priority="22711"/>
    <cfRule type="duplicateValues" dxfId="19417" priority="22712"/>
    <cfRule type="duplicateValues" dxfId="19416" priority="22713"/>
    <cfRule type="duplicateValues" dxfId="19415" priority="22714"/>
    <cfRule type="duplicateValues" dxfId="19414" priority="22715"/>
    <cfRule type="duplicateValues" dxfId="19413" priority="22716"/>
    <cfRule type="duplicateValues" dxfId="19412" priority="22717"/>
    <cfRule type="duplicateValues" dxfId="19411" priority="22718"/>
    <cfRule type="duplicateValues" dxfId="19410" priority="22719"/>
    <cfRule type="duplicateValues" dxfId="19409" priority="22720"/>
    <cfRule type="duplicateValues" dxfId="19408" priority="22721"/>
    <cfRule type="duplicateValues" dxfId="19407" priority="22722"/>
    <cfRule type="duplicateValues" dxfId="19406" priority="22723"/>
    <cfRule type="duplicateValues" dxfId="19405" priority="22724"/>
    <cfRule type="duplicateValues" dxfId="19404" priority="22725"/>
    <cfRule type="duplicateValues" dxfId="19403" priority="22726"/>
    <cfRule type="duplicateValues" dxfId="19402" priority="22727"/>
    <cfRule type="duplicateValues" dxfId="19401" priority="22728"/>
    <cfRule type="duplicateValues" dxfId="19400" priority="22729"/>
    <cfRule type="duplicateValues" dxfId="19399" priority="22730"/>
    <cfRule type="duplicateValues" dxfId="19398" priority="22731"/>
    <cfRule type="duplicateValues" dxfId="19397" priority="22732"/>
    <cfRule type="duplicateValues" dxfId="19396" priority="22733"/>
    <cfRule type="duplicateValues" dxfId="19395" priority="22734"/>
    <cfRule type="duplicateValues" dxfId="19394" priority="22735"/>
    <cfRule type="duplicateValues" dxfId="19393" priority="22736"/>
    <cfRule type="duplicateValues" dxfId="19392" priority="22737"/>
    <cfRule type="duplicateValues" dxfId="19391" priority="22738"/>
    <cfRule type="duplicateValues" dxfId="19390" priority="22739"/>
    <cfRule type="duplicateValues" dxfId="19389" priority="22740"/>
    <cfRule type="duplicateValues" dxfId="19388" priority="22741"/>
    <cfRule type="duplicateValues" dxfId="19387" priority="22742"/>
    <cfRule type="duplicateValues" dxfId="19386" priority="22743"/>
    <cfRule type="duplicateValues" dxfId="19385" priority="22744"/>
    <cfRule type="duplicateValues" dxfId="19384" priority="22745"/>
    <cfRule type="duplicateValues" dxfId="19383" priority="22746"/>
    <cfRule type="duplicateValues" dxfId="19382" priority="22747"/>
    <cfRule type="duplicateValues" dxfId="19381" priority="22748"/>
    <cfRule type="duplicateValues" dxfId="19380" priority="22749"/>
    <cfRule type="duplicateValues" dxfId="19379" priority="22750"/>
    <cfRule type="duplicateValues" dxfId="19378" priority="22751"/>
    <cfRule type="duplicateValues" dxfId="19377" priority="22752"/>
    <cfRule type="duplicateValues" dxfId="19376" priority="22753"/>
    <cfRule type="duplicateValues" dxfId="19375" priority="22754"/>
    <cfRule type="duplicateValues" dxfId="19374" priority="22755"/>
    <cfRule type="duplicateValues" dxfId="19373" priority="22756"/>
    <cfRule type="duplicateValues" dxfId="19372" priority="22757"/>
    <cfRule type="duplicateValues" dxfId="19371" priority="22758"/>
    <cfRule type="duplicateValues" dxfId="19370" priority="22759"/>
    <cfRule type="duplicateValues" dxfId="19369" priority="22760"/>
    <cfRule type="duplicateValues" dxfId="19368" priority="22761"/>
    <cfRule type="duplicateValues" dxfId="19367" priority="22762"/>
    <cfRule type="duplicateValues" dxfId="19366" priority="22763"/>
    <cfRule type="duplicateValues" dxfId="19365" priority="22764"/>
    <cfRule type="duplicateValues" dxfId="19364" priority="22765"/>
    <cfRule type="duplicateValues" dxfId="19363" priority="22766"/>
    <cfRule type="duplicateValues" dxfId="19362" priority="22767"/>
    <cfRule type="duplicateValues" dxfId="19361" priority="22768"/>
    <cfRule type="duplicateValues" dxfId="19360" priority="22769"/>
    <cfRule type="duplicateValues" dxfId="19359" priority="22770"/>
    <cfRule type="duplicateValues" dxfId="19358" priority="22771"/>
    <cfRule type="duplicateValues" dxfId="19357" priority="22772"/>
    <cfRule type="duplicateValues" dxfId="19356" priority="22773"/>
    <cfRule type="duplicateValues" dxfId="19355" priority="22774"/>
    <cfRule type="duplicateValues" dxfId="19354" priority="22775"/>
    <cfRule type="duplicateValues" dxfId="19353" priority="22776"/>
    <cfRule type="duplicateValues" dxfId="19352" priority="22777"/>
    <cfRule type="duplicateValues" dxfId="19351" priority="22778"/>
    <cfRule type="duplicateValues" dxfId="19350" priority="22779"/>
    <cfRule type="duplicateValues" dxfId="19349" priority="22780"/>
    <cfRule type="duplicateValues" dxfId="19348" priority="22781"/>
    <cfRule type="duplicateValues" dxfId="19347" priority="22782"/>
    <cfRule type="duplicateValues" dxfId="19346" priority="22783"/>
    <cfRule type="duplicateValues" dxfId="19345" priority="22784"/>
    <cfRule type="duplicateValues" dxfId="19344" priority="22785"/>
    <cfRule type="duplicateValues" dxfId="19343" priority="22786"/>
    <cfRule type="duplicateValues" dxfId="19342" priority="22787"/>
    <cfRule type="duplicateValues" dxfId="19341" priority="22788"/>
    <cfRule type="duplicateValues" dxfId="19340" priority="22789"/>
    <cfRule type="duplicateValues" dxfId="19339" priority="22790"/>
    <cfRule type="duplicateValues" dxfId="19338" priority="22791"/>
    <cfRule type="duplicateValues" dxfId="19337" priority="22792"/>
    <cfRule type="duplicateValues" dxfId="19336" priority="22793"/>
    <cfRule type="duplicateValues" dxfId="19335" priority="22794"/>
    <cfRule type="duplicateValues" dxfId="19334" priority="22795"/>
    <cfRule type="duplicateValues" dxfId="19333" priority="22796"/>
    <cfRule type="duplicateValues" dxfId="19332" priority="22797"/>
    <cfRule type="duplicateValues" dxfId="19331" priority="22798"/>
    <cfRule type="duplicateValues" dxfId="19330" priority="22799"/>
    <cfRule type="duplicateValues" dxfId="19329" priority="22800"/>
    <cfRule type="duplicateValues" dxfId="19328" priority="22801"/>
    <cfRule type="duplicateValues" dxfId="19327" priority="22802"/>
    <cfRule type="duplicateValues" dxfId="19326" priority="22803"/>
    <cfRule type="duplicateValues" dxfId="19325" priority="22804"/>
    <cfRule type="duplicateValues" dxfId="19324" priority="22805"/>
    <cfRule type="duplicateValues" dxfId="19323" priority="22806"/>
    <cfRule type="duplicateValues" dxfId="19322" priority="22807"/>
    <cfRule type="duplicateValues" dxfId="19321" priority="22808"/>
    <cfRule type="duplicateValues" dxfId="19320" priority="22809"/>
    <cfRule type="duplicateValues" dxfId="19319" priority="22810"/>
    <cfRule type="duplicateValues" dxfId="19318" priority="22811"/>
    <cfRule type="duplicateValues" dxfId="19317" priority="22812"/>
    <cfRule type="duplicateValues" dxfId="19316" priority="22813"/>
    <cfRule type="duplicateValues" dxfId="19315" priority="22814"/>
    <cfRule type="duplicateValues" dxfId="19314" priority="22815"/>
    <cfRule type="duplicateValues" dxfId="19313" priority="22816"/>
    <cfRule type="duplicateValues" dxfId="19312" priority="22817"/>
    <cfRule type="duplicateValues" dxfId="19311" priority="22818"/>
    <cfRule type="duplicateValues" dxfId="19310" priority="22819"/>
    <cfRule type="duplicateValues" dxfId="19309" priority="22820"/>
    <cfRule type="duplicateValues" dxfId="19308" priority="22821"/>
    <cfRule type="duplicateValues" dxfId="19307" priority="22822"/>
    <cfRule type="duplicateValues" dxfId="19306" priority="22823"/>
    <cfRule type="duplicateValues" dxfId="19305" priority="22824"/>
    <cfRule type="duplicateValues" dxfId="19304" priority="22825"/>
    <cfRule type="duplicateValues" dxfId="19303" priority="22826"/>
    <cfRule type="duplicateValues" dxfId="19302" priority="22827"/>
    <cfRule type="duplicateValues" dxfId="19301" priority="22828"/>
    <cfRule type="duplicateValues" dxfId="19300" priority="22829"/>
    <cfRule type="duplicateValues" dxfId="19299" priority="22830"/>
    <cfRule type="duplicateValues" dxfId="19298" priority="22831"/>
    <cfRule type="duplicateValues" dxfId="19297" priority="22832"/>
    <cfRule type="duplicateValues" dxfId="19296" priority="22833"/>
    <cfRule type="duplicateValues" dxfId="19295" priority="22834"/>
    <cfRule type="duplicateValues" dxfId="19294" priority="22835"/>
    <cfRule type="duplicateValues" dxfId="19293" priority="22836"/>
    <cfRule type="duplicateValues" dxfId="19292" priority="22837"/>
    <cfRule type="duplicateValues" dxfId="19291" priority="22838"/>
    <cfRule type="duplicateValues" dxfId="19290" priority="22839"/>
    <cfRule type="duplicateValues" dxfId="19289" priority="22840"/>
    <cfRule type="duplicateValues" dxfId="19288" priority="22841"/>
    <cfRule type="duplicateValues" dxfId="19287" priority="22842"/>
    <cfRule type="duplicateValues" dxfId="19286" priority="22843"/>
    <cfRule type="duplicateValues" dxfId="19285" priority="22844"/>
    <cfRule type="duplicateValues" dxfId="19284" priority="22845"/>
    <cfRule type="duplicateValues" dxfId="19283" priority="22846"/>
    <cfRule type="duplicateValues" dxfId="19282" priority="22847"/>
    <cfRule type="duplicateValues" dxfId="19281" priority="22848"/>
    <cfRule type="duplicateValues" dxfId="19280" priority="22849"/>
    <cfRule type="duplicateValues" dxfId="19279" priority="22850"/>
    <cfRule type="duplicateValues" dxfId="19278" priority="22851"/>
    <cfRule type="duplicateValues" dxfId="19277" priority="22852"/>
    <cfRule type="duplicateValues" dxfId="19276" priority="22853"/>
    <cfRule type="duplicateValues" dxfId="19275" priority="22854"/>
    <cfRule type="duplicateValues" dxfId="19274" priority="22855"/>
    <cfRule type="duplicateValues" dxfId="19273" priority="22856"/>
    <cfRule type="duplicateValues" dxfId="19272" priority="22857"/>
    <cfRule type="duplicateValues" dxfId="19271" priority="22858"/>
    <cfRule type="duplicateValues" dxfId="19270" priority="22859"/>
    <cfRule type="duplicateValues" dxfId="19269" priority="22860"/>
    <cfRule type="duplicateValues" dxfId="19268" priority="22861"/>
    <cfRule type="duplicateValues" dxfId="19267" priority="22862"/>
    <cfRule type="duplicateValues" dxfId="19266" priority="22863"/>
    <cfRule type="duplicateValues" dxfId="19265" priority="22864"/>
    <cfRule type="duplicateValues" dxfId="19264" priority="22865"/>
    <cfRule type="duplicateValues" dxfId="19263" priority="22866"/>
    <cfRule type="duplicateValues" dxfId="19262" priority="22867"/>
    <cfRule type="duplicateValues" dxfId="19261" priority="22868"/>
    <cfRule type="duplicateValues" dxfId="19260" priority="22869"/>
    <cfRule type="duplicateValues" dxfId="19259" priority="22870"/>
    <cfRule type="duplicateValues" dxfId="19258" priority="22871"/>
    <cfRule type="duplicateValues" dxfId="19257" priority="22872"/>
    <cfRule type="duplicateValues" dxfId="19256" priority="22873"/>
    <cfRule type="duplicateValues" dxfId="19255" priority="22874"/>
    <cfRule type="duplicateValues" dxfId="19254" priority="22875"/>
    <cfRule type="duplicateValues" dxfId="19253" priority="22876"/>
    <cfRule type="duplicateValues" dxfId="19252" priority="22877"/>
    <cfRule type="duplicateValues" dxfId="19251" priority="22878"/>
    <cfRule type="duplicateValues" dxfId="19250" priority="22879"/>
    <cfRule type="duplicateValues" dxfId="19249" priority="22880"/>
    <cfRule type="duplicateValues" dxfId="19248" priority="22881"/>
    <cfRule type="duplicateValues" dxfId="19247" priority="22882"/>
    <cfRule type="duplicateValues" dxfId="19246" priority="22883"/>
    <cfRule type="duplicateValues" dxfId="19245" priority="22884"/>
    <cfRule type="duplicateValues" dxfId="19244" priority="22885"/>
    <cfRule type="duplicateValues" dxfId="19243" priority="22886"/>
    <cfRule type="duplicateValues" dxfId="19242" priority="22887"/>
    <cfRule type="duplicateValues" dxfId="19241" priority="22888"/>
    <cfRule type="duplicateValues" dxfId="19240" priority="22889"/>
    <cfRule type="duplicateValues" dxfId="19239" priority="22890"/>
    <cfRule type="duplicateValues" dxfId="19238" priority="22891"/>
    <cfRule type="duplicateValues" dxfId="19237" priority="22892"/>
    <cfRule type="duplicateValues" dxfId="19236" priority="22893"/>
    <cfRule type="duplicateValues" dxfId="19235" priority="22894"/>
    <cfRule type="duplicateValues" dxfId="19234" priority="22895"/>
    <cfRule type="duplicateValues" dxfId="19233" priority="22896"/>
    <cfRule type="duplicateValues" dxfId="19232" priority="22897"/>
    <cfRule type="duplicateValues" dxfId="19231" priority="22898"/>
    <cfRule type="duplicateValues" dxfId="19230" priority="22899"/>
    <cfRule type="duplicateValues" dxfId="19229" priority="22900"/>
    <cfRule type="duplicateValues" dxfId="19228" priority="22901"/>
    <cfRule type="duplicateValues" dxfId="19227" priority="22902"/>
    <cfRule type="duplicateValues" dxfId="19226" priority="22903"/>
    <cfRule type="duplicateValues" dxfId="19225" priority="22904"/>
    <cfRule type="duplicateValues" dxfId="19224" priority="22905"/>
    <cfRule type="duplicateValues" dxfId="19223" priority="22906"/>
    <cfRule type="duplicateValues" dxfId="19222" priority="22907"/>
    <cfRule type="duplicateValues" dxfId="19221" priority="22908"/>
    <cfRule type="duplicateValues" dxfId="19220" priority="22909"/>
    <cfRule type="duplicateValues" dxfId="19219" priority="22910"/>
    <cfRule type="duplicateValues" dxfId="19218" priority="22911"/>
    <cfRule type="duplicateValues" dxfId="19217" priority="22912"/>
    <cfRule type="duplicateValues" dxfId="19216" priority="22913"/>
    <cfRule type="duplicateValues" dxfId="19215" priority="22914"/>
    <cfRule type="duplicateValues" dxfId="19214" priority="22915"/>
    <cfRule type="duplicateValues" dxfId="19213" priority="22916"/>
    <cfRule type="duplicateValues" dxfId="19212" priority="22917"/>
    <cfRule type="duplicateValues" dxfId="19211" priority="22918"/>
    <cfRule type="duplicateValues" dxfId="19210" priority="22919"/>
    <cfRule type="duplicateValues" dxfId="19209" priority="22920"/>
    <cfRule type="duplicateValues" dxfId="19208" priority="22921"/>
    <cfRule type="duplicateValues" dxfId="19207" priority="22922"/>
    <cfRule type="duplicateValues" dxfId="19206" priority="22923"/>
    <cfRule type="duplicateValues" dxfId="19205" priority="22924"/>
    <cfRule type="duplicateValues" dxfId="19204" priority="22925"/>
    <cfRule type="duplicateValues" dxfId="19203" priority="22926"/>
    <cfRule type="duplicateValues" dxfId="19202" priority="22927"/>
    <cfRule type="duplicateValues" dxfId="19201" priority="22928"/>
    <cfRule type="duplicateValues" dxfId="19200" priority="22929"/>
    <cfRule type="duplicateValues" dxfId="19199" priority="22930"/>
    <cfRule type="duplicateValues" dxfId="19198" priority="22931"/>
    <cfRule type="duplicateValues" dxfId="19197" priority="22932"/>
    <cfRule type="duplicateValues" dxfId="19196" priority="22933"/>
    <cfRule type="duplicateValues" dxfId="19195" priority="22934"/>
    <cfRule type="duplicateValues" dxfId="19194" priority="22935"/>
    <cfRule type="duplicateValues" dxfId="19193" priority="22936"/>
    <cfRule type="duplicateValues" dxfId="19192" priority="22937"/>
    <cfRule type="duplicateValues" dxfId="19191" priority="22938"/>
    <cfRule type="duplicateValues" dxfId="19190" priority="22939"/>
    <cfRule type="duplicateValues" dxfId="19189" priority="22940"/>
    <cfRule type="duplicateValues" dxfId="19188" priority="22941"/>
    <cfRule type="duplicateValues" dxfId="19187" priority="22942"/>
    <cfRule type="duplicateValues" dxfId="19186" priority="22943"/>
    <cfRule type="duplicateValues" dxfId="19185" priority="22944"/>
    <cfRule type="duplicateValues" dxfId="19184" priority="22945"/>
    <cfRule type="duplicateValues" dxfId="19183" priority="22946"/>
  </conditionalFormatting>
  <conditionalFormatting sqref="C232">
    <cfRule type="duplicateValues" dxfId="19182" priority="22257"/>
    <cfRule type="duplicateValues" dxfId="19181" priority="22258"/>
    <cfRule type="duplicateValues" dxfId="19180" priority="22259"/>
    <cfRule type="duplicateValues" dxfId="19179" priority="22260"/>
    <cfRule type="duplicateValues" dxfId="19178" priority="22261"/>
    <cfRule type="duplicateValues" dxfId="19177" priority="22262"/>
    <cfRule type="duplicateValues" dxfId="19176" priority="22263"/>
    <cfRule type="duplicateValues" dxfId="19175" priority="22264"/>
    <cfRule type="duplicateValues" dxfId="19174" priority="22265"/>
    <cfRule type="duplicateValues" dxfId="19173" priority="22266"/>
    <cfRule type="duplicateValues" dxfId="19172" priority="22267"/>
    <cfRule type="duplicateValues" dxfId="19171" priority="22268"/>
    <cfRule type="duplicateValues" dxfId="19170" priority="22269"/>
    <cfRule type="duplicateValues" dxfId="19169" priority="22270"/>
    <cfRule type="duplicateValues" dxfId="19168" priority="22271"/>
    <cfRule type="duplicateValues" dxfId="19167" priority="22272"/>
    <cfRule type="duplicateValues" dxfId="19166" priority="22273"/>
    <cfRule type="duplicateValues" dxfId="19165" priority="22274"/>
    <cfRule type="duplicateValues" dxfId="19164" priority="22275"/>
    <cfRule type="duplicateValues" dxfId="19163" priority="22276"/>
    <cfRule type="duplicateValues" dxfId="19162" priority="22277"/>
    <cfRule type="duplicateValues" dxfId="19161" priority="22278"/>
    <cfRule type="duplicateValues" dxfId="19160" priority="22279"/>
    <cfRule type="duplicateValues" dxfId="19159" priority="22280"/>
    <cfRule type="duplicateValues" dxfId="19158" priority="22281"/>
    <cfRule type="duplicateValues" dxfId="19157" priority="22282"/>
    <cfRule type="duplicateValues" dxfId="19156" priority="22283"/>
    <cfRule type="duplicateValues" dxfId="19155" priority="22284"/>
    <cfRule type="duplicateValues" dxfId="19154" priority="22285"/>
    <cfRule type="duplicateValues" dxfId="19153" priority="22286"/>
    <cfRule type="duplicateValues" dxfId="19152" priority="22287"/>
    <cfRule type="duplicateValues" dxfId="19151" priority="22288"/>
    <cfRule type="duplicateValues" dxfId="19150" priority="22289"/>
    <cfRule type="duplicateValues" dxfId="19149" priority="22290"/>
    <cfRule type="duplicateValues" dxfId="19148" priority="22291"/>
    <cfRule type="duplicateValues" dxfId="19147" priority="22292"/>
    <cfRule type="duplicateValues" dxfId="19146" priority="22293"/>
    <cfRule type="duplicateValues" dxfId="19145" priority="22294"/>
    <cfRule type="duplicateValues" dxfId="19144" priority="22295"/>
    <cfRule type="duplicateValues" dxfId="19143" priority="22296"/>
    <cfRule type="duplicateValues" dxfId="19142" priority="22297"/>
    <cfRule type="duplicateValues" dxfId="19141" priority="22298"/>
    <cfRule type="duplicateValues" dxfId="19140" priority="22299"/>
    <cfRule type="duplicateValues" dxfId="19139" priority="22300"/>
    <cfRule type="duplicateValues" dxfId="19138" priority="22301"/>
    <cfRule type="duplicateValues" dxfId="19137" priority="22302"/>
    <cfRule type="duplicateValues" dxfId="19136" priority="22303"/>
    <cfRule type="duplicateValues" dxfId="19135" priority="22304"/>
    <cfRule type="duplicateValues" dxfId="19134" priority="22305"/>
    <cfRule type="duplicateValues" dxfId="19133" priority="22306"/>
    <cfRule type="duplicateValues" dxfId="19132" priority="22307"/>
    <cfRule type="duplicateValues" dxfId="19131" priority="22308"/>
    <cfRule type="duplicateValues" dxfId="19130" priority="22309"/>
    <cfRule type="duplicateValues" dxfId="19129" priority="22310"/>
    <cfRule type="duplicateValues" dxfId="19128" priority="22311"/>
    <cfRule type="duplicateValues" dxfId="19127" priority="22312"/>
    <cfRule type="duplicateValues" dxfId="19126" priority="22313"/>
    <cfRule type="duplicateValues" dxfId="19125" priority="22314"/>
    <cfRule type="duplicateValues" dxfId="19124" priority="22315"/>
    <cfRule type="duplicateValues" dxfId="19123" priority="22316"/>
    <cfRule type="duplicateValues" dxfId="19122" priority="22317"/>
    <cfRule type="duplicateValues" dxfId="19121" priority="22318"/>
    <cfRule type="duplicateValues" dxfId="19120" priority="22319"/>
    <cfRule type="duplicateValues" dxfId="19119" priority="22320"/>
    <cfRule type="duplicateValues" dxfId="19118" priority="22321"/>
    <cfRule type="duplicateValues" dxfId="19117" priority="22322"/>
    <cfRule type="duplicateValues" dxfId="19116" priority="22323"/>
    <cfRule type="duplicateValues" dxfId="19115" priority="22324"/>
    <cfRule type="duplicateValues" dxfId="19114" priority="22325"/>
    <cfRule type="duplicateValues" dxfId="19113" priority="22326"/>
    <cfRule type="duplicateValues" dxfId="19112" priority="22327"/>
    <cfRule type="duplicateValues" dxfId="19111" priority="22328"/>
    <cfRule type="duplicateValues" dxfId="19110" priority="22329"/>
    <cfRule type="duplicateValues" dxfId="19109" priority="22330"/>
    <cfRule type="duplicateValues" dxfId="19108" priority="22331"/>
    <cfRule type="duplicateValues" dxfId="19107" priority="22332"/>
    <cfRule type="duplicateValues" dxfId="19106" priority="22333"/>
    <cfRule type="duplicateValues" dxfId="19105" priority="22334"/>
    <cfRule type="duplicateValues" dxfId="19104" priority="22335"/>
    <cfRule type="duplicateValues" dxfId="19103" priority="22336"/>
    <cfRule type="duplicateValues" dxfId="19102" priority="22337"/>
    <cfRule type="duplicateValues" dxfId="19101" priority="22338"/>
    <cfRule type="duplicateValues" dxfId="19100" priority="22339"/>
    <cfRule type="duplicateValues" dxfId="19099" priority="22340"/>
    <cfRule type="duplicateValues" dxfId="19098" priority="22341"/>
    <cfRule type="duplicateValues" dxfId="19097" priority="22342"/>
    <cfRule type="duplicateValues" dxfId="19096" priority="22343"/>
    <cfRule type="duplicateValues" dxfId="19095" priority="22344"/>
    <cfRule type="duplicateValues" dxfId="19094" priority="22345"/>
    <cfRule type="duplicateValues" dxfId="19093" priority="22346"/>
    <cfRule type="duplicateValues" dxfId="19092" priority="22347"/>
    <cfRule type="duplicateValues" dxfId="19091" priority="22348"/>
    <cfRule type="duplicateValues" dxfId="19090" priority="22349"/>
    <cfRule type="duplicateValues" dxfId="19089" priority="22350"/>
    <cfRule type="duplicateValues" dxfId="19088" priority="22351"/>
    <cfRule type="duplicateValues" dxfId="19087" priority="22352"/>
    <cfRule type="duplicateValues" dxfId="19086" priority="22353"/>
    <cfRule type="duplicateValues" dxfId="19085" priority="22354"/>
    <cfRule type="duplicateValues" dxfId="19084" priority="22355"/>
    <cfRule type="duplicateValues" dxfId="19083" priority="22356"/>
    <cfRule type="duplicateValues" dxfId="19082" priority="22357"/>
    <cfRule type="duplicateValues" dxfId="19081" priority="22358"/>
    <cfRule type="duplicateValues" dxfId="19080" priority="22359"/>
    <cfRule type="duplicateValues" dxfId="19079" priority="22360"/>
    <cfRule type="duplicateValues" dxfId="19078" priority="22361"/>
    <cfRule type="duplicateValues" dxfId="19077" priority="22362"/>
    <cfRule type="duplicateValues" dxfId="19076" priority="22363"/>
    <cfRule type="duplicateValues" dxfId="19075" priority="22364"/>
    <cfRule type="duplicateValues" dxfId="19074" priority="22365"/>
    <cfRule type="duplicateValues" dxfId="19073" priority="22366"/>
    <cfRule type="duplicateValues" dxfId="19072" priority="22367"/>
    <cfRule type="duplicateValues" dxfId="19071" priority="22368"/>
    <cfRule type="duplicateValues" dxfId="19070" priority="22369"/>
    <cfRule type="duplicateValues" dxfId="19069" priority="22370"/>
    <cfRule type="duplicateValues" dxfId="19068" priority="22371"/>
    <cfRule type="duplicateValues" dxfId="19067" priority="22372"/>
    <cfRule type="duplicateValues" dxfId="19066" priority="22373"/>
    <cfRule type="duplicateValues" dxfId="19065" priority="22374"/>
    <cfRule type="duplicateValues" dxfId="19064" priority="22375"/>
    <cfRule type="duplicateValues" dxfId="19063" priority="22376"/>
    <cfRule type="duplicateValues" dxfId="19062" priority="22377"/>
    <cfRule type="duplicateValues" dxfId="19061" priority="22378"/>
    <cfRule type="duplicateValues" dxfId="19060" priority="22379"/>
    <cfRule type="duplicateValues" dxfId="19059" priority="22380"/>
    <cfRule type="duplicateValues" dxfId="19058" priority="22381"/>
    <cfRule type="duplicateValues" dxfId="19057" priority="22382"/>
    <cfRule type="duplicateValues" dxfId="19056" priority="22383"/>
    <cfRule type="duplicateValues" dxfId="19055" priority="22384"/>
    <cfRule type="duplicateValues" dxfId="19054" priority="22385"/>
    <cfRule type="duplicateValues" dxfId="19053" priority="22386"/>
    <cfRule type="duplicateValues" dxfId="19052" priority="22387"/>
    <cfRule type="duplicateValues" dxfId="19051" priority="22388"/>
    <cfRule type="duplicateValues" dxfId="19050" priority="22389"/>
    <cfRule type="duplicateValues" dxfId="19049" priority="22390"/>
    <cfRule type="duplicateValues" dxfId="19048" priority="22391"/>
    <cfRule type="duplicateValues" dxfId="19047" priority="22392"/>
    <cfRule type="duplicateValues" dxfId="19046" priority="22393"/>
    <cfRule type="duplicateValues" dxfId="19045" priority="22394"/>
    <cfRule type="duplicateValues" dxfId="19044" priority="22395"/>
    <cfRule type="duplicateValues" dxfId="19043" priority="22396"/>
    <cfRule type="duplicateValues" dxfId="19042" priority="22397"/>
    <cfRule type="duplicateValues" dxfId="19041" priority="22398"/>
    <cfRule type="duplicateValues" dxfId="19040" priority="22399"/>
    <cfRule type="duplicateValues" dxfId="19039" priority="22400"/>
    <cfRule type="duplicateValues" dxfId="19038" priority="22401"/>
    <cfRule type="duplicateValues" dxfId="19037" priority="22402"/>
    <cfRule type="duplicateValues" dxfId="19036" priority="22403"/>
    <cfRule type="duplicateValues" dxfId="19035" priority="22404"/>
    <cfRule type="duplicateValues" dxfId="19034" priority="22405"/>
    <cfRule type="duplicateValues" dxfId="19033" priority="22406"/>
    <cfRule type="duplicateValues" dxfId="19032" priority="22407"/>
    <cfRule type="duplicateValues" dxfId="19031" priority="22408"/>
    <cfRule type="duplicateValues" dxfId="19030" priority="22409"/>
    <cfRule type="duplicateValues" dxfId="19029" priority="22410"/>
    <cfRule type="duplicateValues" dxfId="19028" priority="22411"/>
    <cfRule type="duplicateValues" dxfId="19027" priority="22412"/>
    <cfRule type="duplicateValues" dxfId="19026" priority="22413"/>
    <cfRule type="duplicateValues" dxfId="19025" priority="22414"/>
    <cfRule type="duplicateValues" dxfId="19024" priority="22415"/>
    <cfRule type="duplicateValues" dxfId="19023" priority="22416"/>
    <cfRule type="duplicateValues" dxfId="19022" priority="22417"/>
    <cfRule type="duplicateValues" dxfId="19021" priority="22418"/>
    <cfRule type="duplicateValues" dxfId="19020" priority="22419"/>
    <cfRule type="duplicateValues" dxfId="19019" priority="22420"/>
    <cfRule type="duplicateValues" dxfId="19018" priority="22421"/>
    <cfRule type="duplicateValues" dxfId="19017" priority="22422"/>
    <cfRule type="duplicateValues" dxfId="19016" priority="22423"/>
    <cfRule type="duplicateValues" dxfId="19015" priority="22424"/>
    <cfRule type="duplicateValues" dxfId="19014" priority="22425"/>
    <cfRule type="duplicateValues" dxfId="19013" priority="22426"/>
    <cfRule type="duplicateValues" dxfId="19012" priority="22427"/>
    <cfRule type="duplicateValues" dxfId="19011" priority="22428"/>
    <cfRule type="duplicateValues" dxfId="19010" priority="22429"/>
    <cfRule type="duplicateValues" dxfId="19009" priority="22430"/>
    <cfRule type="duplicateValues" dxfId="19008" priority="22431"/>
    <cfRule type="duplicateValues" dxfId="19007" priority="22432"/>
    <cfRule type="duplicateValues" dxfId="19006" priority="22433"/>
    <cfRule type="duplicateValues" dxfId="19005" priority="22434"/>
    <cfRule type="duplicateValues" dxfId="19004" priority="22435"/>
    <cfRule type="duplicateValues" dxfId="19003" priority="22436"/>
    <cfRule type="duplicateValues" dxfId="19002" priority="22437"/>
    <cfRule type="duplicateValues" dxfId="19001" priority="22438"/>
    <cfRule type="duplicateValues" dxfId="19000" priority="22439"/>
    <cfRule type="duplicateValues" dxfId="18999" priority="22440"/>
    <cfRule type="duplicateValues" dxfId="18998" priority="22441"/>
    <cfRule type="duplicateValues" dxfId="18997" priority="22442"/>
    <cfRule type="duplicateValues" dxfId="18996" priority="22443"/>
    <cfRule type="duplicateValues" dxfId="18995" priority="22444"/>
    <cfRule type="duplicateValues" dxfId="18994" priority="22445"/>
    <cfRule type="duplicateValues" dxfId="18993" priority="22446"/>
    <cfRule type="duplicateValues" dxfId="18992" priority="22447"/>
    <cfRule type="duplicateValues" dxfId="18991" priority="22448"/>
    <cfRule type="duplicateValues" dxfId="18990" priority="22449"/>
    <cfRule type="duplicateValues" dxfId="18989" priority="22450"/>
    <cfRule type="duplicateValues" dxfId="18988" priority="22451"/>
    <cfRule type="duplicateValues" dxfId="18987" priority="22452"/>
    <cfRule type="duplicateValues" dxfId="18986" priority="22453"/>
    <cfRule type="duplicateValues" dxfId="18985" priority="22454"/>
    <cfRule type="duplicateValues" dxfId="18984" priority="22455"/>
    <cfRule type="duplicateValues" dxfId="18983" priority="22456"/>
    <cfRule type="duplicateValues" dxfId="18982" priority="22457"/>
    <cfRule type="duplicateValues" dxfId="18981" priority="22458"/>
    <cfRule type="duplicateValues" dxfId="18980" priority="22459"/>
    <cfRule type="duplicateValues" dxfId="18979" priority="22460"/>
    <cfRule type="duplicateValues" dxfId="18978" priority="22461"/>
    <cfRule type="duplicateValues" dxfId="18977" priority="22462"/>
    <cfRule type="duplicateValues" dxfId="18976" priority="22463"/>
    <cfRule type="duplicateValues" dxfId="18975" priority="22464"/>
    <cfRule type="duplicateValues" dxfId="18974" priority="22465"/>
    <cfRule type="duplicateValues" dxfId="18973" priority="22466"/>
    <cfRule type="duplicateValues" dxfId="18972" priority="22467"/>
    <cfRule type="duplicateValues" dxfId="18971" priority="22468"/>
    <cfRule type="duplicateValues" dxfId="18970" priority="22469"/>
    <cfRule type="duplicateValues" dxfId="18969" priority="22470"/>
    <cfRule type="duplicateValues" dxfId="18968" priority="22471"/>
    <cfRule type="duplicateValues" dxfId="18967" priority="22472"/>
    <cfRule type="duplicateValues" dxfId="18966" priority="22473"/>
    <cfRule type="duplicateValues" dxfId="18965" priority="22474"/>
    <cfRule type="duplicateValues" dxfId="18964" priority="22475"/>
    <cfRule type="duplicateValues" dxfId="18963" priority="22476"/>
    <cfRule type="duplicateValues" dxfId="18962" priority="22477"/>
    <cfRule type="duplicateValues" dxfId="18961" priority="22478"/>
    <cfRule type="duplicateValues" dxfId="18960" priority="22479"/>
    <cfRule type="duplicateValues" dxfId="18959" priority="22480"/>
    <cfRule type="duplicateValues" dxfId="18958" priority="22481"/>
    <cfRule type="duplicateValues" dxfId="18957" priority="22482"/>
    <cfRule type="duplicateValues" dxfId="18956" priority="22483"/>
    <cfRule type="duplicateValues" dxfId="18955" priority="22484"/>
    <cfRule type="duplicateValues" dxfId="18954" priority="22485"/>
    <cfRule type="duplicateValues" dxfId="18953" priority="22486"/>
    <cfRule type="duplicateValues" dxfId="18952" priority="22487"/>
    <cfRule type="duplicateValues" dxfId="18951" priority="22488"/>
    <cfRule type="duplicateValues" dxfId="18950" priority="22489"/>
    <cfRule type="duplicateValues" dxfId="18949" priority="22490"/>
    <cfRule type="duplicateValues" dxfId="18948" priority="22491"/>
    <cfRule type="duplicateValues" dxfId="18947" priority="22492"/>
    <cfRule type="duplicateValues" dxfId="18946" priority="22493"/>
    <cfRule type="duplicateValues" dxfId="18945" priority="22494"/>
    <cfRule type="duplicateValues" dxfId="18944" priority="22495"/>
    <cfRule type="duplicateValues" dxfId="18943" priority="22496"/>
    <cfRule type="duplicateValues" dxfId="18942" priority="22497"/>
    <cfRule type="duplicateValues" dxfId="18941" priority="22498"/>
    <cfRule type="duplicateValues" dxfId="18940" priority="22499"/>
    <cfRule type="duplicateValues" dxfId="18939" priority="22500"/>
    <cfRule type="duplicateValues" dxfId="18938" priority="22501"/>
    <cfRule type="duplicateValues" dxfId="18937" priority="22502"/>
    <cfRule type="duplicateValues" dxfId="18936" priority="22503"/>
    <cfRule type="duplicateValues" dxfId="18935" priority="22504"/>
    <cfRule type="duplicateValues" dxfId="18934" priority="22505"/>
    <cfRule type="duplicateValues" dxfId="18933" priority="22506"/>
    <cfRule type="duplicateValues" dxfId="18932" priority="22507"/>
    <cfRule type="duplicateValues" dxfId="18931" priority="22508"/>
    <cfRule type="duplicateValues" dxfId="18930" priority="22509"/>
    <cfRule type="duplicateValues" dxfId="18929" priority="22510"/>
    <cfRule type="duplicateValues" dxfId="18928" priority="22511"/>
    <cfRule type="duplicateValues" dxfId="18927" priority="22512"/>
    <cfRule type="duplicateValues" dxfId="18926" priority="22513"/>
    <cfRule type="duplicateValues" dxfId="18925" priority="22514"/>
    <cfRule type="duplicateValues" dxfId="18924" priority="22515"/>
    <cfRule type="duplicateValues" dxfId="18923" priority="22516"/>
    <cfRule type="duplicateValues" dxfId="18922" priority="22517"/>
    <cfRule type="duplicateValues" dxfId="18921" priority="22518"/>
    <cfRule type="duplicateValues" dxfId="18920" priority="22519"/>
    <cfRule type="duplicateValues" dxfId="18919" priority="22520"/>
    <cfRule type="duplicateValues" dxfId="18918" priority="22521"/>
    <cfRule type="duplicateValues" dxfId="18917" priority="22522"/>
    <cfRule type="duplicateValues" dxfId="18916" priority="22523"/>
    <cfRule type="duplicateValues" dxfId="18915" priority="22524"/>
    <cfRule type="duplicateValues" dxfId="18914" priority="22525"/>
    <cfRule type="duplicateValues" dxfId="18913" priority="22526"/>
    <cfRule type="duplicateValues" dxfId="18912" priority="22527"/>
    <cfRule type="duplicateValues" dxfId="18911" priority="22528"/>
    <cfRule type="duplicateValues" dxfId="18910" priority="22529"/>
    <cfRule type="duplicateValues" dxfId="18909" priority="22530"/>
    <cfRule type="duplicateValues" dxfId="18908" priority="22531"/>
    <cfRule type="duplicateValues" dxfId="18907" priority="22532"/>
    <cfRule type="duplicateValues" dxfId="18906" priority="22533"/>
    <cfRule type="duplicateValues" dxfId="18905" priority="22534"/>
    <cfRule type="duplicateValues" dxfId="18904" priority="22535"/>
    <cfRule type="duplicateValues" dxfId="18903" priority="22536"/>
    <cfRule type="duplicateValues" dxfId="18902" priority="22537"/>
    <cfRule type="duplicateValues" dxfId="18901" priority="22538"/>
    <cfRule type="duplicateValues" dxfId="18900" priority="22539"/>
    <cfRule type="duplicateValues" dxfId="18899" priority="22540"/>
    <cfRule type="duplicateValues" dxfId="18898" priority="22541"/>
    <cfRule type="duplicateValues" dxfId="18897" priority="22542"/>
    <cfRule type="duplicateValues" dxfId="18896" priority="22543"/>
    <cfRule type="duplicateValues" dxfId="18895" priority="22544"/>
    <cfRule type="duplicateValues" dxfId="18894" priority="22545"/>
    <cfRule type="duplicateValues" dxfId="18893" priority="22546"/>
    <cfRule type="duplicateValues" dxfId="18892" priority="22547"/>
    <cfRule type="duplicateValues" dxfId="18891" priority="22548"/>
    <cfRule type="duplicateValues" dxfId="18890" priority="22549"/>
    <cfRule type="duplicateValues" dxfId="18889" priority="22550"/>
    <cfRule type="duplicateValues" dxfId="18888" priority="22551"/>
    <cfRule type="duplicateValues" dxfId="18887" priority="22552"/>
    <cfRule type="duplicateValues" dxfId="18886" priority="22553"/>
    <cfRule type="duplicateValues" dxfId="18885" priority="22554"/>
    <cfRule type="duplicateValues" dxfId="18884" priority="22555"/>
    <cfRule type="duplicateValues" dxfId="18883" priority="22556"/>
    <cfRule type="duplicateValues" dxfId="18882" priority="22557"/>
    <cfRule type="duplicateValues" dxfId="18881" priority="22558"/>
    <cfRule type="duplicateValues" dxfId="18880" priority="22559"/>
    <cfRule type="duplicateValues" dxfId="18879" priority="22560"/>
    <cfRule type="duplicateValues" dxfId="18878" priority="22561"/>
    <cfRule type="duplicateValues" dxfId="18877" priority="22562"/>
    <cfRule type="duplicateValues" dxfId="18876" priority="22563"/>
    <cfRule type="duplicateValues" dxfId="18875" priority="22564"/>
    <cfRule type="duplicateValues" dxfId="18874" priority="22565"/>
    <cfRule type="duplicateValues" dxfId="18873" priority="22566"/>
    <cfRule type="duplicateValues" dxfId="18872" priority="22567"/>
    <cfRule type="duplicateValues" dxfId="18871" priority="22568"/>
    <cfRule type="duplicateValues" dxfId="18870" priority="22569"/>
    <cfRule type="duplicateValues" dxfId="18869" priority="22570"/>
    <cfRule type="duplicateValues" dxfId="18868" priority="22571"/>
    <cfRule type="duplicateValues" dxfId="18867" priority="22572"/>
    <cfRule type="duplicateValues" dxfId="18866" priority="22573"/>
    <cfRule type="duplicateValues" dxfId="18865" priority="22574"/>
    <cfRule type="duplicateValues" dxfId="18864" priority="22575"/>
    <cfRule type="duplicateValues" dxfId="18863" priority="22576"/>
    <cfRule type="duplicateValues" dxfId="18862" priority="22577"/>
    <cfRule type="duplicateValues" dxfId="18861" priority="22578"/>
    <cfRule type="duplicateValues" dxfId="18860" priority="22579"/>
    <cfRule type="duplicateValues" dxfId="18859" priority="22580"/>
    <cfRule type="duplicateValues" dxfId="18858" priority="22581"/>
    <cfRule type="duplicateValues" dxfId="18857" priority="22582"/>
    <cfRule type="duplicateValues" dxfId="18856" priority="22583"/>
    <cfRule type="duplicateValues" dxfId="18855" priority="22584"/>
    <cfRule type="duplicateValues" dxfId="18854" priority="22585"/>
    <cfRule type="duplicateValues" dxfId="18853" priority="22586"/>
    <cfRule type="duplicateValues" dxfId="18852" priority="22587"/>
    <cfRule type="duplicateValues" dxfId="18851" priority="22588"/>
    <cfRule type="duplicateValues" dxfId="18850" priority="22589"/>
    <cfRule type="duplicateValues" dxfId="18849" priority="22590"/>
    <cfRule type="duplicateValues" dxfId="18848" priority="22591"/>
    <cfRule type="duplicateValues" dxfId="18847" priority="22592"/>
    <cfRule type="duplicateValues" dxfId="18846" priority="22593"/>
    <cfRule type="duplicateValues" dxfId="18845" priority="22594"/>
    <cfRule type="duplicateValues" dxfId="18844" priority="22595"/>
    <cfRule type="duplicateValues" dxfId="18843" priority="22596"/>
    <cfRule type="duplicateValues" dxfId="18842" priority="22597"/>
    <cfRule type="duplicateValues" dxfId="18841" priority="22598"/>
    <cfRule type="duplicateValues" dxfId="18840" priority="22599"/>
    <cfRule type="duplicateValues" dxfId="18839" priority="22600"/>
    <cfRule type="duplicateValues" dxfId="18838" priority="22601"/>
  </conditionalFormatting>
  <conditionalFormatting sqref="C233:C235">
    <cfRule type="duplicateValues" dxfId="18837" priority="6852"/>
    <cfRule type="duplicateValues" dxfId="18836" priority="6853"/>
    <cfRule type="duplicateValues" dxfId="18835" priority="6854"/>
    <cfRule type="duplicateValues" dxfId="18834" priority="6855"/>
    <cfRule type="duplicateValues" dxfId="18833" priority="6856"/>
    <cfRule type="duplicateValues" dxfId="18832" priority="6857"/>
    <cfRule type="duplicateValues" dxfId="18831" priority="6858"/>
    <cfRule type="duplicateValues" dxfId="18830" priority="6859"/>
    <cfRule type="duplicateValues" dxfId="18829" priority="6860"/>
    <cfRule type="duplicateValues" dxfId="18828" priority="6861"/>
    <cfRule type="duplicateValues" dxfId="18827" priority="6862"/>
    <cfRule type="duplicateValues" dxfId="18826" priority="6863"/>
    <cfRule type="duplicateValues" dxfId="18825" priority="6864"/>
    <cfRule type="duplicateValues" dxfId="18824" priority="6865"/>
    <cfRule type="duplicateValues" dxfId="18823" priority="6866"/>
    <cfRule type="duplicateValues" dxfId="18822" priority="6867"/>
    <cfRule type="duplicateValues" dxfId="18821" priority="6868"/>
    <cfRule type="duplicateValues" dxfId="18820" priority="6869"/>
    <cfRule type="duplicateValues" dxfId="18819" priority="6870"/>
    <cfRule type="duplicateValues" dxfId="18818" priority="6871"/>
    <cfRule type="duplicateValues" dxfId="18817" priority="6872"/>
    <cfRule type="duplicateValues" dxfId="18816" priority="6873"/>
    <cfRule type="duplicateValues" dxfId="18815" priority="6874"/>
    <cfRule type="duplicateValues" dxfId="18814" priority="6875"/>
    <cfRule type="duplicateValues" dxfId="18813" priority="6876"/>
    <cfRule type="duplicateValues" dxfId="18812" priority="6877"/>
    <cfRule type="duplicateValues" dxfId="18811" priority="6878"/>
    <cfRule type="duplicateValues" dxfId="18810" priority="6879"/>
    <cfRule type="duplicateValues" dxfId="18809" priority="6880"/>
    <cfRule type="duplicateValues" dxfId="18808" priority="6881"/>
    <cfRule type="duplicateValues" dxfId="18807" priority="6882"/>
    <cfRule type="duplicateValues" dxfId="18806" priority="6883"/>
    <cfRule type="duplicateValues" dxfId="18805" priority="6884"/>
    <cfRule type="duplicateValues" dxfId="18804" priority="6885"/>
    <cfRule type="duplicateValues" dxfId="18803" priority="6886"/>
    <cfRule type="duplicateValues" dxfId="18802" priority="6887"/>
    <cfRule type="duplicateValues" dxfId="18801" priority="6888"/>
    <cfRule type="duplicateValues" dxfId="18800" priority="6889"/>
    <cfRule type="duplicateValues" dxfId="18799" priority="6890"/>
    <cfRule type="duplicateValues" dxfId="18798" priority="6891"/>
    <cfRule type="duplicateValues" dxfId="18797" priority="6892"/>
    <cfRule type="duplicateValues" dxfId="18796" priority="6893"/>
    <cfRule type="duplicateValues" dxfId="18795" priority="6894"/>
    <cfRule type="duplicateValues" dxfId="18794" priority="6895"/>
    <cfRule type="duplicateValues" dxfId="18793" priority="6896"/>
    <cfRule type="duplicateValues" dxfId="18792" priority="6897"/>
    <cfRule type="duplicateValues" dxfId="18791" priority="6898"/>
    <cfRule type="duplicateValues" dxfId="18790" priority="6899"/>
    <cfRule type="duplicateValues" dxfId="18789" priority="6900"/>
    <cfRule type="duplicateValues" dxfId="18788" priority="6901"/>
    <cfRule type="duplicateValues" dxfId="18787" priority="6902"/>
    <cfRule type="duplicateValues" dxfId="18786" priority="6903"/>
    <cfRule type="duplicateValues" dxfId="18785" priority="6904"/>
    <cfRule type="duplicateValues" dxfId="18784" priority="6905"/>
    <cfRule type="duplicateValues" dxfId="18783" priority="6906"/>
    <cfRule type="duplicateValues" dxfId="18782" priority="6907"/>
    <cfRule type="duplicateValues" dxfId="18781" priority="6908"/>
    <cfRule type="duplicateValues" dxfId="18780" priority="6909"/>
    <cfRule type="duplicateValues" dxfId="18779" priority="6910"/>
    <cfRule type="duplicateValues" dxfId="18778" priority="6911"/>
    <cfRule type="duplicateValues" dxfId="18777" priority="6912"/>
    <cfRule type="duplicateValues" dxfId="18776" priority="6913"/>
    <cfRule type="duplicateValues" dxfId="18775" priority="6914"/>
    <cfRule type="duplicateValues" dxfId="18774" priority="6915"/>
    <cfRule type="duplicateValues" dxfId="18773" priority="6916"/>
    <cfRule type="duplicateValues" dxfId="18772" priority="6917"/>
    <cfRule type="duplicateValues" dxfId="18771" priority="6918"/>
    <cfRule type="duplicateValues" dxfId="18770" priority="6919"/>
    <cfRule type="duplicateValues" dxfId="18769" priority="6920"/>
    <cfRule type="duplicateValues" dxfId="18768" priority="6921"/>
    <cfRule type="duplicateValues" dxfId="18767" priority="6922"/>
    <cfRule type="duplicateValues" dxfId="18766" priority="6923"/>
    <cfRule type="duplicateValues" dxfId="18765" priority="6924"/>
    <cfRule type="duplicateValues" dxfId="18764" priority="6925"/>
    <cfRule type="duplicateValues" dxfId="18763" priority="6926"/>
    <cfRule type="duplicateValues" dxfId="18762" priority="6927"/>
    <cfRule type="duplicateValues" dxfId="18761" priority="6928"/>
    <cfRule type="duplicateValues" dxfId="18760" priority="6929"/>
    <cfRule type="duplicateValues" dxfId="18759" priority="6930"/>
    <cfRule type="duplicateValues" dxfId="18758" priority="6931"/>
    <cfRule type="duplicateValues" dxfId="18757" priority="6932"/>
    <cfRule type="duplicateValues" dxfId="18756" priority="6933"/>
    <cfRule type="duplicateValues" dxfId="18755" priority="6934"/>
    <cfRule type="duplicateValues" dxfId="18754" priority="6935"/>
    <cfRule type="duplicateValues" dxfId="18753" priority="6936"/>
    <cfRule type="duplicateValues" dxfId="18752" priority="6937"/>
    <cfRule type="duplicateValues" dxfId="18751" priority="6938"/>
    <cfRule type="duplicateValues" dxfId="18750" priority="6939"/>
    <cfRule type="duplicateValues" dxfId="18749" priority="6940"/>
    <cfRule type="duplicateValues" dxfId="18748" priority="6941"/>
    <cfRule type="duplicateValues" dxfId="18747" priority="6942"/>
    <cfRule type="duplicateValues" dxfId="18746" priority="6943"/>
    <cfRule type="duplicateValues" dxfId="18745" priority="6944"/>
    <cfRule type="duplicateValues" dxfId="18744" priority="6945"/>
    <cfRule type="duplicateValues" dxfId="18743" priority="6946"/>
    <cfRule type="duplicateValues" dxfId="18742" priority="6947"/>
    <cfRule type="duplicateValues" dxfId="18741" priority="6948"/>
    <cfRule type="duplicateValues" dxfId="18740" priority="6949"/>
    <cfRule type="duplicateValues" dxfId="18739" priority="6950"/>
    <cfRule type="duplicateValues" dxfId="18738" priority="6951"/>
    <cfRule type="duplicateValues" dxfId="18737" priority="6952"/>
    <cfRule type="duplicateValues" dxfId="18736" priority="6953"/>
    <cfRule type="duplicateValues" dxfId="18735" priority="6954"/>
    <cfRule type="duplicateValues" dxfId="18734" priority="6955"/>
    <cfRule type="duplicateValues" dxfId="18733" priority="6956"/>
    <cfRule type="duplicateValues" dxfId="18732" priority="6957"/>
    <cfRule type="duplicateValues" dxfId="18731" priority="6958"/>
    <cfRule type="duplicateValues" dxfId="18730" priority="6959"/>
    <cfRule type="duplicateValues" dxfId="18729" priority="6960"/>
    <cfRule type="duplicateValues" dxfId="18728" priority="6961"/>
    <cfRule type="duplicateValues" dxfId="18727" priority="6962"/>
    <cfRule type="duplicateValues" dxfId="18726" priority="6963"/>
    <cfRule type="duplicateValues" dxfId="18725" priority="6964"/>
    <cfRule type="duplicateValues" dxfId="18724" priority="6965"/>
    <cfRule type="duplicateValues" dxfId="18723" priority="6966"/>
    <cfRule type="duplicateValues" dxfId="18722" priority="6967"/>
    <cfRule type="duplicateValues" dxfId="18721" priority="6968"/>
    <cfRule type="duplicateValues" dxfId="18720" priority="6969"/>
    <cfRule type="duplicateValues" dxfId="18719" priority="6970"/>
    <cfRule type="duplicateValues" dxfId="18718" priority="6971"/>
    <cfRule type="duplicateValues" dxfId="18717" priority="6972"/>
    <cfRule type="duplicateValues" dxfId="18716" priority="6973"/>
    <cfRule type="duplicateValues" dxfId="18715" priority="6974"/>
    <cfRule type="duplicateValues" dxfId="18714" priority="6975"/>
    <cfRule type="duplicateValues" dxfId="18713" priority="6976"/>
    <cfRule type="duplicateValues" dxfId="18712" priority="6977"/>
    <cfRule type="duplicateValues" dxfId="18711" priority="6978"/>
    <cfRule type="duplicateValues" dxfId="18710" priority="6979"/>
    <cfRule type="duplicateValues" dxfId="18709" priority="6980"/>
    <cfRule type="duplicateValues" dxfId="18708" priority="6981"/>
    <cfRule type="duplicateValues" dxfId="18707" priority="6982"/>
    <cfRule type="duplicateValues" dxfId="18706" priority="6983"/>
    <cfRule type="duplicateValues" dxfId="18705" priority="6984"/>
    <cfRule type="duplicateValues" dxfId="18704" priority="6985"/>
    <cfRule type="duplicateValues" dxfId="18703" priority="6986"/>
    <cfRule type="duplicateValues" dxfId="18702" priority="6987"/>
    <cfRule type="duplicateValues" dxfId="18701" priority="6988"/>
    <cfRule type="duplicateValues" dxfId="18700" priority="6989"/>
    <cfRule type="duplicateValues" dxfId="18699" priority="6990"/>
    <cfRule type="duplicateValues" dxfId="18698" priority="6991"/>
    <cfRule type="duplicateValues" dxfId="18697" priority="6992"/>
    <cfRule type="duplicateValues" dxfId="18696" priority="6993"/>
    <cfRule type="duplicateValues" dxfId="18695" priority="6994"/>
    <cfRule type="duplicateValues" dxfId="18694" priority="6995"/>
    <cfRule type="duplicateValues" dxfId="18693" priority="6996"/>
    <cfRule type="duplicateValues" dxfId="18692" priority="6997"/>
    <cfRule type="duplicateValues" dxfId="18691" priority="6998"/>
    <cfRule type="duplicateValues" dxfId="18690" priority="6999"/>
    <cfRule type="duplicateValues" dxfId="18689" priority="7000"/>
    <cfRule type="duplicateValues" dxfId="18688" priority="7001"/>
    <cfRule type="duplicateValues" dxfId="18687" priority="7002"/>
    <cfRule type="duplicateValues" dxfId="18686" priority="7003"/>
    <cfRule type="duplicateValues" dxfId="18685" priority="7004"/>
    <cfRule type="duplicateValues" dxfId="18684" priority="7005"/>
    <cfRule type="duplicateValues" dxfId="18683" priority="7006"/>
    <cfRule type="duplicateValues" dxfId="18682" priority="7007"/>
    <cfRule type="duplicateValues" dxfId="18681" priority="7008"/>
    <cfRule type="duplicateValues" dxfId="18680" priority="7009"/>
    <cfRule type="duplicateValues" dxfId="18679" priority="7010"/>
    <cfRule type="duplicateValues" dxfId="18678" priority="7011"/>
    <cfRule type="duplicateValues" dxfId="18677" priority="7012"/>
    <cfRule type="duplicateValues" dxfId="18676" priority="7013"/>
    <cfRule type="duplicateValues" dxfId="18675" priority="7014"/>
    <cfRule type="duplicateValues" dxfId="18674" priority="7015"/>
    <cfRule type="duplicateValues" dxfId="18673" priority="7016"/>
    <cfRule type="duplicateValues" dxfId="18672" priority="7017"/>
    <cfRule type="duplicateValues" dxfId="18671" priority="7018"/>
    <cfRule type="duplicateValues" dxfId="18670" priority="7019"/>
    <cfRule type="duplicateValues" dxfId="18669" priority="7020"/>
    <cfRule type="duplicateValues" dxfId="18668" priority="7021"/>
    <cfRule type="duplicateValues" dxfId="18667" priority="7022"/>
    <cfRule type="duplicateValues" dxfId="18666" priority="7023"/>
    <cfRule type="duplicateValues" dxfId="18665" priority="7024"/>
    <cfRule type="duplicateValues" dxfId="18664" priority="7025"/>
    <cfRule type="duplicateValues" dxfId="18663" priority="7026"/>
    <cfRule type="duplicateValues" dxfId="18662" priority="7027"/>
    <cfRule type="duplicateValues" dxfId="18661" priority="7028"/>
    <cfRule type="duplicateValues" dxfId="18660" priority="7029"/>
    <cfRule type="duplicateValues" dxfId="18659" priority="7030"/>
    <cfRule type="duplicateValues" dxfId="18658" priority="7031"/>
    <cfRule type="duplicateValues" dxfId="18657" priority="7032"/>
    <cfRule type="duplicateValues" dxfId="18656" priority="7033"/>
    <cfRule type="duplicateValues" dxfId="18655" priority="7034"/>
    <cfRule type="duplicateValues" dxfId="18654" priority="7035"/>
    <cfRule type="duplicateValues" dxfId="18653" priority="7036"/>
    <cfRule type="duplicateValues" dxfId="18652" priority="7037"/>
    <cfRule type="duplicateValues" dxfId="18651" priority="7038"/>
    <cfRule type="duplicateValues" dxfId="18650" priority="7039"/>
    <cfRule type="duplicateValues" dxfId="18649" priority="7040"/>
    <cfRule type="duplicateValues" dxfId="18648" priority="7041"/>
    <cfRule type="duplicateValues" dxfId="18647" priority="7042"/>
    <cfRule type="duplicateValues" dxfId="18646" priority="7043"/>
    <cfRule type="duplicateValues" dxfId="18645" priority="7044"/>
    <cfRule type="duplicateValues" dxfId="18644" priority="7045"/>
    <cfRule type="duplicateValues" dxfId="18643" priority="7046"/>
    <cfRule type="duplicateValues" dxfId="18642" priority="7047"/>
    <cfRule type="duplicateValues" dxfId="18641" priority="7048"/>
    <cfRule type="duplicateValues" dxfId="18640" priority="7049"/>
    <cfRule type="duplicateValues" dxfId="18639" priority="7050"/>
    <cfRule type="duplicateValues" dxfId="18638" priority="7051"/>
    <cfRule type="duplicateValues" dxfId="18637" priority="7052"/>
    <cfRule type="duplicateValues" dxfId="18636" priority="7053"/>
    <cfRule type="duplicateValues" dxfId="18635" priority="7054"/>
    <cfRule type="duplicateValues" dxfId="18634" priority="7055"/>
    <cfRule type="duplicateValues" dxfId="18633" priority="7056"/>
    <cfRule type="duplicateValues" dxfId="18632" priority="7057"/>
    <cfRule type="duplicateValues" dxfId="18631" priority="7058"/>
    <cfRule type="duplicateValues" dxfId="18630" priority="7059"/>
    <cfRule type="duplicateValues" dxfId="18629" priority="7060"/>
    <cfRule type="duplicateValues" dxfId="18628" priority="7061"/>
    <cfRule type="duplicateValues" dxfId="18627" priority="7062"/>
    <cfRule type="duplicateValues" dxfId="18626" priority="7063"/>
    <cfRule type="duplicateValues" dxfId="18625" priority="7064"/>
    <cfRule type="duplicateValues" dxfId="18624" priority="7065"/>
    <cfRule type="duplicateValues" dxfId="18623" priority="7066"/>
    <cfRule type="duplicateValues" dxfId="18622" priority="7067"/>
    <cfRule type="duplicateValues" dxfId="18621" priority="7068"/>
    <cfRule type="duplicateValues" dxfId="18620" priority="7069"/>
    <cfRule type="duplicateValues" dxfId="18619" priority="7070"/>
    <cfRule type="duplicateValues" dxfId="18618" priority="7071"/>
    <cfRule type="duplicateValues" dxfId="18617" priority="7072"/>
    <cfRule type="duplicateValues" dxfId="18616" priority="7073"/>
    <cfRule type="duplicateValues" dxfId="18615" priority="7074"/>
    <cfRule type="duplicateValues" dxfId="18614" priority="7075"/>
    <cfRule type="duplicateValues" dxfId="18613" priority="7076"/>
    <cfRule type="duplicateValues" dxfId="18612" priority="7077"/>
    <cfRule type="duplicateValues" dxfId="18611" priority="7078"/>
    <cfRule type="duplicateValues" dxfId="18610" priority="7079"/>
    <cfRule type="duplicateValues" dxfId="18609" priority="7080"/>
    <cfRule type="duplicateValues" dxfId="18608" priority="7081"/>
    <cfRule type="duplicateValues" dxfId="18607" priority="7082"/>
    <cfRule type="duplicateValues" dxfId="18606" priority="7083"/>
    <cfRule type="duplicateValues" dxfId="18605" priority="7084"/>
    <cfRule type="duplicateValues" dxfId="18604" priority="7085"/>
    <cfRule type="duplicateValues" dxfId="18603" priority="7086"/>
    <cfRule type="duplicateValues" dxfId="18602" priority="7087"/>
    <cfRule type="duplicateValues" dxfId="18601" priority="7088"/>
    <cfRule type="duplicateValues" dxfId="18600" priority="7089"/>
    <cfRule type="duplicateValues" dxfId="18599" priority="7090"/>
    <cfRule type="duplicateValues" dxfId="18598" priority="7091"/>
    <cfRule type="duplicateValues" dxfId="18597" priority="7092"/>
    <cfRule type="duplicateValues" dxfId="18596" priority="7093"/>
    <cfRule type="duplicateValues" dxfId="18595" priority="7094"/>
    <cfRule type="duplicateValues" dxfId="18594" priority="7095"/>
    <cfRule type="duplicateValues" dxfId="18593" priority="7096"/>
    <cfRule type="duplicateValues" dxfId="18592" priority="7097"/>
    <cfRule type="duplicateValues" dxfId="18591" priority="7098"/>
    <cfRule type="duplicateValues" dxfId="18590" priority="7099"/>
    <cfRule type="duplicateValues" dxfId="18589" priority="7100"/>
    <cfRule type="duplicateValues" dxfId="18588" priority="7101"/>
    <cfRule type="duplicateValues" dxfId="18587" priority="7102"/>
    <cfRule type="duplicateValues" dxfId="18586" priority="7103"/>
    <cfRule type="duplicateValues" dxfId="18585" priority="7104"/>
    <cfRule type="duplicateValues" dxfId="18584" priority="7105"/>
    <cfRule type="duplicateValues" dxfId="18583" priority="7106"/>
    <cfRule type="duplicateValues" dxfId="18582" priority="7107"/>
    <cfRule type="duplicateValues" dxfId="18581" priority="7108"/>
    <cfRule type="duplicateValues" dxfId="18580" priority="7109"/>
    <cfRule type="duplicateValues" dxfId="18579" priority="7110"/>
    <cfRule type="duplicateValues" dxfId="18578" priority="7111"/>
    <cfRule type="duplicateValues" dxfId="18577" priority="7112"/>
    <cfRule type="duplicateValues" dxfId="18576" priority="7113"/>
    <cfRule type="duplicateValues" dxfId="18575" priority="7114"/>
    <cfRule type="duplicateValues" dxfId="18574" priority="7115"/>
    <cfRule type="duplicateValues" dxfId="18573" priority="7116"/>
    <cfRule type="duplicateValues" dxfId="18572" priority="7117"/>
    <cfRule type="duplicateValues" dxfId="18571" priority="7118"/>
    <cfRule type="duplicateValues" dxfId="18570" priority="7119"/>
    <cfRule type="duplicateValues" dxfId="18569" priority="7120"/>
    <cfRule type="duplicateValues" dxfId="18568" priority="7121"/>
    <cfRule type="duplicateValues" dxfId="18567" priority="7122"/>
    <cfRule type="duplicateValues" dxfId="18566" priority="7123"/>
    <cfRule type="duplicateValues" dxfId="18565" priority="7124"/>
    <cfRule type="duplicateValues" dxfId="18564" priority="7125"/>
    <cfRule type="duplicateValues" dxfId="18563" priority="7126"/>
    <cfRule type="duplicateValues" dxfId="18562" priority="7127"/>
    <cfRule type="duplicateValues" dxfId="18561" priority="7128"/>
    <cfRule type="duplicateValues" dxfId="18560" priority="7129"/>
    <cfRule type="duplicateValues" dxfId="18559" priority="7130"/>
    <cfRule type="duplicateValues" dxfId="18558" priority="7131"/>
    <cfRule type="duplicateValues" dxfId="18557" priority="7132"/>
    <cfRule type="duplicateValues" dxfId="18556" priority="7133"/>
    <cfRule type="duplicateValues" dxfId="18555" priority="7134"/>
    <cfRule type="duplicateValues" dxfId="18554" priority="7135"/>
    <cfRule type="duplicateValues" dxfId="18553" priority="7136"/>
    <cfRule type="duplicateValues" dxfId="18552" priority="7137"/>
    <cfRule type="duplicateValues" dxfId="18551" priority="7138"/>
    <cfRule type="duplicateValues" dxfId="18550" priority="7139"/>
    <cfRule type="duplicateValues" dxfId="18549" priority="7140"/>
    <cfRule type="duplicateValues" dxfId="18548" priority="7141"/>
    <cfRule type="duplicateValues" dxfId="18547" priority="7142"/>
    <cfRule type="duplicateValues" dxfId="18546" priority="7143"/>
    <cfRule type="duplicateValues" dxfId="18545" priority="7144"/>
    <cfRule type="duplicateValues" dxfId="18544" priority="7145"/>
    <cfRule type="duplicateValues" dxfId="18543" priority="7146"/>
    <cfRule type="duplicateValues" dxfId="18542" priority="7147"/>
    <cfRule type="duplicateValues" dxfId="18541" priority="7148"/>
    <cfRule type="duplicateValues" dxfId="18540" priority="7149"/>
    <cfRule type="duplicateValues" dxfId="18539" priority="7150"/>
    <cfRule type="duplicateValues" dxfId="18538" priority="7151"/>
    <cfRule type="duplicateValues" dxfId="18537" priority="7152"/>
    <cfRule type="duplicateValues" dxfId="18536" priority="7153"/>
    <cfRule type="duplicateValues" dxfId="18535" priority="7154"/>
    <cfRule type="duplicateValues" dxfId="18534" priority="7155"/>
    <cfRule type="duplicateValues" dxfId="18533" priority="7156"/>
    <cfRule type="duplicateValues" dxfId="18532" priority="7157"/>
    <cfRule type="duplicateValues" dxfId="18531" priority="7158"/>
    <cfRule type="duplicateValues" dxfId="18530" priority="7159"/>
    <cfRule type="duplicateValues" dxfId="18529" priority="7160"/>
    <cfRule type="duplicateValues" dxfId="18528" priority="7161"/>
    <cfRule type="duplicateValues" dxfId="18527" priority="7162"/>
    <cfRule type="duplicateValues" dxfId="18526" priority="7163"/>
    <cfRule type="duplicateValues" dxfId="18525" priority="7164"/>
    <cfRule type="duplicateValues" dxfId="18524" priority="7165"/>
    <cfRule type="duplicateValues" dxfId="18523" priority="7166"/>
    <cfRule type="duplicateValues" dxfId="18522" priority="7167"/>
    <cfRule type="duplicateValues" dxfId="18521" priority="7168"/>
    <cfRule type="duplicateValues" dxfId="18520" priority="7169"/>
    <cfRule type="duplicateValues" dxfId="18519" priority="7170"/>
    <cfRule type="duplicateValues" dxfId="18518" priority="7171"/>
    <cfRule type="duplicateValues" dxfId="18517" priority="7172"/>
    <cfRule type="duplicateValues" dxfId="18516" priority="7173"/>
    <cfRule type="duplicateValues" dxfId="18515" priority="7174"/>
    <cfRule type="duplicateValues" dxfId="18514" priority="7175"/>
    <cfRule type="duplicateValues" dxfId="18513" priority="7176"/>
    <cfRule type="duplicateValues" dxfId="18512" priority="7177"/>
    <cfRule type="duplicateValues" dxfId="18511" priority="7178"/>
    <cfRule type="duplicateValues" dxfId="18510" priority="7179"/>
    <cfRule type="duplicateValues" dxfId="18509" priority="7180"/>
    <cfRule type="duplicateValues" dxfId="18508" priority="7181"/>
    <cfRule type="duplicateValues" dxfId="18507" priority="7182"/>
    <cfRule type="duplicateValues" dxfId="18506" priority="7183"/>
    <cfRule type="duplicateValues" dxfId="18505" priority="7184"/>
    <cfRule type="duplicateValues" dxfId="18504" priority="7185"/>
    <cfRule type="duplicateValues" dxfId="18503" priority="7186"/>
    <cfRule type="duplicateValues" dxfId="18502" priority="7187"/>
    <cfRule type="duplicateValues" dxfId="18501" priority="7188"/>
    <cfRule type="duplicateValues" dxfId="18500" priority="7189"/>
    <cfRule type="duplicateValues" dxfId="18499" priority="7190"/>
    <cfRule type="duplicateValues" dxfId="18498" priority="7191"/>
    <cfRule type="duplicateValues" dxfId="18497" priority="7192"/>
    <cfRule type="duplicateValues" dxfId="18496" priority="7193"/>
    <cfRule type="duplicateValues" dxfId="18495" priority="7194"/>
    <cfRule type="duplicateValues" dxfId="18494" priority="7195"/>
    <cfRule type="duplicateValues" dxfId="18493" priority="7196"/>
  </conditionalFormatting>
  <conditionalFormatting sqref="C233:C246">
    <cfRule type="duplicateValues" dxfId="18492" priority="6846"/>
    <cfRule type="duplicateValues" dxfId="18491" priority="6847"/>
    <cfRule type="duplicateValues" dxfId="18490" priority="6848"/>
    <cfRule type="duplicateValues" dxfId="18489" priority="6849"/>
    <cfRule type="duplicateValues" dxfId="18488" priority="6850"/>
    <cfRule type="duplicateValues" dxfId="18487" priority="6851"/>
  </conditionalFormatting>
  <conditionalFormatting sqref="C236">
    <cfRule type="duplicateValues" dxfId="18486" priority="21912"/>
    <cfRule type="duplicateValues" dxfId="18485" priority="21913"/>
    <cfRule type="duplicateValues" dxfId="18484" priority="21914"/>
    <cfRule type="duplicateValues" dxfId="18483" priority="21915"/>
    <cfRule type="duplicateValues" dxfId="18482" priority="21916"/>
    <cfRule type="duplicateValues" dxfId="18481" priority="21917"/>
    <cfRule type="duplicateValues" dxfId="18480" priority="21918"/>
    <cfRule type="duplicateValues" dxfId="18479" priority="21919"/>
    <cfRule type="duplicateValues" dxfId="18478" priority="21920"/>
    <cfRule type="duplicateValues" dxfId="18477" priority="21921"/>
    <cfRule type="duplicateValues" dxfId="18476" priority="21922"/>
    <cfRule type="duplicateValues" dxfId="18475" priority="21923"/>
    <cfRule type="duplicateValues" dxfId="18474" priority="21924"/>
    <cfRule type="duplicateValues" dxfId="18473" priority="21925"/>
    <cfRule type="duplicateValues" dxfId="18472" priority="21926"/>
    <cfRule type="duplicateValues" dxfId="18471" priority="21927"/>
    <cfRule type="duplicateValues" dxfId="18470" priority="21928"/>
    <cfRule type="duplicateValues" dxfId="18469" priority="21929"/>
    <cfRule type="duplicateValues" dxfId="18468" priority="21930"/>
    <cfRule type="duplicateValues" dxfId="18467" priority="21931"/>
    <cfRule type="duplicateValues" dxfId="18466" priority="21932"/>
    <cfRule type="duplicateValues" dxfId="18465" priority="21933"/>
    <cfRule type="duplicateValues" dxfId="18464" priority="21934"/>
    <cfRule type="duplicateValues" dxfId="18463" priority="21935"/>
    <cfRule type="duplicateValues" dxfId="18462" priority="21936"/>
    <cfRule type="duplicateValues" dxfId="18461" priority="21937"/>
    <cfRule type="duplicateValues" dxfId="18460" priority="21938"/>
    <cfRule type="duplicateValues" dxfId="18459" priority="21939"/>
    <cfRule type="duplicateValues" dxfId="18458" priority="21940"/>
    <cfRule type="duplicateValues" dxfId="18457" priority="21941"/>
    <cfRule type="duplicateValues" dxfId="18456" priority="21942"/>
    <cfRule type="duplicateValues" dxfId="18455" priority="21943"/>
    <cfRule type="duplicateValues" dxfId="18454" priority="21944"/>
    <cfRule type="duplicateValues" dxfId="18453" priority="21945"/>
    <cfRule type="duplicateValues" dxfId="18452" priority="21946"/>
    <cfRule type="duplicateValues" dxfId="18451" priority="21947"/>
    <cfRule type="duplicateValues" dxfId="18450" priority="21948"/>
    <cfRule type="duplicateValues" dxfId="18449" priority="21949"/>
    <cfRule type="duplicateValues" dxfId="18448" priority="21950"/>
    <cfRule type="duplicateValues" dxfId="18447" priority="21951"/>
    <cfRule type="duplicateValues" dxfId="18446" priority="21952"/>
    <cfRule type="duplicateValues" dxfId="18445" priority="21953"/>
    <cfRule type="duplicateValues" dxfId="18444" priority="21954"/>
    <cfRule type="duplicateValues" dxfId="18443" priority="21955"/>
    <cfRule type="duplicateValues" dxfId="18442" priority="21956"/>
    <cfRule type="duplicateValues" dxfId="18441" priority="21957"/>
    <cfRule type="duplicateValues" dxfId="18440" priority="21958"/>
    <cfRule type="duplicateValues" dxfId="18439" priority="21959"/>
    <cfRule type="duplicateValues" dxfId="18438" priority="21960"/>
    <cfRule type="duplicateValues" dxfId="18437" priority="21961"/>
    <cfRule type="duplicateValues" dxfId="18436" priority="21962"/>
    <cfRule type="duplicateValues" dxfId="18435" priority="21963"/>
    <cfRule type="duplicateValues" dxfId="18434" priority="21964"/>
    <cfRule type="duplicateValues" dxfId="18433" priority="21965"/>
    <cfRule type="duplicateValues" dxfId="18432" priority="21966"/>
    <cfRule type="duplicateValues" dxfId="18431" priority="21967"/>
    <cfRule type="duplicateValues" dxfId="18430" priority="21968"/>
    <cfRule type="duplicateValues" dxfId="18429" priority="21969"/>
    <cfRule type="duplicateValues" dxfId="18428" priority="21970"/>
    <cfRule type="duplicateValues" dxfId="18427" priority="21971"/>
    <cfRule type="duplicateValues" dxfId="18426" priority="21972"/>
    <cfRule type="duplicateValues" dxfId="18425" priority="21973"/>
    <cfRule type="duplicateValues" dxfId="18424" priority="21974"/>
    <cfRule type="duplicateValues" dxfId="18423" priority="21975"/>
    <cfRule type="duplicateValues" dxfId="18422" priority="21976"/>
    <cfRule type="duplicateValues" dxfId="18421" priority="21977"/>
    <cfRule type="duplicateValues" dxfId="18420" priority="21978"/>
    <cfRule type="duplicateValues" dxfId="18419" priority="21979"/>
    <cfRule type="duplicateValues" dxfId="18418" priority="21980"/>
    <cfRule type="duplicateValues" dxfId="18417" priority="21981"/>
    <cfRule type="duplicateValues" dxfId="18416" priority="21982"/>
    <cfRule type="duplicateValues" dxfId="18415" priority="21983"/>
    <cfRule type="duplicateValues" dxfId="18414" priority="21984"/>
    <cfRule type="duplicateValues" dxfId="18413" priority="21985"/>
    <cfRule type="duplicateValues" dxfId="18412" priority="21986"/>
    <cfRule type="duplicateValues" dxfId="18411" priority="21987"/>
    <cfRule type="duplicateValues" dxfId="18410" priority="21988"/>
    <cfRule type="duplicateValues" dxfId="18409" priority="21989"/>
    <cfRule type="duplicateValues" dxfId="18408" priority="21990"/>
    <cfRule type="duplicateValues" dxfId="18407" priority="21991"/>
    <cfRule type="duplicateValues" dxfId="18406" priority="21992"/>
    <cfRule type="duplicateValues" dxfId="18405" priority="21993"/>
    <cfRule type="duplicateValues" dxfId="18404" priority="21994"/>
    <cfRule type="duplicateValues" dxfId="18403" priority="21995"/>
    <cfRule type="duplicateValues" dxfId="18402" priority="21996"/>
    <cfRule type="duplicateValues" dxfId="18401" priority="21997"/>
    <cfRule type="duplicateValues" dxfId="18400" priority="21998"/>
    <cfRule type="duplicateValues" dxfId="18399" priority="21999"/>
    <cfRule type="duplicateValues" dxfId="18398" priority="22000"/>
    <cfRule type="duplicateValues" dxfId="18397" priority="22001"/>
    <cfRule type="duplicateValues" dxfId="18396" priority="22002"/>
    <cfRule type="duplicateValues" dxfId="18395" priority="22003"/>
    <cfRule type="duplicateValues" dxfId="18394" priority="22004"/>
    <cfRule type="duplicateValues" dxfId="18393" priority="22005"/>
    <cfRule type="duplicateValues" dxfId="18392" priority="22006"/>
    <cfRule type="duplicateValues" dxfId="18391" priority="22007"/>
    <cfRule type="duplicateValues" dxfId="18390" priority="22008"/>
    <cfRule type="duplicateValues" dxfId="18389" priority="22009"/>
    <cfRule type="duplicateValues" dxfId="18388" priority="22010"/>
    <cfRule type="duplicateValues" dxfId="18387" priority="22011"/>
    <cfRule type="duplicateValues" dxfId="18386" priority="22012"/>
    <cfRule type="duplicateValues" dxfId="18385" priority="22013"/>
    <cfRule type="duplicateValues" dxfId="18384" priority="22014"/>
    <cfRule type="duplicateValues" dxfId="18383" priority="22015"/>
    <cfRule type="duplicateValues" dxfId="18382" priority="22016"/>
    <cfRule type="duplicateValues" dxfId="18381" priority="22017"/>
    <cfRule type="duplicateValues" dxfId="18380" priority="22018"/>
    <cfRule type="duplicateValues" dxfId="18379" priority="22019"/>
    <cfRule type="duplicateValues" dxfId="18378" priority="22020"/>
    <cfRule type="duplicateValues" dxfId="18377" priority="22021"/>
    <cfRule type="duplicateValues" dxfId="18376" priority="22022"/>
    <cfRule type="duplicateValues" dxfId="18375" priority="22023"/>
    <cfRule type="duplicateValues" dxfId="18374" priority="22024"/>
    <cfRule type="duplicateValues" dxfId="18373" priority="22025"/>
    <cfRule type="duplicateValues" dxfId="18372" priority="22026"/>
    <cfRule type="duplicateValues" dxfId="18371" priority="22027"/>
    <cfRule type="duplicateValues" dxfId="18370" priority="22028"/>
    <cfRule type="duplicateValues" dxfId="18369" priority="22029"/>
    <cfRule type="duplicateValues" dxfId="18368" priority="22030"/>
    <cfRule type="duplicateValues" dxfId="18367" priority="22031"/>
    <cfRule type="duplicateValues" dxfId="18366" priority="22032"/>
    <cfRule type="duplicateValues" dxfId="18365" priority="22033"/>
    <cfRule type="duplicateValues" dxfId="18364" priority="22034"/>
    <cfRule type="duplicateValues" dxfId="18363" priority="22035"/>
    <cfRule type="duplicateValues" dxfId="18362" priority="22036"/>
    <cfRule type="duplicateValues" dxfId="18361" priority="22037"/>
    <cfRule type="duplicateValues" dxfId="18360" priority="22038"/>
    <cfRule type="duplicateValues" dxfId="18359" priority="22039"/>
    <cfRule type="duplicateValues" dxfId="18358" priority="22040"/>
    <cfRule type="duplicateValues" dxfId="18357" priority="22041"/>
    <cfRule type="duplicateValues" dxfId="18356" priority="22042"/>
    <cfRule type="duplicateValues" dxfId="18355" priority="22043"/>
    <cfRule type="duplicateValues" dxfId="18354" priority="22044"/>
    <cfRule type="duplicateValues" dxfId="18353" priority="22045"/>
    <cfRule type="duplicateValues" dxfId="18352" priority="22046"/>
    <cfRule type="duplicateValues" dxfId="18351" priority="22047"/>
    <cfRule type="duplicateValues" dxfId="18350" priority="22048"/>
    <cfRule type="duplicateValues" dxfId="18349" priority="22049"/>
    <cfRule type="duplicateValues" dxfId="18348" priority="22050"/>
    <cfRule type="duplicateValues" dxfId="18347" priority="22051"/>
    <cfRule type="duplicateValues" dxfId="18346" priority="22052"/>
    <cfRule type="duplicateValues" dxfId="18345" priority="22053"/>
    <cfRule type="duplicateValues" dxfId="18344" priority="22054"/>
    <cfRule type="duplicateValues" dxfId="18343" priority="22055"/>
    <cfRule type="duplicateValues" dxfId="18342" priority="22056"/>
    <cfRule type="duplicateValues" dxfId="18341" priority="22057"/>
    <cfRule type="duplicateValues" dxfId="18340" priority="22058"/>
    <cfRule type="duplicateValues" dxfId="18339" priority="22059"/>
    <cfRule type="duplicateValues" dxfId="18338" priority="22060"/>
    <cfRule type="duplicateValues" dxfId="18337" priority="22061"/>
    <cfRule type="duplicateValues" dxfId="18336" priority="22062"/>
    <cfRule type="duplicateValues" dxfId="18335" priority="22063"/>
    <cfRule type="duplicateValues" dxfId="18334" priority="22064"/>
    <cfRule type="duplicateValues" dxfId="18333" priority="22065"/>
    <cfRule type="duplicateValues" dxfId="18332" priority="22066"/>
    <cfRule type="duplicateValues" dxfId="18331" priority="22067"/>
    <cfRule type="duplicateValues" dxfId="18330" priority="22068"/>
    <cfRule type="duplicateValues" dxfId="18329" priority="22069"/>
    <cfRule type="duplicateValues" dxfId="18328" priority="22070"/>
    <cfRule type="duplicateValues" dxfId="18327" priority="22071"/>
    <cfRule type="duplicateValues" dxfId="18326" priority="22072"/>
    <cfRule type="duplicateValues" dxfId="18325" priority="22073"/>
    <cfRule type="duplicateValues" dxfId="18324" priority="22074"/>
    <cfRule type="duplicateValues" dxfId="18323" priority="22075"/>
    <cfRule type="duplicateValues" dxfId="18322" priority="22076"/>
    <cfRule type="duplicateValues" dxfId="18321" priority="22077"/>
    <cfRule type="duplicateValues" dxfId="18320" priority="22078"/>
    <cfRule type="duplicateValues" dxfId="18319" priority="22079"/>
    <cfRule type="duplicateValues" dxfId="18318" priority="22080"/>
    <cfRule type="duplicateValues" dxfId="18317" priority="22081"/>
    <cfRule type="duplicateValues" dxfId="18316" priority="22082"/>
    <cfRule type="duplicateValues" dxfId="18315" priority="22083"/>
    <cfRule type="duplicateValues" dxfId="18314" priority="22084"/>
    <cfRule type="duplicateValues" dxfId="18313" priority="22085"/>
    <cfRule type="duplicateValues" dxfId="18312" priority="22086"/>
    <cfRule type="duplicateValues" dxfId="18311" priority="22087"/>
    <cfRule type="duplicateValues" dxfId="18310" priority="22088"/>
    <cfRule type="duplicateValues" dxfId="18309" priority="22089"/>
    <cfRule type="duplicateValues" dxfId="18308" priority="22090"/>
    <cfRule type="duplicateValues" dxfId="18307" priority="22091"/>
    <cfRule type="duplicateValues" dxfId="18306" priority="22092"/>
    <cfRule type="duplicateValues" dxfId="18305" priority="22093"/>
    <cfRule type="duplicateValues" dxfId="18304" priority="22094"/>
    <cfRule type="duplicateValues" dxfId="18303" priority="22095"/>
    <cfRule type="duplicateValues" dxfId="18302" priority="22096"/>
    <cfRule type="duplicateValues" dxfId="18301" priority="22097"/>
    <cfRule type="duplicateValues" dxfId="18300" priority="22098"/>
    <cfRule type="duplicateValues" dxfId="18299" priority="22099"/>
    <cfRule type="duplicateValues" dxfId="18298" priority="22100"/>
    <cfRule type="duplicateValues" dxfId="18297" priority="22101"/>
    <cfRule type="duplicateValues" dxfId="18296" priority="22102"/>
    <cfRule type="duplicateValues" dxfId="18295" priority="22103"/>
    <cfRule type="duplicateValues" dxfId="18294" priority="22104"/>
    <cfRule type="duplicateValues" dxfId="18293" priority="22105"/>
    <cfRule type="duplicateValues" dxfId="18292" priority="22106"/>
    <cfRule type="duplicateValues" dxfId="18291" priority="22107"/>
    <cfRule type="duplicateValues" dxfId="18290" priority="22108"/>
    <cfRule type="duplicateValues" dxfId="18289" priority="22109"/>
    <cfRule type="duplicateValues" dxfId="18288" priority="22110"/>
    <cfRule type="duplicateValues" dxfId="18287" priority="22111"/>
    <cfRule type="duplicateValues" dxfId="18286" priority="22112"/>
    <cfRule type="duplicateValues" dxfId="18285" priority="22113"/>
    <cfRule type="duplicateValues" dxfId="18284" priority="22114"/>
    <cfRule type="duplicateValues" dxfId="18283" priority="22115"/>
    <cfRule type="duplicateValues" dxfId="18282" priority="22116"/>
    <cfRule type="duplicateValues" dxfId="18281" priority="22117"/>
    <cfRule type="duplicateValues" dxfId="18280" priority="22118"/>
    <cfRule type="duplicateValues" dxfId="18279" priority="22119"/>
    <cfRule type="duplicateValues" dxfId="18278" priority="22120"/>
    <cfRule type="duplicateValues" dxfId="18277" priority="22121"/>
    <cfRule type="duplicateValues" dxfId="18276" priority="22122"/>
    <cfRule type="duplicateValues" dxfId="18275" priority="22123"/>
    <cfRule type="duplicateValues" dxfId="18274" priority="22124"/>
    <cfRule type="duplicateValues" dxfId="18273" priority="22125"/>
    <cfRule type="duplicateValues" dxfId="18272" priority="22126"/>
    <cfRule type="duplicateValues" dxfId="18271" priority="22127"/>
    <cfRule type="duplicateValues" dxfId="18270" priority="22128"/>
    <cfRule type="duplicateValues" dxfId="18269" priority="22129"/>
    <cfRule type="duplicateValues" dxfId="18268" priority="22130"/>
    <cfRule type="duplicateValues" dxfId="18267" priority="22131"/>
    <cfRule type="duplicateValues" dxfId="18266" priority="22132"/>
    <cfRule type="duplicateValues" dxfId="18265" priority="22133"/>
    <cfRule type="duplicateValues" dxfId="18264" priority="22134"/>
    <cfRule type="duplicateValues" dxfId="18263" priority="22135"/>
    <cfRule type="duplicateValues" dxfId="18262" priority="22136"/>
    <cfRule type="duplicateValues" dxfId="18261" priority="22137"/>
    <cfRule type="duplicateValues" dxfId="18260" priority="22138"/>
    <cfRule type="duplicateValues" dxfId="18259" priority="22139"/>
    <cfRule type="duplicateValues" dxfId="18258" priority="22140"/>
    <cfRule type="duplicateValues" dxfId="18257" priority="22141"/>
    <cfRule type="duplicateValues" dxfId="18256" priority="22142"/>
    <cfRule type="duplicateValues" dxfId="18255" priority="22143"/>
    <cfRule type="duplicateValues" dxfId="18254" priority="22144"/>
    <cfRule type="duplicateValues" dxfId="18253" priority="22145"/>
    <cfRule type="duplicateValues" dxfId="18252" priority="22146"/>
    <cfRule type="duplicateValues" dxfId="18251" priority="22147"/>
    <cfRule type="duplicateValues" dxfId="18250" priority="22148"/>
    <cfRule type="duplicateValues" dxfId="18249" priority="22149"/>
    <cfRule type="duplicateValues" dxfId="18248" priority="22150"/>
    <cfRule type="duplicateValues" dxfId="18247" priority="22151"/>
    <cfRule type="duplicateValues" dxfId="18246" priority="22152"/>
    <cfRule type="duplicateValues" dxfId="18245" priority="22153"/>
    <cfRule type="duplicateValues" dxfId="18244" priority="22154"/>
    <cfRule type="duplicateValues" dxfId="18243" priority="22155"/>
    <cfRule type="duplicateValues" dxfId="18242" priority="22156"/>
    <cfRule type="duplicateValues" dxfId="18241" priority="22157"/>
    <cfRule type="duplicateValues" dxfId="18240" priority="22158"/>
    <cfRule type="duplicateValues" dxfId="18239" priority="22159"/>
    <cfRule type="duplicateValues" dxfId="18238" priority="22160"/>
    <cfRule type="duplicateValues" dxfId="18237" priority="22161"/>
    <cfRule type="duplicateValues" dxfId="18236" priority="22162"/>
    <cfRule type="duplicateValues" dxfId="18235" priority="22163"/>
    <cfRule type="duplicateValues" dxfId="18234" priority="22164"/>
    <cfRule type="duplicateValues" dxfId="18233" priority="22165"/>
    <cfRule type="duplicateValues" dxfId="18232" priority="22166"/>
    <cfRule type="duplicateValues" dxfId="18231" priority="22167"/>
    <cfRule type="duplicateValues" dxfId="18230" priority="22168"/>
    <cfRule type="duplicateValues" dxfId="18229" priority="22169"/>
    <cfRule type="duplicateValues" dxfId="18228" priority="22170"/>
    <cfRule type="duplicateValues" dxfId="18227" priority="22171"/>
    <cfRule type="duplicateValues" dxfId="18226" priority="22172"/>
    <cfRule type="duplicateValues" dxfId="18225" priority="22173"/>
    <cfRule type="duplicateValues" dxfId="18224" priority="22174"/>
    <cfRule type="duplicateValues" dxfId="18223" priority="22175"/>
    <cfRule type="duplicateValues" dxfId="18222" priority="22176"/>
    <cfRule type="duplicateValues" dxfId="18221" priority="22177"/>
    <cfRule type="duplicateValues" dxfId="18220" priority="22178"/>
    <cfRule type="duplicateValues" dxfId="18219" priority="22179"/>
    <cfRule type="duplicateValues" dxfId="18218" priority="22180"/>
    <cfRule type="duplicateValues" dxfId="18217" priority="22181"/>
    <cfRule type="duplicateValues" dxfId="18216" priority="22182"/>
    <cfRule type="duplicateValues" dxfId="18215" priority="22183"/>
    <cfRule type="duplicateValues" dxfId="18214" priority="22184"/>
    <cfRule type="duplicateValues" dxfId="18213" priority="22185"/>
    <cfRule type="duplicateValues" dxfId="18212" priority="22186"/>
    <cfRule type="duplicateValues" dxfId="18211" priority="22187"/>
    <cfRule type="duplicateValues" dxfId="18210" priority="22188"/>
    <cfRule type="duplicateValues" dxfId="18209" priority="22189"/>
    <cfRule type="duplicateValues" dxfId="18208" priority="22190"/>
    <cfRule type="duplicateValues" dxfId="18207" priority="22191"/>
    <cfRule type="duplicateValues" dxfId="18206" priority="22192"/>
    <cfRule type="duplicateValues" dxfId="18205" priority="22193"/>
    <cfRule type="duplicateValues" dxfId="18204" priority="22194"/>
    <cfRule type="duplicateValues" dxfId="18203" priority="22195"/>
    <cfRule type="duplicateValues" dxfId="18202" priority="22196"/>
    <cfRule type="duplicateValues" dxfId="18201" priority="22197"/>
    <cfRule type="duplicateValues" dxfId="18200" priority="22198"/>
    <cfRule type="duplicateValues" dxfId="18199" priority="22199"/>
    <cfRule type="duplicateValues" dxfId="18198" priority="22200"/>
    <cfRule type="duplicateValues" dxfId="18197" priority="22201"/>
    <cfRule type="duplicateValues" dxfId="18196" priority="22202"/>
    <cfRule type="duplicateValues" dxfId="18195" priority="22203"/>
    <cfRule type="duplicateValues" dxfId="18194" priority="22204"/>
    <cfRule type="duplicateValues" dxfId="18193" priority="22205"/>
    <cfRule type="duplicateValues" dxfId="18192" priority="22206"/>
    <cfRule type="duplicateValues" dxfId="18191" priority="22207"/>
    <cfRule type="duplicateValues" dxfId="18190" priority="22208"/>
    <cfRule type="duplicateValues" dxfId="18189" priority="22209"/>
    <cfRule type="duplicateValues" dxfId="18188" priority="22210"/>
    <cfRule type="duplicateValues" dxfId="18187" priority="22211"/>
    <cfRule type="duplicateValues" dxfId="18186" priority="22212"/>
    <cfRule type="duplicateValues" dxfId="18185" priority="22213"/>
    <cfRule type="duplicateValues" dxfId="18184" priority="22214"/>
    <cfRule type="duplicateValues" dxfId="18183" priority="22215"/>
    <cfRule type="duplicateValues" dxfId="18182" priority="22216"/>
    <cfRule type="duplicateValues" dxfId="18181" priority="22217"/>
    <cfRule type="duplicateValues" dxfId="18180" priority="22218"/>
    <cfRule type="duplicateValues" dxfId="18179" priority="22219"/>
    <cfRule type="duplicateValues" dxfId="18178" priority="22220"/>
    <cfRule type="duplicateValues" dxfId="18177" priority="22221"/>
    <cfRule type="duplicateValues" dxfId="18176" priority="22222"/>
    <cfRule type="duplicateValues" dxfId="18175" priority="22223"/>
    <cfRule type="duplicateValues" dxfId="18174" priority="22224"/>
    <cfRule type="duplicateValues" dxfId="18173" priority="22225"/>
    <cfRule type="duplicateValues" dxfId="18172" priority="22226"/>
    <cfRule type="duplicateValues" dxfId="18171" priority="22227"/>
    <cfRule type="duplicateValues" dxfId="18170" priority="22228"/>
    <cfRule type="duplicateValues" dxfId="18169" priority="22229"/>
    <cfRule type="duplicateValues" dxfId="18168" priority="22230"/>
    <cfRule type="duplicateValues" dxfId="18167" priority="22231"/>
    <cfRule type="duplicateValues" dxfId="18166" priority="22232"/>
    <cfRule type="duplicateValues" dxfId="18165" priority="22233"/>
    <cfRule type="duplicateValues" dxfId="18164" priority="22234"/>
    <cfRule type="duplicateValues" dxfId="18163" priority="22235"/>
    <cfRule type="duplicateValues" dxfId="18162" priority="22236"/>
    <cfRule type="duplicateValues" dxfId="18161" priority="22237"/>
    <cfRule type="duplicateValues" dxfId="18160" priority="22238"/>
    <cfRule type="duplicateValues" dxfId="18159" priority="22239"/>
    <cfRule type="duplicateValues" dxfId="18158" priority="22240"/>
    <cfRule type="duplicateValues" dxfId="18157" priority="22241"/>
    <cfRule type="duplicateValues" dxfId="18156" priority="22242"/>
    <cfRule type="duplicateValues" dxfId="18155" priority="22243"/>
    <cfRule type="duplicateValues" dxfId="18154" priority="22244"/>
    <cfRule type="duplicateValues" dxfId="18153" priority="22245"/>
    <cfRule type="duplicateValues" dxfId="18152" priority="22246"/>
    <cfRule type="duplicateValues" dxfId="18151" priority="22247"/>
    <cfRule type="duplicateValues" dxfId="18150" priority="22248"/>
    <cfRule type="duplicateValues" dxfId="18149" priority="22249"/>
    <cfRule type="duplicateValues" dxfId="18148" priority="22250"/>
    <cfRule type="duplicateValues" dxfId="18147" priority="22251"/>
    <cfRule type="duplicateValues" dxfId="18146" priority="22252"/>
    <cfRule type="duplicateValues" dxfId="18145" priority="22253"/>
    <cfRule type="duplicateValues" dxfId="18144" priority="22254"/>
    <cfRule type="duplicateValues" dxfId="18143" priority="22255"/>
    <cfRule type="duplicateValues" dxfId="18142" priority="22256"/>
  </conditionalFormatting>
  <conditionalFormatting sqref="C237">
    <cfRule type="duplicateValues" dxfId="18141" priority="21567"/>
    <cfRule type="duplicateValues" dxfId="18140" priority="21568"/>
    <cfRule type="duplicateValues" dxfId="18139" priority="21569"/>
    <cfRule type="duplicateValues" dxfId="18138" priority="21570"/>
    <cfRule type="duplicateValues" dxfId="18137" priority="21571"/>
    <cfRule type="duplicateValues" dxfId="18136" priority="21572"/>
    <cfRule type="duplicateValues" dxfId="18135" priority="21573"/>
    <cfRule type="duplicateValues" dxfId="18134" priority="21574"/>
    <cfRule type="duplicateValues" dxfId="18133" priority="21575"/>
    <cfRule type="duplicateValues" dxfId="18132" priority="21576"/>
    <cfRule type="duplicateValues" dxfId="18131" priority="21577"/>
    <cfRule type="duplicateValues" dxfId="18130" priority="21578"/>
    <cfRule type="duplicateValues" dxfId="18129" priority="21579"/>
    <cfRule type="duplicateValues" dxfId="18128" priority="21580"/>
    <cfRule type="duplicateValues" dxfId="18127" priority="21581"/>
    <cfRule type="duplicateValues" dxfId="18126" priority="21582"/>
    <cfRule type="duplicateValues" dxfId="18125" priority="21583"/>
    <cfRule type="duplicateValues" dxfId="18124" priority="21584"/>
    <cfRule type="duplicateValues" dxfId="18123" priority="21585"/>
    <cfRule type="duplicateValues" dxfId="18122" priority="21586"/>
    <cfRule type="duplicateValues" dxfId="18121" priority="21587"/>
    <cfRule type="duplicateValues" dxfId="18120" priority="21588"/>
    <cfRule type="duplicateValues" dxfId="18119" priority="21589"/>
    <cfRule type="duplicateValues" dxfId="18118" priority="21590"/>
    <cfRule type="duplicateValues" dxfId="18117" priority="21591"/>
    <cfRule type="duplicateValues" dxfId="18116" priority="21592"/>
    <cfRule type="duplicateValues" dxfId="18115" priority="21593"/>
    <cfRule type="duplicateValues" dxfId="18114" priority="21594"/>
    <cfRule type="duplicateValues" dxfId="18113" priority="21595"/>
    <cfRule type="duplicateValues" dxfId="18112" priority="21596"/>
    <cfRule type="duplicateValues" dxfId="18111" priority="21597"/>
    <cfRule type="duplicateValues" dxfId="18110" priority="21598"/>
    <cfRule type="duplicateValues" dxfId="18109" priority="21599"/>
    <cfRule type="duplicateValues" dxfId="18108" priority="21600"/>
    <cfRule type="duplicateValues" dxfId="18107" priority="21601"/>
    <cfRule type="duplicateValues" dxfId="18106" priority="21602"/>
    <cfRule type="duplicateValues" dxfId="18105" priority="21603"/>
    <cfRule type="duplicateValues" dxfId="18104" priority="21604"/>
    <cfRule type="duplicateValues" dxfId="18103" priority="21605"/>
    <cfRule type="duplicateValues" dxfId="18102" priority="21606"/>
    <cfRule type="duplicateValues" dxfId="18101" priority="21607"/>
    <cfRule type="duplicateValues" dxfId="18100" priority="21608"/>
    <cfRule type="duplicateValues" dxfId="18099" priority="21609"/>
    <cfRule type="duplicateValues" dxfId="18098" priority="21610"/>
    <cfRule type="duplicateValues" dxfId="18097" priority="21611"/>
    <cfRule type="duplicateValues" dxfId="18096" priority="21612"/>
    <cfRule type="duplicateValues" dxfId="18095" priority="21613"/>
    <cfRule type="duplicateValues" dxfId="18094" priority="21614"/>
    <cfRule type="duplicateValues" dxfId="18093" priority="21615"/>
    <cfRule type="duplicateValues" dxfId="18092" priority="21616"/>
    <cfRule type="duplicateValues" dxfId="18091" priority="21617"/>
    <cfRule type="duplicateValues" dxfId="18090" priority="21618"/>
    <cfRule type="duplicateValues" dxfId="18089" priority="21619"/>
    <cfRule type="duplicateValues" dxfId="18088" priority="21620"/>
    <cfRule type="duplicateValues" dxfId="18087" priority="21621"/>
    <cfRule type="duplicateValues" dxfId="18086" priority="21622"/>
    <cfRule type="duplicateValues" dxfId="18085" priority="21623"/>
    <cfRule type="duplicateValues" dxfId="18084" priority="21624"/>
    <cfRule type="duplicateValues" dxfId="18083" priority="21625"/>
    <cfRule type="duplicateValues" dxfId="18082" priority="21626"/>
    <cfRule type="duplicateValues" dxfId="18081" priority="21627"/>
    <cfRule type="duplicateValues" dxfId="18080" priority="21628"/>
    <cfRule type="duplicateValues" dxfId="18079" priority="21629"/>
    <cfRule type="duplicateValues" dxfId="18078" priority="21630"/>
    <cfRule type="duplicateValues" dxfId="18077" priority="21631"/>
    <cfRule type="duplicateValues" dxfId="18076" priority="21632"/>
    <cfRule type="duplicateValues" dxfId="18075" priority="21633"/>
    <cfRule type="duplicateValues" dxfId="18074" priority="21634"/>
    <cfRule type="duplicateValues" dxfId="18073" priority="21635"/>
    <cfRule type="duplicateValues" dxfId="18072" priority="21636"/>
    <cfRule type="duplicateValues" dxfId="18071" priority="21637"/>
    <cfRule type="duplicateValues" dxfId="18070" priority="21638"/>
    <cfRule type="duplicateValues" dxfId="18069" priority="21639"/>
    <cfRule type="duplicateValues" dxfId="18068" priority="21640"/>
    <cfRule type="duplicateValues" dxfId="18067" priority="21641"/>
    <cfRule type="duplicateValues" dxfId="18066" priority="21642"/>
    <cfRule type="duplicateValues" dxfId="18065" priority="21643"/>
    <cfRule type="duplicateValues" dxfId="18064" priority="21644"/>
    <cfRule type="duplicateValues" dxfId="18063" priority="21645"/>
    <cfRule type="duplicateValues" dxfId="18062" priority="21646"/>
    <cfRule type="duplicateValues" dxfId="18061" priority="21647"/>
    <cfRule type="duplicateValues" dxfId="18060" priority="21648"/>
    <cfRule type="duplicateValues" dxfId="18059" priority="21649"/>
    <cfRule type="duplicateValues" dxfId="18058" priority="21650"/>
    <cfRule type="duplicateValues" dxfId="18057" priority="21651"/>
    <cfRule type="duplicateValues" dxfId="18056" priority="21652"/>
    <cfRule type="duplicateValues" dxfId="18055" priority="21653"/>
    <cfRule type="duplicateValues" dxfId="18054" priority="21654"/>
    <cfRule type="duplicateValues" dxfId="18053" priority="21655"/>
    <cfRule type="duplicateValues" dxfId="18052" priority="21656"/>
    <cfRule type="duplicateValues" dxfId="18051" priority="21657"/>
    <cfRule type="duplicateValues" dxfId="18050" priority="21658"/>
    <cfRule type="duplicateValues" dxfId="18049" priority="21659"/>
    <cfRule type="duplicateValues" dxfId="18048" priority="21660"/>
    <cfRule type="duplicateValues" dxfId="18047" priority="21661"/>
    <cfRule type="duplicateValues" dxfId="18046" priority="21662"/>
    <cfRule type="duplicateValues" dxfId="18045" priority="21663"/>
    <cfRule type="duplicateValues" dxfId="18044" priority="21664"/>
    <cfRule type="duplicateValues" dxfId="18043" priority="21665"/>
    <cfRule type="duplicateValues" dxfId="18042" priority="21666"/>
    <cfRule type="duplicateValues" dxfId="18041" priority="21667"/>
    <cfRule type="duplicateValues" dxfId="18040" priority="21668"/>
    <cfRule type="duplicateValues" dxfId="18039" priority="21669"/>
    <cfRule type="duplicateValues" dxfId="18038" priority="21670"/>
    <cfRule type="duplicateValues" dxfId="18037" priority="21671"/>
    <cfRule type="duplicateValues" dxfId="18036" priority="21672"/>
    <cfRule type="duplicateValues" dxfId="18035" priority="21673"/>
    <cfRule type="duplicateValues" dxfId="18034" priority="21674"/>
    <cfRule type="duplicateValues" dxfId="18033" priority="21675"/>
    <cfRule type="duplicateValues" dxfId="18032" priority="21676"/>
    <cfRule type="duplicateValues" dxfId="18031" priority="21677"/>
    <cfRule type="duplicateValues" dxfId="18030" priority="21678"/>
    <cfRule type="duplicateValues" dxfId="18029" priority="21679"/>
    <cfRule type="duplicateValues" dxfId="18028" priority="21680"/>
    <cfRule type="duplicateValues" dxfId="18027" priority="21681"/>
    <cfRule type="duplicateValues" dxfId="18026" priority="21682"/>
    <cfRule type="duplicateValues" dxfId="18025" priority="21683"/>
    <cfRule type="duplicateValues" dxfId="18024" priority="21684"/>
    <cfRule type="duplicateValues" dxfId="18023" priority="21685"/>
    <cfRule type="duplicateValues" dxfId="18022" priority="21686"/>
    <cfRule type="duplicateValues" dxfId="18021" priority="21687"/>
    <cfRule type="duplicateValues" dxfId="18020" priority="21688"/>
    <cfRule type="duplicateValues" dxfId="18019" priority="21689"/>
    <cfRule type="duplicateValues" dxfId="18018" priority="21690"/>
    <cfRule type="duplicateValues" dxfId="18017" priority="21691"/>
    <cfRule type="duplicateValues" dxfId="18016" priority="21692"/>
    <cfRule type="duplicateValues" dxfId="18015" priority="21693"/>
    <cfRule type="duplicateValues" dxfId="18014" priority="21694"/>
    <cfRule type="duplicateValues" dxfId="18013" priority="21695"/>
    <cfRule type="duplicateValues" dxfId="18012" priority="21696"/>
    <cfRule type="duplicateValues" dxfId="18011" priority="21697"/>
    <cfRule type="duplicateValues" dxfId="18010" priority="21698"/>
    <cfRule type="duplicateValues" dxfId="18009" priority="21699"/>
    <cfRule type="duplicateValues" dxfId="18008" priority="21700"/>
    <cfRule type="duplicateValues" dxfId="18007" priority="21701"/>
    <cfRule type="duplicateValues" dxfId="18006" priority="21702"/>
    <cfRule type="duplicateValues" dxfId="18005" priority="21703"/>
    <cfRule type="duplicateValues" dxfId="18004" priority="21704"/>
    <cfRule type="duplicateValues" dxfId="18003" priority="21705"/>
    <cfRule type="duplicateValues" dxfId="18002" priority="21706"/>
    <cfRule type="duplicateValues" dxfId="18001" priority="21707"/>
    <cfRule type="duplicateValues" dxfId="18000" priority="21708"/>
    <cfRule type="duplicateValues" dxfId="17999" priority="21709"/>
    <cfRule type="duplicateValues" dxfId="17998" priority="21710"/>
    <cfRule type="duplicateValues" dxfId="17997" priority="21711"/>
    <cfRule type="duplicateValues" dxfId="17996" priority="21712"/>
    <cfRule type="duplicateValues" dxfId="17995" priority="21713"/>
    <cfRule type="duplicateValues" dxfId="17994" priority="21714"/>
    <cfRule type="duplicateValues" dxfId="17993" priority="21715"/>
    <cfRule type="duplicateValues" dxfId="17992" priority="21716"/>
    <cfRule type="duplicateValues" dxfId="17991" priority="21717"/>
    <cfRule type="duplicateValues" dxfId="17990" priority="21718"/>
    <cfRule type="duplicateValues" dxfId="17989" priority="21719"/>
    <cfRule type="duplicateValues" dxfId="17988" priority="21720"/>
    <cfRule type="duplicateValues" dxfId="17987" priority="21721"/>
    <cfRule type="duplicateValues" dxfId="17986" priority="21722"/>
    <cfRule type="duplicateValues" dxfId="17985" priority="21723"/>
    <cfRule type="duplicateValues" dxfId="17984" priority="21724"/>
    <cfRule type="duplicateValues" dxfId="17983" priority="21725"/>
    <cfRule type="duplicateValues" dxfId="17982" priority="21726"/>
    <cfRule type="duplicateValues" dxfId="17981" priority="21727"/>
    <cfRule type="duplicateValues" dxfId="17980" priority="21728"/>
    <cfRule type="duplicateValues" dxfId="17979" priority="21729"/>
    <cfRule type="duplicateValues" dxfId="17978" priority="21730"/>
    <cfRule type="duplicateValues" dxfId="17977" priority="21731"/>
    <cfRule type="duplicateValues" dxfId="17976" priority="21732"/>
    <cfRule type="duplicateValues" dxfId="17975" priority="21733"/>
    <cfRule type="duplicateValues" dxfId="17974" priority="21734"/>
    <cfRule type="duplicateValues" dxfId="17973" priority="21735"/>
    <cfRule type="duplicateValues" dxfId="17972" priority="21736"/>
    <cfRule type="duplicateValues" dxfId="17971" priority="21737"/>
    <cfRule type="duplicateValues" dxfId="17970" priority="21738"/>
    <cfRule type="duplicateValues" dxfId="17969" priority="21739"/>
    <cfRule type="duplicateValues" dxfId="17968" priority="21740"/>
    <cfRule type="duplicateValues" dxfId="17967" priority="21741"/>
    <cfRule type="duplicateValues" dxfId="17966" priority="21742"/>
    <cfRule type="duplicateValues" dxfId="17965" priority="21743"/>
    <cfRule type="duplicateValues" dxfId="17964" priority="21744"/>
    <cfRule type="duplicateValues" dxfId="17963" priority="21745"/>
    <cfRule type="duplicateValues" dxfId="17962" priority="21746"/>
    <cfRule type="duplicateValues" dxfId="17961" priority="21747"/>
    <cfRule type="duplicateValues" dxfId="17960" priority="21748"/>
    <cfRule type="duplicateValues" dxfId="17959" priority="21749"/>
    <cfRule type="duplicateValues" dxfId="17958" priority="21750"/>
    <cfRule type="duplicateValues" dxfId="17957" priority="21751"/>
    <cfRule type="duplicateValues" dxfId="17956" priority="21752"/>
    <cfRule type="duplicateValues" dxfId="17955" priority="21753"/>
    <cfRule type="duplicateValues" dxfId="17954" priority="21754"/>
    <cfRule type="duplicateValues" dxfId="17953" priority="21755"/>
    <cfRule type="duplicateValues" dxfId="17952" priority="21756"/>
    <cfRule type="duplicateValues" dxfId="17951" priority="21757"/>
    <cfRule type="duplicateValues" dxfId="17950" priority="21758"/>
    <cfRule type="duplicateValues" dxfId="17949" priority="21759"/>
    <cfRule type="duplicateValues" dxfId="17948" priority="21760"/>
    <cfRule type="duplicateValues" dxfId="17947" priority="21761"/>
    <cfRule type="duplicateValues" dxfId="17946" priority="21762"/>
    <cfRule type="duplicateValues" dxfId="17945" priority="21763"/>
    <cfRule type="duplicateValues" dxfId="17944" priority="21764"/>
    <cfRule type="duplicateValues" dxfId="17943" priority="21765"/>
    <cfRule type="duplicateValues" dxfId="17942" priority="21766"/>
    <cfRule type="duplicateValues" dxfId="17941" priority="21767"/>
    <cfRule type="duplicateValues" dxfId="17940" priority="21768"/>
    <cfRule type="duplicateValues" dxfId="17939" priority="21769"/>
    <cfRule type="duplicateValues" dxfId="17938" priority="21770"/>
    <cfRule type="duplicateValues" dxfId="17937" priority="21771"/>
    <cfRule type="duplicateValues" dxfId="17936" priority="21772"/>
    <cfRule type="duplicateValues" dxfId="17935" priority="21773"/>
    <cfRule type="duplicateValues" dxfId="17934" priority="21774"/>
    <cfRule type="duplicateValues" dxfId="17933" priority="21775"/>
    <cfRule type="duplicateValues" dxfId="17932" priority="21776"/>
    <cfRule type="duplicateValues" dxfId="17931" priority="21777"/>
    <cfRule type="duplicateValues" dxfId="17930" priority="21778"/>
    <cfRule type="duplicateValues" dxfId="17929" priority="21779"/>
    <cfRule type="duplicateValues" dxfId="17928" priority="21780"/>
    <cfRule type="duplicateValues" dxfId="17927" priority="21781"/>
    <cfRule type="duplicateValues" dxfId="17926" priority="21782"/>
    <cfRule type="duplicateValues" dxfId="17925" priority="21783"/>
    <cfRule type="duplicateValues" dxfId="17924" priority="21784"/>
    <cfRule type="duplicateValues" dxfId="17923" priority="21785"/>
    <cfRule type="duplicateValues" dxfId="17922" priority="21786"/>
    <cfRule type="duplicateValues" dxfId="17921" priority="21787"/>
    <cfRule type="duplicateValues" dxfId="17920" priority="21788"/>
    <cfRule type="duplicateValues" dxfId="17919" priority="21789"/>
    <cfRule type="duplicateValues" dxfId="17918" priority="21790"/>
    <cfRule type="duplicateValues" dxfId="17917" priority="21791"/>
    <cfRule type="duplicateValues" dxfId="17916" priority="21792"/>
    <cfRule type="duplicateValues" dxfId="17915" priority="21793"/>
    <cfRule type="duplicateValues" dxfId="17914" priority="21794"/>
    <cfRule type="duplicateValues" dxfId="17913" priority="21795"/>
    <cfRule type="duplicateValues" dxfId="17912" priority="21796"/>
    <cfRule type="duplicateValues" dxfId="17911" priority="21797"/>
    <cfRule type="duplicateValues" dxfId="17910" priority="21798"/>
    <cfRule type="duplicateValues" dxfId="17909" priority="21799"/>
    <cfRule type="duplicateValues" dxfId="17908" priority="21800"/>
    <cfRule type="duplicateValues" dxfId="17907" priority="21801"/>
    <cfRule type="duplicateValues" dxfId="17906" priority="21802"/>
    <cfRule type="duplicateValues" dxfId="17905" priority="21803"/>
    <cfRule type="duplicateValues" dxfId="17904" priority="21804"/>
    <cfRule type="duplicateValues" dxfId="17903" priority="21805"/>
    <cfRule type="duplicateValues" dxfId="17902" priority="21806"/>
    <cfRule type="duplicateValues" dxfId="17901" priority="21807"/>
    <cfRule type="duplicateValues" dxfId="17900" priority="21808"/>
    <cfRule type="duplicateValues" dxfId="17899" priority="21809"/>
    <cfRule type="duplicateValues" dxfId="17898" priority="21810"/>
    <cfRule type="duplicateValues" dxfId="17897" priority="21811"/>
    <cfRule type="duplicateValues" dxfId="17896" priority="21812"/>
    <cfRule type="duplicateValues" dxfId="17895" priority="21813"/>
    <cfRule type="duplicateValues" dxfId="17894" priority="21814"/>
    <cfRule type="duplicateValues" dxfId="17893" priority="21815"/>
    <cfRule type="duplicateValues" dxfId="17892" priority="21816"/>
    <cfRule type="duplicateValues" dxfId="17891" priority="21817"/>
    <cfRule type="duplicateValues" dxfId="17890" priority="21818"/>
    <cfRule type="duplicateValues" dxfId="17889" priority="21819"/>
    <cfRule type="duplicateValues" dxfId="17888" priority="21820"/>
    <cfRule type="duplicateValues" dxfId="17887" priority="21821"/>
    <cfRule type="duplicateValues" dxfId="17886" priority="21822"/>
    <cfRule type="duplicateValues" dxfId="17885" priority="21823"/>
    <cfRule type="duplicateValues" dxfId="17884" priority="21824"/>
    <cfRule type="duplicateValues" dxfId="17883" priority="21825"/>
    <cfRule type="duplicateValues" dxfId="17882" priority="21826"/>
    <cfRule type="duplicateValues" dxfId="17881" priority="21827"/>
    <cfRule type="duplicateValues" dxfId="17880" priority="21828"/>
    <cfRule type="duplicateValues" dxfId="17879" priority="21829"/>
    <cfRule type="duplicateValues" dxfId="17878" priority="21830"/>
    <cfRule type="duplicateValues" dxfId="17877" priority="21831"/>
    <cfRule type="duplicateValues" dxfId="17876" priority="21832"/>
    <cfRule type="duplicateValues" dxfId="17875" priority="21833"/>
    <cfRule type="duplicateValues" dxfId="17874" priority="21834"/>
    <cfRule type="duplicateValues" dxfId="17873" priority="21835"/>
    <cfRule type="duplicateValues" dxfId="17872" priority="21836"/>
    <cfRule type="duplicateValues" dxfId="17871" priority="21837"/>
    <cfRule type="duplicateValues" dxfId="17870" priority="21838"/>
    <cfRule type="duplicateValues" dxfId="17869" priority="21839"/>
    <cfRule type="duplicateValues" dxfId="17868" priority="21840"/>
    <cfRule type="duplicateValues" dxfId="17867" priority="21841"/>
    <cfRule type="duplicateValues" dxfId="17866" priority="21842"/>
    <cfRule type="duplicateValues" dxfId="17865" priority="21843"/>
    <cfRule type="duplicateValues" dxfId="17864" priority="21844"/>
    <cfRule type="duplicateValues" dxfId="17863" priority="21845"/>
    <cfRule type="duplicateValues" dxfId="17862" priority="21846"/>
    <cfRule type="duplicateValues" dxfId="17861" priority="21847"/>
    <cfRule type="duplicateValues" dxfId="17860" priority="21848"/>
    <cfRule type="duplicateValues" dxfId="17859" priority="21849"/>
    <cfRule type="duplicateValues" dxfId="17858" priority="21850"/>
    <cfRule type="duplicateValues" dxfId="17857" priority="21851"/>
    <cfRule type="duplicateValues" dxfId="17856" priority="21852"/>
    <cfRule type="duplicateValues" dxfId="17855" priority="21853"/>
    <cfRule type="duplicateValues" dxfId="17854" priority="21854"/>
    <cfRule type="duplicateValues" dxfId="17853" priority="21855"/>
    <cfRule type="duplicateValues" dxfId="17852" priority="21856"/>
    <cfRule type="duplicateValues" dxfId="17851" priority="21857"/>
    <cfRule type="duplicateValues" dxfId="17850" priority="21858"/>
    <cfRule type="duplicateValues" dxfId="17849" priority="21859"/>
    <cfRule type="duplicateValues" dxfId="17848" priority="21860"/>
    <cfRule type="duplicateValues" dxfId="17847" priority="21861"/>
    <cfRule type="duplicateValues" dxfId="17846" priority="21862"/>
    <cfRule type="duplicateValues" dxfId="17845" priority="21863"/>
    <cfRule type="duplicateValues" dxfId="17844" priority="21864"/>
    <cfRule type="duplicateValues" dxfId="17843" priority="21865"/>
    <cfRule type="duplicateValues" dxfId="17842" priority="21866"/>
    <cfRule type="duplicateValues" dxfId="17841" priority="21867"/>
    <cfRule type="duplicateValues" dxfId="17840" priority="21868"/>
    <cfRule type="duplicateValues" dxfId="17839" priority="21869"/>
    <cfRule type="duplicateValues" dxfId="17838" priority="21870"/>
    <cfRule type="duplicateValues" dxfId="17837" priority="21871"/>
    <cfRule type="duplicateValues" dxfId="17836" priority="21872"/>
    <cfRule type="duplicateValues" dxfId="17835" priority="21873"/>
    <cfRule type="duplicateValues" dxfId="17834" priority="21874"/>
    <cfRule type="duplicateValues" dxfId="17833" priority="21875"/>
    <cfRule type="duplicateValues" dxfId="17832" priority="21876"/>
    <cfRule type="duplicateValues" dxfId="17831" priority="21877"/>
    <cfRule type="duplicateValues" dxfId="17830" priority="21878"/>
    <cfRule type="duplicateValues" dxfId="17829" priority="21879"/>
    <cfRule type="duplicateValues" dxfId="17828" priority="21880"/>
    <cfRule type="duplicateValues" dxfId="17827" priority="21881"/>
    <cfRule type="duplicateValues" dxfId="17826" priority="21882"/>
    <cfRule type="duplicateValues" dxfId="17825" priority="21883"/>
    <cfRule type="duplicateValues" dxfId="17824" priority="21884"/>
    <cfRule type="duplicateValues" dxfId="17823" priority="21885"/>
    <cfRule type="duplicateValues" dxfId="17822" priority="21886"/>
    <cfRule type="duplicateValues" dxfId="17821" priority="21887"/>
    <cfRule type="duplicateValues" dxfId="17820" priority="21888"/>
    <cfRule type="duplicateValues" dxfId="17819" priority="21889"/>
    <cfRule type="duplicateValues" dxfId="17818" priority="21890"/>
    <cfRule type="duplicateValues" dxfId="17817" priority="21891"/>
    <cfRule type="duplicateValues" dxfId="17816" priority="21892"/>
    <cfRule type="duplicateValues" dxfId="17815" priority="21893"/>
    <cfRule type="duplicateValues" dxfId="17814" priority="21894"/>
    <cfRule type="duplicateValues" dxfId="17813" priority="21895"/>
    <cfRule type="duplicateValues" dxfId="17812" priority="21896"/>
    <cfRule type="duplicateValues" dxfId="17811" priority="21897"/>
    <cfRule type="duplicateValues" dxfId="17810" priority="21898"/>
    <cfRule type="duplicateValues" dxfId="17809" priority="21899"/>
    <cfRule type="duplicateValues" dxfId="17808" priority="21900"/>
    <cfRule type="duplicateValues" dxfId="17807" priority="21901"/>
    <cfRule type="duplicateValues" dxfId="17806" priority="21902"/>
    <cfRule type="duplicateValues" dxfId="17805" priority="21903"/>
    <cfRule type="duplicateValues" dxfId="17804" priority="21904"/>
    <cfRule type="duplicateValues" dxfId="17803" priority="21905"/>
    <cfRule type="duplicateValues" dxfId="17802" priority="21906"/>
    <cfRule type="duplicateValues" dxfId="17801" priority="21907"/>
    <cfRule type="duplicateValues" dxfId="17800" priority="21908"/>
    <cfRule type="duplicateValues" dxfId="17799" priority="21909"/>
    <cfRule type="duplicateValues" dxfId="17798" priority="21910"/>
    <cfRule type="duplicateValues" dxfId="17797" priority="21911"/>
  </conditionalFormatting>
  <conditionalFormatting sqref="C238">
    <cfRule type="duplicateValues" dxfId="17796" priority="21222"/>
    <cfRule type="duplicateValues" dxfId="17795" priority="21223"/>
    <cfRule type="duplicateValues" dxfId="17794" priority="21224"/>
    <cfRule type="duplicateValues" dxfId="17793" priority="21225"/>
    <cfRule type="duplicateValues" dxfId="17792" priority="21226"/>
    <cfRule type="duplicateValues" dxfId="17791" priority="21227"/>
    <cfRule type="duplicateValues" dxfId="17790" priority="21228"/>
    <cfRule type="duplicateValues" dxfId="17789" priority="21229"/>
    <cfRule type="duplicateValues" dxfId="17788" priority="21230"/>
    <cfRule type="duplicateValues" dxfId="17787" priority="21231"/>
    <cfRule type="duplicateValues" dxfId="17786" priority="21232"/>
    <cfRule type="duplicateValues" dxfId="17785" priority="21233"/>
    <cfRule type="duplicateValues" dxfId="17784" priority="21234"/>
    <cfRule type="duplicateValues" dxfId="17783" priority="21235"/>
    <cfRule type="duplicateValues" dxfId="17782" priority="21236"/>
    <cfRule type="duplicateValues" dxfId="17781" priority="21237"/>
    <cfRule type="duplicateValues" dxfId="17780" priority="21238"/>
    <cfRule type="duplicateValues" dxfId="17779" priority="21239"/>
    <cfRule type="duplicateValues" dxfId="17778" priority="21240"/>
    <cfRule type="duplicateValues" dxfId="17777" priority="21241"/>
    <cfRule type="duplicateValues" dxfId="17776" priority="21242"/>
    <cfRule type="duplicateValues" dxfId="17775" priority="21243"/>
    <cfRule type="duplicateValues" dxfId="17774" priority="21244"/>
    <cfRule type="duplicateValues" dxfId="17773" priority="21245"/>
    <cfRule type="duplicateValues" dxfId="17772" priority="21246"/>
    <cfRule type="duplicateValues" dxfId="17771" priority="21247"/>
    <cfRule type="duplicateValues" dxfId="17770" priority="21248"/>
    <cfRule type="duplicateValues" dxfId="17769" priority="21249"/>
    <cfRule type="duplicateValues" dxfId="17768" priority="21250"/>
    <cfRule type="duplicateValues" dxfId="17767" priority="21251"/>
    <cfRule type="duplicateValues" dxfId="17766" priority="21252"/>
    <cfRule type="duplicateValues" dxfId="17765" priority="21253"/>
    <cfRule type="duplicateValues" dxfId="17764" priority="21254"/>
    <cfRule type="duplicateValues" dxfId="17763" priority="21255"/>
    <cfRule type="duplicateValues" dxfId="17762" priority="21256"/>
    <cfRule type="duplicateValues" dxfId="17761" priority="21257"/>
    <cfRule type="duplicateValues" dxfId="17760" priority="21258"/>
    <cfRule type="duplicateValues" dxfId="17759" priority="21259"/>
    <cfRule type="duplicateValues" dxfId="17758" priority="21260"/>
    <cfRule type="duplicateValues" dxfId="17757" priority="21261"/>
    <cfRule type="duplicateValues" dxfId="17756" priority="21262"/>
    <cfRule type="duplicateValues" dxfId="17755" priority="21263"/>
    <cfRule type="duplicateValues" dxfId="17754" priority="21264"/>
    <cfRule type="duplicateValues" dxfId="17753" priority="21265"/>
    <cfRule type="duplicateValues" dxfId="17752" priority="21266"/>
    <cfRule type="duplicateValues" dxfId="17751" priority="21267"/>
    <cfRule type="duplicateValues" dxfId="17750" priority="21268"/>
    <cfRule type="duplicateValues" dxfId="17749" priority="21269"/>
    <cfRule type="duplicateValues" dxfId="17748" priority="21270"/>
    <cfRule type="duplicateValues" dxfId="17747" priority="21271"/>
    <cfRule type="duplicateValues" dxfId="17746" priority="21272"/>
    <cfRule type="duplicateValues" dxfId="17745" priority="21273"/>
    <cfRule type="duplicateValues" dxfId="17744" priority="21274"/>
    <cfRule type="duplicateValues" dxfId="17743" priority="21275"/>
    <cfRule type="duplicateValues" dxfId="17742" priority="21276"/>
    <cfRule type="duplicateValues" dxfId="17741" priority="21277"/>
    <cfRule type="duplicateValues" dxfId="17740" priority="21278"/>
    <cfRule type="duplicateValues" dxfId="17739" priority="21279"/>
    <cfRule type="duplicateValues" dxfId="17738" priority="21280"/>
    <cfRule type="duplicateValues" dxfId="17737" priority="21281"/>
    <cfRule type="duplicateValues" dxfId="17736" priority="21282"/>
    <cfRule type="duplicateValues" dxfId="17735" priority="21283"/>
    <cfRule type="duplicateValues" dxfId="17734" priority="21284"/>
    <cfRule type="duplicateValues" dxfId="17733" priority="21285"/>
    <cfRule type="duplicateValues" dxfId="17732" priority="21286"/>
    <cfRule type="duplicateValues" dxfId="17731" priority="21287"/>
    <cfRule type="duplicateValues" dxfId="17730" priority="21288"/>
    <cfRule type="duplicateValues" dxfId="17729" priority="21289"/>
    <cfRule type="duplicateValues" dxfId="17728" priority="21290"/>
    <cfRule type="duplicateValues" dxfId="17727" priority="21291"/>
    <cfRule type="duplicateValues" dxfId="17726" priority="21292"/>
    <cfRule type="duplicateValues" dxfId="17725" priority="21293"/>
    <cfRule type="duplicateValues" dxfId="17724" priority="21294"/>
    <cfRule type="duplicateValues" dxfId="17723" priority="21295"/>
    <cfRule type="duplicateValues" dxfId="17722" priority="21296"/>
    <cfRule type="duplicateValues" dxfId="17721" priority="21297"/>
    <cfRule type="duplicateValues" dxfId="17720" priority="21298"/>
    <cfRule type="duplicateValues" dxfId="17719" priority="21299"/>
    <cfRule type="duplicateValues" dxfId="17718" priority="21300"/>
    <cfRule type="duplicateValues" dxfId="17717" priority="21301"/>
    <cfRule type="duplicateValues" dxfId="17716" priority="21302"/>
    <cfRule type="duplicateValues" dxfId="17715" priority="21303"/>
    <cfRule type="duplicateValues" dxfId="17714" priority="21304"/>
    <cfRule type="duplicateValues" dxfId="17713" priority="21305"/>
    <cfRule type="duplicateValues" dxfId="17712" priority="21306"/>
    <cfRule type="duplicateValues" dxfId="17711" priority="21307"/>
    <cfRule type="duplicateValues" dxfId="17710" priority="21308"/>
    <cfRule type="duplicateValues" dxfId="17709" priority="21309"/>
    <cfRule type="duplicateValues" dxfId="17708" priority="21310"/>
    <cfRule type="duplicateValues" dxfId="17707" priority="21311"/>
    <cfRule type="duplicateValues" dxfId="17706" priority="21312"/>
    <cfRule type="duplicateValues" dxfId="17705" priority="21313"/>
    <cfRule type="duplicateValues" dxfId="17704" priority="21314"/>
    <cfRule type="duplicateValues" dxfId="17703" priority="21315"/>
    <cfRule type="duplicateValues" dxfId="17702" priority="21316"/>
    <cfRule type="duplicateValues" dxfId="17701" priority="21317"/>
    <cfRule type="duplicateValues" dxfId="17700" priority="21318"/>
    <cfRule type="duplicateValues" dxfId="17699" priority="21319"/>
    <cfRule type="duplicateValues" dxfId="17698" priority="21320"/>
    <cfRule type="duplicateValues" dxfId="17697" priority="21321"/>
    <cfRule type="duplicateValues" dxfId="17696" priority="21322"/>
    <cfRule type="duplicateValues" dxfId="17695" priority="21323"/>
    <cfRule type="duplicateValues" dxfId="17694" priority="21324"/>
    <cfRule type="duplicateValues" dxfId="17693" priority="21325"/>
    <cfRule type="duplicateValues" dxfId="17692" priority="21326"/>
    <cfRule type="duplicateValues" dxfId="17691" priority="21327"/>
    <cfRule type="duplicateValues" dxfId="17690" priority="21328"/>
    <cfRule type="duplicateValues" dxfId="17689" priority="21329"/>
    <cfRule type="duplicateValues" dxfId="17688" priority="21330"/>
    <cfRule type="duplicateValues" dxfId="17687" priority="21331"/>
    <cfRule type="duplicateValues" dxfId="17686" priority="21332"/>
    <cfRule type="duplicateValues" dxfId="17685" priority="21333"/>
    <cfRule type="duplicateValues" dxfId="17684" priority="21334"/>
    <cfRule type="duplicateValues" dxfId="17683" priority="21335"/>
    <cfRule type="duplicateValues" dxfId="17682" priority="21336"/>
    <cfRule type="duplicateValues" dxfId="17681" priority="21337"/>
    <cfRule type="duplicateValues" dxfId="17680" priority="21338"/>
    <cfRule type="duplicateValues" dxfId="17679" priority="21339"/>
    <cfRule type="duplicateValues" dxfId="17678" priority="21340"/>
    <cfRule type="duplicateValues" dxfId="17677" priority="21341"/>
    <cfRule type="duplicateValues" dxfId="17676" priority="21342"/>
    <cfRule type="duplicateValues" dxfId="17675" priority="21343"/>
    <cfRule type="duplicateValues" dxfId="17674" priority="21344"/>
    <cfRule type="duplicateValues" dxfId="17673" priority="21345"/>
    <cfRule type="duplicateValues" dxfId="17672" priority="21346"/>
    <cfRule type="duplicateValues" dxfId="17671" priority="21347"/>
    <cfRule type="duplicateValues" dxfId="17670" priority="21348"/>
    <cfRule type="duplicateValues" dxfId="17669" priority="21349"/>
    <cfRule type="duplicateValues" dxfId="17668" priority="21350"/>
    <cfRule type="duplicateValues" dxfId="17667" priority="21351"/>
    <cfRule type="duplicateValues" dxfId="17666" priority="21352"/>
    <cfRule type="duplicateValues" dxfId="17665" priority="21353"/>
    <cfRule type="duplicateValues" dxfId="17664" priority="21354"/>
    <cfRule type="duplicateValues" dxfId="17663" priority="21355"/>
    <cfRule type="duplicateValues" dxfId="17662" priority="21356"/>
    <cfRule type="duplicateValues" dxfId="17661" priority="21357"/>
    <cfRule type="duplicateValues" dxfId="17660" priority="21358"/>
    <cfRule type="duplicateValues" dxfId="17659" priority="21359"/>
    <cfRule type="duplicateValues" dxfId="17658" priority="21360"/>
    <cfRule type="duplicateValues" dxfId="17657" priority="21361"/>
    <cfRule type="duplicateValues" dxfId="17656" priority="21362"/>
    <cfRule type="duplicateValues" dxfId="17655" priority="21363"/>
    <cfRule type="duplicateValues" dxfId="17654" priority="21364"/>
    <cfRule type="duplicateValues" dxfId="17653" priority="21365"/>
    <cfRule type="duplicateValues" dxfId="17652" priority="21366"/>
    <cfRule type="duplicateValues" dxfId="17651" priority="21367"/>
    <cfRule type="duplicateValues" dxfId="17650" priority="21368"/>
    <cfRule type="duplicateValues" dxfId="17649" priority="21369"/>
    <cfRule type="duplicateValues" dxfId="17648" priority="21370"/>
    <cfRule type="duplicateValues" dxfId="17647" priority="21371"/>
    <cfRule type="duplicateValues" dxfId="17646" priority="21372"/>
    <cfRule type="duplicateValues" dxfId="17645" priority="21373"/>
    <cfRule type="duplicateValues" dxfId="17644" priority="21374"/>
    <cfRule type="duplicateValues" dxfId="17643" priority="21375"/>
    <cfRule type="duplicateValues" dxfId="17642" priority="21376"/>
    <cfRule type="duplicateValues" dxfId="17641" priority="21377"/>
    <cfRule type="duplicateValues" dxfId="17640" priority="21378"/>
    <cfRule type="duplicateValues" dxfId="17639" priority="21379"/>
    <cfRule type="duplicateValues" dxfId="17638" priority="21380"/>
    <cfRule type="duplicateValues" dxfId="17637" priority="21381"/>
    <cfRule type="duplicateValues" dxfId="17636" priority="21382"/>
    <cfRule type="duplicateValues" dxfId="17635" priority="21383"/>
    <cfRule type="duplicateValues" dxfId="17634" priority="21384"/>
    <cfRule type="duplicateValues" dxfId="17633" priority="21385"/>
    <cfRule type="duplicateValues" dxfId="17632" priority="21386"/>
    <cfRule type="duplicateValues" dxfId="17631" priority="21387"/>
    <cfRule type="duplicateValues" dxfId="17630" priority="21388"/>
    <cfRule type="duplicateValues" dxfId="17629" priority="21389"/>
    <cfRule type="duplicateValues" dxfId="17628" priority="21390"/>
    <cfRule type="duplicateValues" dxfId="17627" priority="21391"/>
    <cfRule type="duplicateValues" dxfId="17626" priority="21392"/>
    <cfRule type="duplicateValues" dxfId="17625" priority="21393"/>
    <cfRule type="duplicateValues" dxfId="17624" priority="21394"/>
    <cfRule type="duplicateValues" dxfId="17623" priority="21395"/>
    <cfRule type="duplicateValues" dxfId="17622" priority="21396"/>
    <cfRule type="duplicateValues" dxfId="17621" priority="21397"/>
    <cfRule type="duplicateValues" dxfId="17620" priority="21398"/>
    <cfRule type="duplicateValues" dxfId="17619" priority="21399"/>
    <cfRule type="duplicateValues" dxfId="17618" priority="21400"/>
    <cfRule type="duplicateValues" dxfId="17617" priority="21401"/>
    <cfRule type="duplicateValues" dxfId="17616" priority="21402"/>
    <cfRule type="duplicateValues" dxfId="17615" priority="21403"/>
    <cfRule type="duplicateValues" dxfId="17614" priority="21404"/>
    <cfRule type="duplicateValues" dxfId="17613" priority="21405"/>
    <cfRule type="duplicateValues" dxfId="17612" priority="21406"/>
    <cfRule type="duplicateValues" dxfId="17611" priority="21407"/>
    <cfRule type="duplicateValues" dxfId="17610" priority="21408"/>
    <cfRule type="duplicateValues" dxfId="17609" priority="21409"/>
    <cfRule type="duplicateValues" dxfId="17608" priority="21410"/>
    <cfRule type="duplicateValues" dxfId="17607" priority="21411"/>
    <cfRule type="duplicateValues" dxfId="17606" priority="21412"/>
    <cfRule type="duplicateValues" dxfId="17605" priority="21413"/>
    <cfRule type="duplicateValues" dxfId="17604" priority="21414"/>
    <cfRule type="duplicateValues" dxfId="17603" priority="21415"/>
    <cfRule type="duplicateValues" dxfId="17602" priority="21416"/>
    <cfRule type="duplicateValues" dxfId="17601" priority="21417"/>
    <cfRule type="duplicateValues" dxfId="17600" priority="21418"/>
    <cfRule type="duplicateValues" dxfId="17599" priority="21419"/>
    <cfRule type="duplicateValues" dxfId="17598" priority="21420"/>
    <cfRule type="duplicateValues" dxfId="17597" priority="21421"/>
    <cfRule type="duplicateValues" dxfId="17596" priority="21422"/>
    <cfRule type="duplicateValues" dxfId="17595" priority="21423"/>
    <cfRule type="duplicateValues" dxfId="17594" priority="21424"/>
    <cfRule type="duplicateValues" dxfId="17593" priority="21425"/>
    <cfRule type="duplicateValues" dxfId="17592" priority="21426"/>
    <cfRule type="duplicateValues" dxfId="17591" priority="21427"/>
    <cfRule type="duplicateValues" dxfId="17590" priority="21428"/>
    <cfRule type="duplicateValues" dxfId="17589" priority="21429"/>
    <cfRule type="duplicateValues" dxfId="17588" priority="21430"/>
    <cfRule type="duplicateValues" dxfId="17587" priority="21431"/>
    <cfRule type="duplicateValues" dxfId="17586" priority="21432"/>
    <cfRule type="duplicateValues" dxfId="17585" priority="21433"/>
    <cfRule type="duplicateValues" dxfId="17584" priority="21434"/>
    <cfRule type="duplicateValues" dxfId="17583" priority="21435"/>
    <cfRule type="duplicateValues" dxfId="17582" priority="21436"/>
    <cfRule type="duplicateValues" dxfId="17581" priority="21437"/>
    <cfRule type="duplicateValues" dxfId="17580" priority="21438"/>
    <cfRule type="duplicateValues" dxfId="17579" priority="21439"/>
    <cfRule type="duplicateValues" dxfId="17578" priority="21440"/>
    <cfRule type="duplicateValues" dxfId="17577" priority="21441"/>
    <cfRule type="duplicateValues" dxfId="17576" priority="21442"/>
    <cfRule type="duplicateValues" dxfId="17575" priority="21443"/>
    <cfRule type="duplicateValues" dxfId="17574" priority="21444"/>
    <cfRule type="duplicateValues" dxfId="17573" priority="21445"/>
    <cfRule type="duplicateValues" dxfId="17572" priority="21446"/>
    <cfRule type="duplicateValues" dxfId="17571" priority="21447"/>
    <cfRule type="duplicateValues" dxfId="17570" priority="21448"/>
    <cfRule type="duplicateValues" dxfId="17569" priority="21449"/>
    <cfRule type="duplicateValues" dxfId="17568" priority="21450"/>
    <cfRule type="duplicateValues" dxfId="17567" priority="21451"/>
    <cfRule type="duplicateValues" dxfId="17566" priority="21452"/>
    <cfRule type="duplicateValues" dxfId="17565" priority="21453"/>
    <cfRule type="duplicateValues" dxfId="17564" priority="21454"/>
    <cfRule type="duplicateValues" dxfId="17563" priority="21455"/>
    <cfRule type="duplicateValues" dxfId="17562" priority="21456"/>
    <cfRule type="duplicateValues" dxfId="17561" priority="21457"/>
    <cfRule type="duplicateValues" dxfId="17560" priority="21458"/>
    <cfRule type="duplicateValues" dxfId="17559" priority="21459"/>
    <cfRule type="duplicateValues" dxfId="17558" priority="21460"/>
    <cfRule type="duplicateValues" dxfId="17557" priority="21461"/>
    <cfRule type="duplicateValues" dxfId="17556" priority="21462"/>
    <cfRule type="duplicateValues" dxfId="17555" priority="21463"/>
    <cfRule type="duplicateValues" dxfId="17554" priority="21464"/>
    <cfRule type="duplicateValues" dxfId="17553" priority="21465"/>
    <cfRule type="duplicateValues" dxfId="17552" priority="21466"/>
    <cfRule type="duplicateValues" dxfId="17551" priority="21467"/>
    <cfRule type="duplicateValues" dxfId="17550" priority="21468"/>
    <cfRule type="duplicateValues" dxfId="17549" priority="21469"/>
    <cfRule type="duplicateValues" dxfId="17548" priority="21470"/>
    <cfRule type="duplicateValues" dxfId="17547" priority="21471"/>
    <cfRule type="duplicateValues" dxfId="17546" priority="21472"/>
    <cfRule type="duplicateValues" dxfId="17545" priority="21473"/>
    <cfRule type="duplicateValues" dxfId="17544" priority="21474"/>
    <cfRule type="duplicateValues" dxfId="17543" priority="21475"/>
    <cfRule type="duplicateValues" dxfId="17542" priority="21476"/>
    <cfRule type="duplicateValues" dxfId="17541" priority="21477"/>
    <cfRule type="duplicateValues" dxfId="17540" priority="21478"/>
    <cfRule type="duplicateValues" dxfId="17539" priority="21479"/>
    <cfRule type="duplicateValues" dxfId="17538" priority="21480"/>
    <cfRule type="duplicateValues" dxfId="17537" priority="21481"/>
    <cfRule type="duplicateValues" dxfId="17536" priority="21482"/>
    <cfRule type="duplicateValues" dxfId="17535" priority="21483"/>
    <cfRule type="duplicateValues" dxfId="17534" priority="21484"/>
    <cfRule type="duplicateValues" dxfId="17533" priority="21485"/>
    <cfRule type="duplicateValues" dxfId="17532" priority="21486"/>
    <cfRule type="duplicateValues" dxfId="17531" priority="21487"/>
    <cfRule type="duplicateValues" dxfId="17530" priority="21488"/>
    <cfRule type="duplicateValues" dxfId="17529" priority="21489"/>
    <cfRule type="duplicateValues" dxfId="17528" priority="21490"/>
    <cfRule type="duplicateValues" dxfId="17527" priority="21491"/>
    <cfRule type="duplicateValues" dxfId="17526" priority="21492"/>
    <cfRule type="duplicateValues" dxfId="17525" priority="21493"/>
    <cfRule type="duplicateValues" dxfId="17524" priority="21494"/>
    <cfRule type="duplicateValues" dxfId="17523" priority="21495"/>
    <cfRule type="duplicateValues" dxfId="17522" priority="21496"/>
    <cfRule type="duplicateValues" dxfId="17521" priority="21497"/>
    <cfRule type="duplicateValues" dxfId="17520" priority="21498"/>
    <cfRule type="duplicateValues" dxfId="17519" priority="21499"/>
    <cfRule type="duplicateValues" dxfId="17518" priority="21500"/>
    <cfRule type="duplicateValues" dxfId="17517" priority="21501"/>
    <cfRule type="duplicateValues" dxfId="17516" priority="21502"/>
    <cfRule type="duplicateValues" dxfId="17515" priority="21503"/>
    <cfRule type="duplicateValues" dxfId="17514" priority="21504"/>
    <cfRule type="duplicateValues" dxfId="17513" priority="21505"/>
    <cfRule type="duplicateValues" dxfId="17512" priority="21506"/>
    <cfRule type="duplicateValues" dxfId="17511" priority="21507"/>
    <cfRule type="duplicateValues" dxfId="17510" priority="21508"/>
    <cfRule type="duplicateValues" dxfId="17509" priority="21509"/>
    <cfRule type="duplicateValues" dxfId="17508" priority="21510"/>
    <cfRule type="duplicateValues" dxfId="17507" priority="21511"/>
    <cfRule type="duplicateValues" dxfId="17506" priority="21512"/>
    <cfRule type="duplicateValues" dxfId="17505" priority="21513"/>
    <cfRule type="duplicateValues" dxfId="17504" priority="21514"/>
    <cfRule type="duplicateValues" dxfId="17503" priority="21515"/>
    <cfRule type="duplicateValues" dxfId="17502" priority="21516"/>
    <cfRule type="duplicateValues" dxfId="17501" priority="21517"/>
    <cfRule type="duplicateValues" dxfId="17500" priority="21518"/>
    <cfRule type="duplicateValues" dxfId="17499" priority="21519"/>
    <cfRule type="duplicateValues" dxfId="17498" priority="21520"/>
    <cfRule type="duplicateValues" dxfId="17497" priority="21521"/>
    <cfRule type="duplicateValues" dxfId="17496" priority="21522"/>
    <cfRule type="duplicateValues" dxfId="17495" priority="21523"/>
    <cfRule type="duplicateValues" dxfId="17494" priority="21524"/>
    <cfRule type="duplicateValues" dxfId="17493" priority="21525"/>
    <cfRule type="duplicateValues" dxfId="17492" priority="21526"/>
    <cfRule type="duplicateValues" dxfId="17491" priority="21527"/>
    <cfRule type="duplicateValues" dxfId="17490" priority="21528"/>
    <cfRule type="duplicateValues" dxfId="17489" priority="21529"/>
    <cfRule type="duplicateValues" dxfId="17488" priority="21530"/>
    <cfRule type="duplicateValues" dxfId="17487" priority="21531"/>
    <cfRule type="duplicateValues" dxfId="17486" priority="21532"/>
    <cfRule type="duplicateValues" dxfId="17485" priority="21533"/>
    <cfRule type="duplicateValues" dxfId="17484" priority="21534"/>
    <cfRule type="duplicateValues" dxfId="17483" priority="21535"/>
    <cfRule type="duplicateValues" dxfId="17482" priority="21536"/>
    <cfRule type="duplicateValues" dxfId="17481" priority="21537"/>
    <cfRule type="duplicateValues" dxfId="17480" priority="21538"/>
    <cfRule type="duplicateValues" dxfId="17479" priority="21539"/>
    <cfRule type="duplicateValues" dxfId="17478" priority="21540"/>
    <cfRule type="duplicateValues" dxfId="17477" priority="21541"/>
    <cfRule type="duplicateValues" dxfId="17476" priority="21542"/>
    <cfRule type="duplicateValues" dxfId="17475" priority="21543"/>
    <cfRule type="duplicateValues" dxfId="17474" priority="21544"/>
    <cfRule type="duplicateValues" dxfId="17473" priority="21545"/>
    <cfRule type="duplicateValues" dxfId="17472" priority="21546"/>
    <cfRule type="duplicateValues" dxfId="17471" priority="21547"/>
    <cfRule type="duplicateValues" dxfId="17470" priority="21548"/>
    <cfRule type="duplicateValues" dxfId="17469" priority="21549"/>
    <cfRule type="duplicateValues" dxfId="17468" priority="21550"/>
    <cfRule type="duplicateValues" dxfId="17467" priority="21551"/>
    <cfRule type="duplicateValues" dxfId="17466" priority="21552"/>
    <cfRule type="duplicateValues" dxfId="17465" priority="21553"/>
    <cfRule type="duplicateValues" dxfId="17464" priority="21554"/>
    <cfRule type="duplicateValues" dxfId="17463" priority="21555"/>
    <cfRule type="duplicateValues" dxfId="17462" priority="21556"/>
    <cfRule type="duplicateValues" dxfId="17461" priority="21557"/>
    <cfRule type="duplicateValues" dxfId="17460" priority="21558"/>
    <cfRule type="duplicateValues" dxfId="17459" priority="21559"/>
    <cfRule type="duplicateValues" dxfId="17458" priority="21560"/>
    <cfRule type="duplicateValues" dxfId="17457" priority="21561"/>
    <cfRule type="duplicateValues" dxfId="17456" priority="21562"/>
    <cfRule type="duplicateValues" dxfId="17455" priority="21563"/>
    <cfRule type="duplicateValues" dxfId="17454" priority="21564"/>
    <cfRule type="duplicateValues" dxfId="17453" priority="21565"/>
    <cfRule type="duplicateValues" dxfId="17452" priority="21566"/>
  </conditionalFormatting>
  <conditionalFormatting sqref="C239">
    <cfRule type="duplicateValues" dxfId="17451" priority="20877"/>
    <cfRule type="duplicateValues" dxfId="17450" priority="20878"/>
    <cfRule type="duplicateValues" dxfId="17449" priority="20879"/>
    <cfRule type="duplicateValues" dxfId="17448" priority="20880"/>
    <cfRule type="duplicateValues" dxfId="17447" priority="20881"/>
    <cfRule type="duplicateValues" dxfId="17446" priority="20882"/>
    <cfRule type="duplicateValues" dxfId="17445" priority="20883"/>
    <cfRule type="duplicateValues" dxfId="17444" priority="20884"/>
    <cfRule type="duplicateValues" dxfId="17443" priority="20885"/>
    <cfRule type="duplicateValues" dxfId="17442" priority="20886"/>
    <cfRule type="duplicateValues" dxfId="17441" priority="20887"/>
    <cfRule type="duplicateValues" dxfId="17440" priority="20888"/>
    <cfRule type="duplicateValues" dxfId="17439" priority="20889"/>
    <cfRule type="duplicateValues" dxfId="17438" priority="20890"/>
    <cfRule type="duplicateValues" dxfId="17437" priority="20891"/>
    <cfRule type="duplicateValues" dxfId="17436" priority="20892"/>
    <cfRule type="duplicateValues" dxfId="17435" priority="20893"/>
    <cfRule type="duplicateValues" dxfId="17434" priority="20894"/>
    <cfRule type="duplicateValues" dxfId="17433" priority="20895"/>
    <cfRule type="duplicateValues" dxfId="17432" priority="20896"/>
    <cfRule type="duplicateValues" dxfId="17431" priority="20897"/>
    <cfRule type="duplicateValues" dxfId="17430" priority="20898"/>
    <cfRule type="duplicateValues" dxfId="17429" priority="20899"/>
    <cfRule type="duplicateValues" dxfId="17428" priority="20900"/>
    <cfRule type="duplicateValues" dxfId="17427" priority="20901"/>
    <cfRule type="duplicateValues" dxfId="17426" priority="20902"/>
    <cfRule type="duplicateValues" dxfId="17425" priority="20903"/>
    <cfRule type="duplicateValues" dxfId="17424" priority="20904"/>
    <cfRule type="duplicateValues" dxfId="17423" priority="20905"/>
    <cfRule type="duplicateValues" dxfId="17422" priority="20906"/>
    <cfRule type="duplicateValues" dxfId="17421" priority="20907"/>
    <cfRule type="duplicateValues" dxfId="17420" priority="20908"/>
    <cfRule type="duplicateValues" dxfId="17419" priority="20909"/>
    <cfRule type="duplicateValues" dxfId="17418" priority="20910"/>
    <cfRule type="duplicateValues" dxfId="17417" priority="20911"/>
    <cfRule type="duplicateValues" dxfId="17416" priority="20912"/>
    <cfRule type="duplicateValues" dxfId="17415" priority="20913"/>
    <cfRule type="duplicateValues" dxfId="17414" priority="20914"/>
    <cfRule type="duplicateValues" dxfId="17413" priority="20915"/>
    <cfRule type="duplicateValues" dxfId="17412" priority="20916"/>
    <cfRule type="duplicateValues" dxfId="17411" priority="20917"/>
    <cfRule type="duplicateValues" dxfId="17410" priority="20918"/>
    <cfRule type="duplicateValues" dxfId="17409" priority="20919"/>
    <cfRule type="duplicateValues" dxfId="17408" priority="20920"/>
    <cfRule type="duplicateValues" dxfId="17407" priority="20921"/>
    <cfRule type="duplicateValues" dxfId="17406" priority="20922"/>
    <cfRule type="duplicateValues" dxfId="17405" priority="20923"/>
    <cfRule type="duplicateValues" dxfId="17404" priority="20924"/>
    <cfRule type="duplicateValues" dxfId="17403" priority="20925"/>
    <cfRule type="duplicateValues" dxfId="17402" priority="20926"/>
    <cfRule type="duplicateValues" dxfId="17401" priority="20927"/>
    <cfRule type="duplicateValues" dxfId="17400" priority="20928"/>
    <cfRule type="duplicateValues" dxfId="17399" priority="20929"/>
    <cfRule type="duplicateValues" dxfId="17398" priority="20930"/>
    <cfRule type="duplicateValues" dxfId="17397" priority="20931"/>
    <cfRule type="duplicateValues" dxfId="17396" priority="20932"/>
    <cfRule type="duplicateValues" dxfId="17395" priority="20933"/>
    <cfRule type="duplicateValues" dxfId="17394" priority="20934"/>
    <cfRule type="duplicateValues" dxfId="17393" priority="20935"/>
    <cfRule type="duplicateValues" dxfId="17392" priority="20936"/>
    <cfRule type="duplicateValues" dxfId="17391" priority="20937"/>
    <cfRule type="duplicateValues" dxfId="17390" priority="20938"/>
    <cfRule type="duplicateValues" dxfId="17389" priority="20939"/>
    <cfRule type="duplicateValues" dxfId="17388" priority="20940"/>
    <cfRule type="duplicateValues" dxfId="17387" priority="20941"/>
    <cfRule type="duplicateValues" dxfId="17386" priority="20942"/>
    <cfRule type="duplicateValues" dxfId="17385" priority="20943"/>
    <cfRule type="duplicateValues" dxfId="17384" priority="20944"/>
    <cfRule type="duplicateValues" dxfId="17383" priority="20945"/>
    <cfRule type="duplicateValues" dxfId="17382" priority="20946"/>
    <cfRule type="duplicateValues" dxfId="17381" priority="20947"/>
    <cfRule type="duplicateValues" dxfId="17380" priority="20948"/>
    <cfRule type="duplicateValues" dxfId="17379" priority="20949"/>
    <cfRule type="duplicateValues" dxfId="17378" priority="20950"/>
    <cfRule type="duplicateValues" dxfId="17377" priority="20951"/>
    <cfRule type="duplicateValues" dxfId="17376" priority="20952"/>
    <cfRule type="duplicateValues" dxfId="17375" priority="20953"/>
    <cfRule type="duplicateValues" dxfId="17374" priority="20954"/>
    <cfRule type="duplicateValues" dxfId="17373" priority="20955"/>
    <cfRule type="duplicateValues" dxfId="17372" priority="20956"/>
    <cfRule type="duplicateValues" dxfId="17371" priority="20957"/>
    <cfRule type="duplicateValues" dxfId="17370" priority="20958"/>
    <cfRule type="duplicateValues" dxfId="17369" priority="20959"/>
    <cfRule type="duplicateValues" dxfId="17368" priority="20960"/>
    <cfRule type="duplicateValues" dxfId="17367" priority="20961"/>
    <cfRule type="duplicateValues" dxfId="17366" priority="20962"/>
    <cfRule type="duplicateValues" dxfId="17365" priority="20963"/>
    <cfRule type="duplicateValues" dxfId="17364" priority="20964"/>
    <cfRule type="duplicateValues" dxfId="17363" priority="20965"/>
    <cfRule type="duplicateValues" dxfId="17362" priority="20966"/>
    <cfRule type="duplicateValues" dxfId="17361" priority="20967"/>
    <cfRule type="duplicateValues" dxfId="17360" priority="20968"/>
    <cfRule type="duplicateValues" dxfId="17359" priority="20969"/>
    <cfRule type="duplicateValues" dxfId="17358" priority="20970"/>
    <cfRule type="duplicateValues" dxfId="17357" priority="20971"/>
    <cfRule type="duplicateValues" dxfId="17356" priority="20972"/>
    <cfRule type="duplicateValues" dxfId="17355" priority="20973"/>
    <cfRule type="duplicateValues" dxfId="17354" priority="20974"/>
    <cfRule type="duplicateValues" dxfId="17353" priority="20975"/>
    <cfRule type="duplicateValues" dxfId="17352" priority="20976"/>
    <cfRule type="duplicateValues" dxfId="17351" priority="20977"/>
    <cfRule type="duplicateValues" dxfId="17350" priority="20978"/>
    <cfRule type="duplicateValues" dxfId="17349" priority="20979"/>
    <cfRule type="duplicateValues" dxfId="17348" priority="20980"/>
    <cfRule type="duplicateValues" dxfId="17347" priority="20981"/>
    <cfRule type="duplicateValues" dxfId="17346" priority="20982"/>
    <cfRule type="duplicateValues" dxfId="17345" priority="20983"/>
    <cfRule type="duplicateValues" dxfId="17344" priority="20984"/>
    <cfRule type="duplicateValues" dxfId="17343" priority="20985"/>
    <cfRule type="duplicateValues" dxfId="17342" priority="20986"/>
    <cfRule type="duplicateValues" dxfId="17341" priority="20987"/>
    <cfRule type="duplicateValues" dxfId="17340" priority="20988"/>
    <cfRule type="duplicateValues" dxfId="17339" priority="20989"/>
    <cfRule type="duplicateValues" dxfId="17338" priority="20990"/>
    <cfRule type="duplicateValues" dxfId="17337" priority="20991"/>
    <cfRule type="duplicateValues" dxfId="17336" priority="20992"/>
    <cfRule type="duplicateValues" dxfId="17335" priority="20993"/>
    <cfRule type="duplicateValues" dxfId="17334" priority="20994"/>
    <cfRule type="duplicateValues" dxfId="17333" priority="20995"/>
    <cfRule type="duplicateValues" dxfId="17332" priority="20996"/>
    <cfRule type="duplicateValues" dxfId="17331" priority="20997"/>
    <cfRule type="duplicateValues" dxfId="17330" priority="20998"/>
    <cfRule type="duplicateValues" dxfId="17329" priority="20999"/>
    <cfRule type="duplicateValues" dxfId="17328" priority="21000"/>
    <cfRule type="duplicateValues" dxfId="17327" priority="21001"/>
    <cfRule type="duplicateValues" dxfId="17326" priority="21002"/>
    <cfRule type="duplicateValues" dxfId="17325" priority="21003"/>
    <cfRule type="duplicateValues" dxfId="17324" priority="21004"/>
    <cfRule type="duplicateValues" dxfId="17323" priority="21005"/>
    <cfRule type="duplicateValues" dxfId="17322" priority="21006"/>
    <cfRule type="duplicateValues" dxfId="17321" priority="21007"/>
    <cfRule type="duplicateValues" dxfId="17320" priority="21008"/>
    <cfRule type="duplicateValues" dxfId="17319" priority="21009"/>
    <cfRule type="duplicateValues" dxfId="17318" priority="21010"/>
    <cfRule type="duplicateValues" dxfId="17317" priority="21011"/>
    <cfRule type="duplicateValues" dxfId="17316" priority="21012"/>
    <cfRule type="duplicateValues" dxfId="17315" priority="21013"/>
    <cfRule type="duplicateValues" dxfId="17314" priority="21014"/>
    <cfRule type="duplicateValues" dxfId="17313" priority="21015"/>
    <cfRule type="duplicateValues" dxfId="17312" priority="21016"/>
    <cfRule type="duplicateValues" dxfId="17311" priority="21017"/>
    <cfRule type="duplicateValues" dxfId="17310" priority="21018"/>
    <cfRule type="duplicateValues" dxfId="17309" priority="21019"/>
    <cfRule type="duplicateValues" dxfId="17308" priority="21020"/>
    <cfRule type="duplicateValues" dxfId="17307" priority="21021"/>
    <cfRule type="duplicateValues" dxfId="17306" priority="21022"/>
    <cfRule type="duplicateValues" dxfId="17305" priority="21023"/>
    <cfRule type="duplicateValues" dxfId="17304" priority="21024"/>
    <cfRule type="duplicateValues" dxfId="17303" priority="21025"/>
    <cfRule type="duplicateValues" dxfId="17302" priority="21026"/>
    <cfRule type="duplicateValues" dxfId="17301" priority="21027"/>
    <cfRule type="duplicateValues" dxfId="17300" priority="21028"/>
    <cfRule type="duplicateValues" dxfId="17299" priority="21029"/>
    <cfRule type="duplicateValues" dxfId="17298" priority="21030"/>
    <cfRule type="duplicateValues" dxfId="17297" priority="21031"/>
    <cfRule type="duplicateValues" dxfId="17296" priority="21032"/>
    <cfRule type="duplicateValues" dxfId="17295" priority="21033"/>
    <cfRule type="duplicateValues" dxfId="17294" priority="21034"/>
    <cfRule type="duplicateValues" dxfId="17293" priority="21035"/>
    <cfRule type="duplicateValues" dxfId="17292" priority="21036"/>
    <cfRule type="duplicateValues" dxfId="17291" priority="21037"/>
    <cfRule type="duplicateValues" dxfId="17290" priority="21038"/>
    <cfRule type="duplicateValues" dxfId="17289" priority="21039"/>
    <cfRule type="duplicateValues" dxfId="17288" priority="21040"/>
    <cfRule type="duplicateValues" dxfId="17287" priority="21041"/>
    <cfRule type="duplicateValues" dxfId="17286" priority="21042"/>
    <cfRule type="duplicateValues" dxfId="17285" priority="21043"/>
    <cfRule type="duplicateValues" dxfId="17284" priority="21044"/>
    <cfRule type="duplicateValues" dxfId="17283" priority="21045"/>
    <cfRule type="duplicateValues" dxfId="17282" priority="21046"/>
    <cfRule type="duplicateValues" dxfId="17281" priority="21047"/>
    <cfRule type="duplicateValues" dxfId="17280" priority="21048"/>
    <cfRule type="duplicateValues" dxfId="17279" priority="21049"/>
    <cfRule type="duplicateValues" dxfId="17278" priority="21050"/>
    <cfRule type="duplicateValues" dxfId="17277" priority="21051"/>
    <cfRule type="duplicateValues" dxfId="17276" priority="21052"/>
    <cfRule type="duplicateValues" dxfId="17275" priority="21053"/>
    <cfRule type="duplicateValues" dxfId="17274" priority="21054"/>
    <cfRule type="duplicateValues" dxfId="17273" priority="21055"/>
    <cfRule type="duplicateValues" dxfId="17272" priority="21056"/>
    <cfRule type="duplicateValues" dxfId="17271" priority="21057"/>
    <cfRule type="duplicateValues" dxfId="17270" priority="21058"/>
    <cfRule type="duplicateValues" dxfId="17269" priority="21059"/>
    <cfRule type="duplicateValues" dxfId="17268" priority="21060"/>
    <cfRule type="duplicateValues" dxfId="17267" priority="21061"/>
    <cfRule type="duplicateValues" dxfId="17266" priority="21062"/>
    <cfRule type="duplicateValues" dxfId="17265" priority="21063"/>
    <cfRule type="duplicateValues" dxfId="17264" priority="21064"/>
    <cfRule type="duplicateValues" dxfId="17263" priority="21065"/>
    <cfRule type="duplicateValues" dxfId="17262" priority="21066"/>
    <cfRule type="duplicateValues" dxfId="17261" priority="21067"/>
    <cfRule type="duplicateValues" dxfId="17260" priority="21068"/>
    <cfRule type="duplicateValues" dxfId="17259" priority="21069"/>
    <cfRule type="duplicateValues" dxfId="17258" priority="21070"/>
    <cfRule type="duplicateValues" dxfId="17257" priority="21071"/>
    <cfRule type="duplicateValues" dxfId="17256" priority="21072"/>
    <cfRule type="duplicateValues" dxfId="17255" priority="21073"/>
    <cfRule type="duplicateValues" dxfId="17254" priority="21074"/>
    <cfRule type="duplicateValues" dxfId="17253" priority="21075"/>
    <cfRule type="duplicateValues" dxfId="17252" priority="21076"/>
    <cfRule type="duplicateValues" dxfId="17251" priority="21077"/>
    <cfRule type="duplicateValues" dxfId="17250" priority="21078"/>
    <cfRule type="duplicateValues" dxfId="17249" priority="21079"/>
    <cfRule type="duplicateValues" dxfId="17248" priority="21080"/>
    <cfRule type="duplicateValues" dxfId="17247" priority="21081"/>
    <cfRule type="duplicateValues" dxfId="17246" priority="21082"/>
    <cfRule type="duplicateValues" dxfId="17245" priority="21083"/>
    <cfRule type="duplicateValues" dxfId="17244" priority="21084"/>
    <cfRule type="duplicateValues" dxfId="17243" priority="21085"/>
    <cfRule type="duplicateValues" dxfId="17242" priority="21086"/>
    <cfRule type="duplicateValues" dxfId="17241" priority="21087"/>
    <cfRule type="duplicateValues" dxfId="17240" priority="21088"/>
    <cfRule type="duplicateValues" dxfId="17239" priority="21089"/>
    <cfRule type="duplicateValues" dxfId="17238" priority="21090"/>
    <cfRule type="duplicateValues" dxfId="17237" priority="21091"/>
    <cfRule type="duplicateValues" dxfId="17236" priority="21092"/>
    <cfRule type="duplicateValues" dxfId="17235" priority="21093"/>
    <cfRule type="duplicateValues" dxfId="17234" priority="21094"/>
    <cfRule type="duplicateValues" dxfId="17233" priority="21095"/>
    <cfRule type="duplicateValues" dxfId="17232" priority="21096"/>
    <cfRule type="duplicateValues" dxfId="17231" priority="21097"/>
    <cfRule type="duplicateValues" dxfId="17230" priority="21098"/>
    <cfRule type="duplicateValues" dxfId="17229" priority="21099"/>
    <cfRule type="duplicateValues" dxfId="17228" priority="21100"/>
    <cfRule type="duplicateValues" dxfId="17227" priority="21101"/>
    <cfRule type="duplicateValues" dxfId="17226" priority="21102"/>
    <cfRule type="duplicateValues" dxfId="17225" priority="21103"/>
    <cfRule type="duplicateValues" dxfId="17224" priority="21104"/>
    <cfRule type="duplicateValues" dxfId="17223" priority="21105"/>
    <cfRule type="duplicateValues" dxfId="17222" priority="21106"/>
    <cfRule type="duplicateValues" dxfId="17221" priority="21107"/>
    <cfRule type="duplicateValues" dxfId="17220" priority="21108"/>
    <cfRule type="duplicateValues" dxfId="17219" priority="21109"/>
    <cfRule type="duplicateValues" dxfId="17218" priority="21110"/>
    <cfRule type="duplicateValues" dxfId="17217" priority="21111"/>
    <cfRule type="duplicateValues" dxfId="17216" priority="21112"/>
    <cfRule type="duplicateValues" dxfId="17215" priority="21113"/>
    <cfRule type="duplicateValues" dxfId="17214" priority="21114"/>
    <cfRule type="duplicateValues" dxfId="17213" priority="21115"/>
    <cfRule type="duplicateValues" dxfId="17212" priority="21116"/>
    <cfRule type="duplicateValues" dxfId="17211" priority="21117"/>
    <cfRule type="duplicateValues" dxfId="17210" priority="21118"/>
    <cfRule type="duplicateValues" dxfId="17209" priority="21119"/>
    <cfRule type="duplicateValues" dxfId="17208" priority="21120"/>
    <cfRule type="duplicateValues" dxfId="17207" priority="21121"/>
    <cfRule type="duplicateValues" dxfId="17206" priority="21122"/>
    <cfRule type="duplicateValues" dxfId="17205" priority="21123"/>
    <cfRule type="duplicateValues" dxfId="17204" priority="21124"/>
    <cfRule type="duplicateValues" dxfId="17203" priority="21125"/>
    <cfRule type="duplicateValues" dxfId="17202" priority="21126"/>
    <cfRule type="duplicateValues" dxfId="17201" priority="21127"/>
    <cfRule type="duplicateValues" dxfId="17200" priority="21128"/>
    <cfRule type="duplicateValues" dxfId="17199" priority="21129"/>
    <cfRule type="duplicateValues" dxfId="17198" priority="21130"/>
    <cfRule type="duplicateValues" dxfId="17197" priority="21131"/>
    <cfRule type="duplicateValues" dxfId="17196" priority="21132"/>
    <cfRule type="duplicateValues" dxfId="17195" priority="21133"/>
    <cfRule type="duplicateValues" dxfId="17194" priority="21134"/>
    <cfRule type="duplicateValues" dxfId="17193" priority="21135"/>
    <cfRule type="duplicateValues" dxfId="17192" priority="21136"/>
    <cfRule type="duplicateValues" dxfId="17191" priority="21137"/>
    <cfRule type="duplicateValues" dxfId="17190" priority="21138"/>
    <cfRule type="duplicateValues" dxfId="17189" priority="21139"/>
    <cfRule type="duplicateValues" dxfId="17188" priority="21140"/>
    <cfRule type="duplicateValues" dxfId="17187" priority="21141"/>
    <cfRule type="duplicateValues" dxfId="17186" priority="21142"/>
    <cfRule type="duplicateValues" dxfId="17185" priority="21143"/>
    <cfRule type="duplicateValues" dxfId="17184" priority="21144"/>
    <cfRule type="duplicateValues" dxfId="17183" priority="21145"/>
    <cfRule type="duplicateValues" dxfId="17182" priority="21146"/>
    <cfRule type="duplicateValues" dxfId="17181" priority="21147"/>
    <cfRule type="duplicateValues" dxfId="17180" priority="21148"/>
    <cfRule type="duplicateValues" dxfId="17179" priority="21149"/>
    <cfRule type="duplicateValues" dxfId="17178" priority="21150"/>
    <cfRule type="duplicateValues" dxfId="17177" priority="21151"/>
    <cfRule type="duplicateValues" dxfId="17176" priority="21152"/>
    <cfRule type="duplicateValues" dxfId="17175" priority="21153"/>
    <cfRule type="duplicateValues" dxfId="17174" priority="21154"/>
    <cfRule type="duplicateValues" dxfId="17173" priority="21155"/>
    <cfRule type="duplicateValues" dxfId="17172" priority="21156"/>
    <cfRule type="duplicateValues" dxfId="17171" priority="21157"/>
    <cfRule type="duplicateValues" dxfId="17170" priority="21158"/>
    <cfRule type="duplicateValues" dxfId="17169" priority="21159"/>
    <cfRule type="duplicateValues" dxfId="17168" priority="21160"/>
    <cfRule type="duplicateValues" dxfId="17167" priority="21161"/>
    <cfRule type="duplicateValues" dxfId="17166" priority="21162"/>
    <cfRule type="duplicateValues" dxfId="17165" priority="21163"/>
    <cfRule type="duplicateValues" dxfId="17164" priority="21164"/>
    <cfRule type="duplicateValues" dxfId="17163" priority="21165"/>
    <cfRule type="duplicateValues" dxfId="17162" priority="21166"/>
    <cfRule type="duplicateValues" dxfId="17161" priority="21167"/>
    <cfRule type="duplicateValues" dxfId="17160" priority="21168"/>
    <cfRule type="duplicateValues" dxfId="17159" priority="21169"/>
    <cfRule type="duplicateValues" dxfId="17158" priority="21170"/>
    <cfRule type="duplicateValues" dxfId="17157" priority="21171"/>
    <cfRule type="duplicateValues" dxfId="17156" priority="21172"/>
    <cfRule type="duplicateValues" dxfId="17155" priority="21173"/>
    <cfRule type="duplicateValues" dxfId="17154" priority="21174"/>
    <cfRule type="duplicateValues" dxfId="17153" priority="21175"/>
    <cfRule type="duplicateValues" dxfId="17152" priority="21176"/>
    <cfRule type="duplicateValues" dxfId="17151" priority="21177"/>
    <cfRule type="duplicateValues" dxfId="17150" priority="21178"/>
    <cfRule type="duplicateValues" dxfId="17149" priority="21179"/>
    <cfRule type="duplicateValues" dxfId="17148" priority="21180"/>
    <cfRule type="duplicateValues" dxfId="17147" priority="21181"/>
    <cfRule type="duplicateValues" dxfId="17146" priority="21182"/>
    <cfRule type="duplicateValues" dxfId="17145" priority="21183"/>
    <cfRule type="duplicateValues" dxfId="17144" priority="21184"/>
    <cfRule type="duplicateValues" dxfId="17143" priority="21185"/>
    <cfRule type="duplicateValues" dxfId="17142" priority="21186"/>
    <cfRule type="duplicateValues" dxfId="17141" priority="21187"/>
    <cfRule type="duplicateValues" dxfId="17140" priority="21188"/>
    <cfRule type="duplicateValues" dxfId="17139" priority="21189"/>
    <cfRule type="duplicateValues" dxfId="17138" priority="21190"/>
    <cfRule type="duplicateValues" dxfId="17137" priority="21191"/>
    <cfRule type="duplicateValues" dxfId="17136" priority="21192"/>
    <cfRule type="duplicateValues" dxfId="17135" priority="21193"/>
    <cfRule type="duplicateValues" dxfId="17134" priority="21194"/>
    <cfRule type="duplicateValues" dxfId="17133" priority="21195"/>
    <cfRule type="duplicateValues" dxfId="17132" priority="21196"/>
    <cfRule type="duplicateValues" dxfId="17131" priority="21197"/>
    <cfRule type="duplicateValues" dxfId="17130" priority="21198"/>
    <cfRule type="duplicateValues" dxfId="17129" priority="21199"/>
    <cfRule type="duplicateValues" dxfId="17128" priority="21200"/>
    <cfRule type="duplicateValues" dxfId="17127" priority="21201"/>
    <cfRule type="duplicateValues" dxfId="17126" priority="21202"/>
    <cfRule type="duplicateValues" dxfId="17125" priority="21203"/>
    <cfRule type="duplicateValues" dxfId="17124" priority="21204"/>
    <cfRule type="duplicateValues" dxfId="17123" priority="21205"/>
    <cfRule type="duplicateValues" dxfId="17122" priority="21206"/>
    <cfRule type="duplicateValues" dxfId="17121" priority="21207"/>
    <cfRule type="duplicateValues" dxfId="17120" priority="21208"/>
    <cfRule type="duplicateValues" dxfId="17119" priority="21209"/>
    <cfRule type="duplicateValues" dxfId="17118" priority="21210"/>
    <cfRule type="duplicateValues" dxfId="17117" priority="21211"/>
    <cfRule type="duplicateValues" dxfId="17116" priority="21212"/>
    <cfRule type="duplicateValues" dxfId="17115" priority="21213"/>
    <cfRule type="duplicateValues" dxfId="17114" priority="21214"/>
    <cfRule type="duplicateValues" dxfId="17113" priority="21215"/>
    <cfRule type="duplicateValues" dxfId="17112" priority="21216"/>
    <cfRule type="duplicateValues" dxfId="17111" priority="21217"/>
    <cfRule type="duplicateValues" dxfId="17110" priority="21218"/>
    <cfRule type="duplicateValues" dxfId="17109" priority="21219"/>
    <cfRule type="duplicateValues" dxfId="17108" priority="21220"/>
    <cfRule type="duplicateValues" dxfId="17107" priority="21221"/>
  </conditionalFormatting>
  <conditionalFormatting sqref="C240">
    <cfRule type="duplicateValues" dxfId="17106" priority="20532"/>
    <cfRule type="duplicateValues" dxfId="17105" priority="20533"/>
    <cfRule type="duplicateValues" dxfId="17104" priority="20534"/>
    <cfRule type="duplicateValues" dxfId="17103" priority="20535"/>
    <cfRule type="duplicateValues" dxfId="17102" priority="20536"/>
    <cfRule type="duplicateValues" dxfId="17101" priority="20537"/>
    <cfRule type="duplicateValues" dxfId="17100" priority="20538"/>
    <cfRule type="duplicateValues" dxfId="17099" priority="20539"/>
    <cfRule type="duplicateValues" dxfId="17098" priority="20540"/>
    <cfRule type="duplicateValues" dxfId="17097" priority="20541"/>
    <cfRule type="duplicateValues" dxfId="17096" priority="20542"/>
    <cfRule type="duplicateValues" dxfId="17095" priority="20543"/>
    <cfRule type="duplicateValues" dxfId="17094" priority="20544"/>
    <cfRule type="duplicateValues" dxfId="17093" priority="20545"/>
    <cfRule type="duplicateValues" dxfId="17092" priority="20546"/>
    <cfRule type="duplicateValues" dxfId="17091" priority="20547"/>
    <cfRule type="duplicateValues" dxfId="17090" priority="20548"/>
    <cfRule type="duplicateValues" dxfId="17089" priority="20549"/>
    <cfRule type="duplicateValues" dxfId="17088" priority="20550"/>
    <cfRule type="duplicateValues" dxfId="17087" priority="20551"/>
    <cfRule type="duplicateValues" dxfId="17086" priority="20552"/>
    <cfRule type="duplicateValues" dxfId="17085" priority="20553"/>
    <cfRule type="duplicateValues" dxfId="17084" priority="20554"/>
    <cfRule type="duplicateValues" dxfId="17083" priority="20555"/>
    <cfRule type="duplicateValues" dxfId="17082" priority="20556"/>
    <cfRule type="duplicateValues" dxfId="17081" priority="20557"/>
    <cfRule type="duplicateValues" dxfId="17080" priority="20558"/>
    <cfRule type="duplicateValues" dxfId="17079" priority="20559"/>
    <cfRule type="duplicateValues" dxfId="17078" priority="20560"/>
    <cfRule type="duplicateValues" dxfId="17077" priority="20561"/>
    <cfRule type="duplicateValues" dxfId="17076" priority="20562"/>
    <cfRule type="duplicateValues" dxfId="17075" priority="20563"/>
    <cfRule type="duplicateValues" dxfId="17074" priority="20564"/>
    <cfRule type="duplicateValues" dxfId="17073" priority="20565"/>
    <cfRule type="duplicateValues" dxfId="17072" priority="20566"/>
    <cfRule type="duplicateValues" dxfId="17071" priority="20567"/>
    <cfRule type="duplicateValues" dxfId="17070" priority="20568"/>
    <cfRule type="duplicateValues" dxfId="17069" priority="20569"/>
    <cfRule type="duplicateValues" dxfId="17068" priority="20570"/>
    <cfRule type="duplicateValues" dxfId="17067" priority="20571"/>
    <cfRule type="duplicateValues" dxfId="17066" priority="20572"/>
    <cfRule type="duplicateValues" dxfId="17065" priority="20573"/>
    <cfRule type="duplicateValues" dxfId="17064" priority="20574"/>
    <cfRule type="duplicateValues" dxfId="17063" priority="20575"/>
    <cfRule type="duplicateValues" dxfId="17062" priority="20576"/>
    <cfRule type="duplicateValues" dxfId="17061" priority="20577"/>
    <cfRule type="duplicateValues" dxfId="17060" priority="20578"/>
    <cfRule type="duplicateValues" dxfId="17059" priority="20579"/>
    <cfRule type="duplicateValues" dxfId="17058" priority="20580"/>
    <cfRule type="duplicateValues" dxfId="17057" priority="20581"/>
    <cfRule type="duplicateValues" dxfId="17056" priority="20582"/>
    <cfRule type="duplicateValues" dxfId="17055" priority="20583"/>
    <cfRule type="duplicateValues" dxfId="17054" priority="20584"/>
    <cfRule type="duplicateValues" dxfId="17053" priority="20585"/>
    <cfRule type="duplicateValues" dxfId="17052" priority="20586"/>
    <cfRule type="duplicateValues" dxfId="17051" priority="20587"/>
    <cfRule type="duplicateValues" dxfId="17050" priority="20588"/>
    <cfRule type="duplicateValues" dxfId="17049" priority="20589"/>
    <cfRule type="duplicateValues" dxfId="17048" priority="20590"/>
    <cfRule type="duplicateValues" dxfId="17047" priority="20591"/>
    <cfRule type="duplicateValues" dxfId="17046" priority="20592"/>
    <cfRule type="duplicateValues" dxfId="17045" priority="20593"/>
    <cfRule type="duplicateValues" dxfId="17044" priority="20594"/>
    <cfRule type="duplicateValues" dxfId="17043" priority="20595"/>
    <cfRule type="duplicateValues" dxfId="17042" priority="20596"/>
    <cfRule type="duplicateValues" dxfId="17041" priority="20597"/>
    <cfRule type="duplicateValues" dxfId="17040" priority="20598"/>
    <cfRule type="duplicateValues" dxfId="17039" priority="20599"/>
    <cfRule type="duplicateValues" dxfId="17038" priority="20600"/>
    <cfRule type="duplicateValues" dxfId="17037" priority="20601"/>
    <cfRule type="duplicateValues" dxfId="17036" priority="20602"/>
    <cfRule type="duplicateValues" dxfId="17035" priority="20603"/>
    <cfRule type="duplicateValues" dxfId="17034" priority="20604"/>
    <cfRule type="duplicateValues" dxfId="17033" priority="20605"/>
    <cfRule type="duplicateValues" dxfId="17032" priority="20606"/>
    <cfRule type="duplicateValues" dxfId="17031" priority="20607"/>
    <cfRule type="duplicateValues" dxfId="17030" priority="20608"/>
    <cfRule type="duplicateValues" dxfId="17029" priority="20609"/>
    <cfRule type="duplicateValues" dxfId="17028" priority="20610"/>
    <cfRule type="duplicateValues" dxfId="17027" priority="20611"/>
    <cfRule type="duplicateValues" dxfId="17026" priority="20612"/>
    <cfRule type="duplicateValues" dxfId="17025" priority="20613"/>
    <cfRule type="duplicateValues" dxfId="17024" priority="20614"/>
    <cfRule type="duplicateValues" dxfId="17023" priority="20615"/>
    <cfRule type="duplicateValues" dxfId="17022" priority="20616"/>
    <cfRule type="duplicateValues" dxfId="17021" priority="20617"/>
    <cfRule type="duplicateValues" dxfId="17020" priority="20618"/>
    <cfRule type="duplicateValues" dxfId="17019" priority="20619"/>
    <cfRule type="duplicateValues" dxfId="17018" priority="20620"/>
    <cfRule type="duplicateValues" dxfId="17017" priority="20621"/>
    <cfRule type="duplicateValues" dxfId="17016" priority="20622"/>
    <cfRule type="duplicateValues" dxfId="17015" priority="20623"/>
    <cfRule type="duplicateValues" dxfId="17014" priority="20624"/>
    <cfRule type="duplicateValues" dxfId="17013" priority="20625"/>
    <cfRule type="duplicateValues" dxfId="17012" priority="20626"/>
    <cfRule type="duplicateValues" dxfId="17011" priority="20627"/>
    <cfRule type="duplicateValues" dxfId="17010" priority="20628"/>
    <cfRule type="duplicateValues" dxfId="17009" priority="20629"/>
    <cfRule type="duplicateValues" dxfId="17008" priority="20630"/>
    <cfRule type="duplicateValues" dxfId="17007" priority="20631"/>
    <cfRule type="duplicateValues" dxfId="17006" priority="20632"/>
    <cfRule type="duplicateValues" dxfId="17005" priority="20633"/>
    <cfRule type="duplicateValues" dxfId="17004" priority="20634"/>
    <cfRule type="duplicateValues" dxfId="17003" priority="20635"/>
    <cfRule type="duplicateValues" dxfId="17002" priority="20636"/>
    <cfRule type="duplicateValues" dxfId="17001" priority="20637"/>
    <cfRule type="duplicateValues" dxfId="17000" priority="20638"/>
    <cfRule type="duplicateValues" dxfId="16999" priority="20639"/>
    <cfRule type="duplicateValues" dxfId="16998" priority="20640"/>
    <cfRule type="duplicateValues" dxfId="16997" priority="20641"/>
    <cfRule type="duplicateValues" dxfId="16996" priority="20642"/>
    <cfRule type="duplicateValues" dxfId="16995" priority="20643"/>
    <cfRule type="duplicateValues" dxfId="16994" priority="20644"/>
    <cfRule type="duplicateValues" dxfId="16993" priority="20645"/>
    <cfRule type="duplicateValues" dxfId="16992" priority="20646"/>
    <cfRule type="duplicateValues" dxfId="16991" priority="20647"/>
    <cfRule type="duplicateValues" dxfId="16990" priority="20648"/>
    <cfRule type="duplicateValues" dxfId="16989" priority="20649"/>
    <cfRule type="duplicateValues" dxfId="16988" priority="20650"/>
    <cfRule type="duplicateValues" dxfId="16987" priority="20651"/>
    <cfRule type="duplicateValues" dxfId="16986" priority="20652"/>
    <cfRule type="duplicateValues" dxfId="16985" priority="20653"/>
    <cfRule type="duplicateValues" dxfId="16984" priority="20654"/>
    <cfRule type="duplicateValues" dxfId="16983" priority="20655"/>
    <cfRule type="duplicateValues" dxfId="16982" priority="20656"/>
    <cfRule type="duplicateValues" dxfId="16981" priority="20657"/>
    <cfRule type="duplicateValues" dxfId="16980" priority="20658"/>
    <cfRule type="duplicateValues" dxfId="16979" priority="20659"/>
    <cfRule type="duplicateValues" dxfId="16978" priority="20660"/>
    <cfRule type="duplicateValues" dxfId="16977" priority="20661"/>
    <cfRule type="duplicateValues" dxfId="16976" priority="20662"/>
    <cfRule type="duplicateValues" dxfId="16975" priority="20663"/>
    <cfRule type="duplicateValues" dxfId="16974" priority="20664"/>
    <cfRule type="duplicateValues" dxfId="16973" priority="20665"/>
    <cfRule type="duplicateValues" dxfId="16972" priority="20666"/>
    <cfRule type="duplicateValues" dxfId="16971" priority="20667"/>
    <cfRule type="duplicateValues" dxfId="16970" priority="20668"/>
    <cfRule type="duplicateValues" dxfId="16969" priority="20669"/>
    <cfRule type="duplicateValues" dxfId="16968" priority="20670"/>
    <cfRule type="duplicateValues" dxfId="16967" priority="20671"/>
    <cfRule type="duplicateValues" dxfId="16966" priority="20672"/>
    <cfRule type="duplicateValues" dxfId="16965" priority="20673"/>
    <cfRule type="duplicateValues" dxfId="16964" priority="20674"/>
    <cfRule type="duplicateValues" dxfId="16963" priority="20675"/>
    <cfRule type="duplicateValues" dxfId="16962" priority="20676"/>
    <cfRule type="duplicateValues" dxfId="16961" priority="20677"/>
    <cfRule type="duplicateValues" dxfId="16960" priority="20678"/>
    <cfRule type="duplicateValues" dxfId="16959" priority="20679"/>
    <cfRule type="duplicateValues" dxfId="16958" priority="20680"/>
    <cfRule type="duplicateValues" dxfId="16957" priority="20681"/>
    <cfRule type="duplicateValues" dxfId="16956" priority="20682"/>
    <cfRule type="duplicateValues" dxfId="16955" priority="20683"/>
    <cfRule type="duplicateValues" dxfId="16954" priority="20684"/>
    <cfRule type="duplicateValues" dxfId="16953" priority="20685"/>
    <cfRule type="duplicateValues" dxfId="16952" priority="20686"/>
    <cfRule type="duplicateValues" dxfId="16951" priority="20687"/>
    <cfRule type="duplicateValues" dxfId="16950" priority="20688"/>
    <cfRule type="duplicateValues" dxfId="16949" priority="20689"/>
    <cfRule type="duplicateValues" dxfId="16948" priority="20690"/>
    <cfRule type="duplicateValues" dxfId="16947" priority="20691"/>
    <cfRule type="duplicateValues" dxfId="16946" priority="20692"/>
    <cfRule type="duplicateValues" dxfId="16945" priority="20693"/>
    <cfRule type="duplicateValues" dxfId="16944" priority="20694"/>
    <cfRule type="duplicateValues" dxfId="16943" priority="20695"/>
    <cfRule type="duplicateValues" dxfId="16942" priority="20696"/>
    <cfRule type="duplicateValues" dxfId="16941" priority="20697"/>
    <cfRule type="duplicateValues" dxfId="16940" priority="20698"/>
    <cfRule type="duplicateValues" dxfId="16939" priority="20699"/>
    <cfRule type="duplicateValues" dxfId="16938" priority="20700"/>
    <cfRule type="duplicateValues" dxfId="16937" priority="20701"/>
    <cfRule type="duplicateValues" dxfId="16936" priority="20702"/>
    <cfRule type="duplicateValues" dxfId="16935" priority="20703"/>
    <cfRule type="duplicateValues" dxfId="16934" priority="20704"/>
    <cfRule type="duplicateValues" dxfId="16933" priority="20705"/>
    <cfRule type="duplicateValues" dxfId="16932" priority="20706"/>
    <cfRule type="duplicateValues" dxfId="16931" priority="20707"/>
    <cfRule type="duplicateValues" dxfId="16930" priority="20708"/>
    <cfRule type="duplicateValues" dxfId="16929" priority="20709"/>
    <cfRule type="duplicateValues" dxfId="16928" priority="20710"/>
    <cfRule type="duplicateValues" dxfId="16927" priority="20711"/>
    <cfRule type="duplicateValues" dxfId="16926" priority="20712"/>
    <cfRule type="duplicateValues" dxfId="16925" priority="20713"/>
    <cfRule type="duplicateValues" dxfId="16924" priority="20714"/>
    <cfRule type="duplicateValues" dxfId="16923" priority="20715"/>
    <cfRule type="duplicateValues" dxfId="16922" priority="20716"/>
    <cfRule type="duplicateValues" dxfId="16921" priority="20717"/>
    <cfRule type="duplicateValues" dxfId="16920" priority="20718"/>
    <cfRule type="duplicateValues" dxfId="16919" priority="20719"/>
    <cfRule type="duplicateValues" dxfId="16918" priority="20720"/>
    <cfRule type="duplicateValues" dxfId="16917" priority="20721"/>
    <cfRule type="duplicateValues" dxfId="16916" priority="20722"/>
    <cfRule type="duplicateValues" dxfId="16915" priority="20723"/>
    <cfRule type="duplicateValues" dxfId="16914" priority="20724"/>
    <cfRule type="duplicateValues" dxfId="16913" priority="20725"/>
    <cfRule type="duplicateValues" dxfId="16912" priority="20726"/>
    <cfRule type="duplicateValues" dxfId="16911" priority="20727"/>
    <cfRule type="duplicateValues" dxfId="16910" priority="20728"/>
    <cfRule type="duplicateValues" dxfId="16909" priority="20729"/>
    <cfRule type="duplicateValues" dxfId="16908" priority="20730"/>
    <cfRule type="duplicateValues" dxfId="16907" priority="20731"/>
    <cfRule type="duplicateValues" dxfId="16906" priority="20732"/>
    <cfRule type="duplicateValues" dxfId="16905" priority="20733"/>
    <cfRule type="duplicateValues" dxfId="16904" priority="20734"/>
    <cfRule type="duplicateValues" dxfId="16903" priority="20735"/>
    <cfRule type="duplicateValues" dxfId="16902" priority="20736"/>
    <cfRule type="duplicateValues" dxfId="16901" priority="20737"/>
    <cfRule type="duplicateValues" dxfId="16900" priority="20738"/>
    <cfRule type="duplicateValues" dxfId="16899" priority="20739"/>
    <cfRule type="duplicateValues" dxfId="16898" priority="20740"/>
    <cfRule type="duplicateValues" dxfId="16897" priority="20741"/>
    <cfRule type="duplicateValues" dxfId="16896" priority="20742"/>
    <cfRule type="duplicateValues" dxfId="16895" priority="20743"/>
    <cfRule type="duplicateValues" dxfId="16894" priority="20744"/>
    <cfRule type="duplicateValues" dxfId="16893" priority="20745"/>
    <cfRule type="duplicateValues" dxfId="16892" priority="20746"/>
    <cfRule type="duplicateValues" dxfId="16891" priority="20747"/>
    <cfRule type="duplicateValues" dxfId="16890" priority="20748"/>
    <cfRule type="duplicateValues" dxfId="16889" priority="20749"/>
    <cfRule type="duplicateValues" dxfId="16888" priority="20750"/>
    <cfRule type="duplicateValues" dxfId="16887" priority="20751"/>
    <cfRule type="duplicateValues" dxfId="16886" priority="20752"/>
    <cfRule type="duplicateValues" dxfId="16885" priority="20753"/>
    <cfRule type="duplicateValues" dxfId="16884" priority="20754"/>
    <cfRule type="duplicateValues" dxfId="16883" priority="20755"/>
    <cfRule type="duplicateValues" dxfId="16882" priority="20756"/>
    <cfRule type="duplicateValues" dxfId="16881" priority="20757"/>
    <cfRule type="duplicateValues" dxfId="16880" priority="20758"/>
    <cfRule type="duplicateValues" dxfId="16879" priority="20759"/>
    <cfRule type="duplicateValues" dxfId="16878" priority="20760"/>
    <cfRule type="duplicateValues" dxfId="16877" priority="20761"/>
    <cfRule type="duplicateValues" dxfId="16876" priority="20762"/>
    <cfRule type="duplicateValues" dxfId="16875" priority="20763"/>
    <cfRule type="duplicateValues" dxfId="16874" priority="20764"/>
    <cfRule type="duplicateValues" dxfId="16873" priority="20765"/>
    <cfRule type="duplicateValues" dxfId="16872" priority="20766"/>
    <cfRule type="duplicateValues" dxfId="16871" priority="20767"/>
    <cfRule type="duplicateValues" dxfId="16870" priority="20768"/>
    <cfRule type="duplicateValues" dxfId="16869" priority="20769"/>
    <cfRule type="duplicateValues" dxfId="16868" priority="20770"/>
    <cfRule type="duplicateValues" dxfId="16867" priority="20771"/>
    <cfRule type="duplicateValues" dxfId="16866" priority="20772"/>
    <cfRule type="duplicateValues" dxfId="16865" priority="20773"/>
    <cfRule type="duplicateValues" dxfId="16864" priority="20774"/>
    <cfRule type="duplicateValues" dxfId="16863" priority="20775"/>
    <cfRule type="duplicateValues" dxfId="16862" priority="20776"/>
    <cfRule type="duplicateValues" dxfId="16861" priority="20777"/>
    <cfRule type="duplicateValues" dxfId="16860" priority="20778"/>
    <cfRule type="duplicateValues" dxfId="16859" priority="20779"/>
    <cfRule type="duplicateValues" dxfId="16858" priority="20780"/>
    <cfRule type="duplicateValues" dxfId="16857" priority="20781"/>
    <cfRule type="duplicateValues" dxfId="16856" priority="20782"/>
    <cfRule type="duplicateValues" dxfId="16855" priority="20783"/>
    <cfRule type="duplicateValues" dxfId="16854" priority="20784"/>
    <cfRule type="duplicateValues" dxfId="16853" priority="20785"/>
    <cfRule type="duplicateValues" dxfId="16852" priority="20786"/>
    <cfRule type="duplicateValues" dxfId="16851" priority="20787"/>
    <cfRule type="duplicateValues" dxfId="16850" priority="20788"/>
    <cfRule type="duplicateValues" dxfId="16849" priority="20789"/>
    <cfRule type="duplicateValues" dxfId="16848" priority="20790"/>
    <cfRule type="duplicateValues" dxfId="16847" priority="20791"/>
    <cfRule type="duplicateValues" dxfId="16846" priority="20792"/>
    <cfRule type="duplicateValues" dxfId="16845" priority="20793"/>
    <cfRule type="duplicateValues" dxfId="16844" priority="20794"/>
    <cfRule type="duplicateValues" dxfId="16843" priority="20795"/>
    <cfRule type="duplicateValues" dxfId="16842" priority="20796"/>
    <cfRule type="duplicateValues" dxfId="16841" priority="20797"/>
    <cfRule type="duplicateValues" dxfId="16840" priority="20798"/>
    <cfRule type="duplicateValues" dxfId="16839" priority="20799"/>
    <cfRule type="duplicateValues" dxfId="16838" priority="20800"/>
    <cfRule type="duplicateValues" dxfId="16837" priority="20801"/>
    <cfRule type="duplicateValues" dxfId="16836" priority="20802"/>
    <cfRule type="duplicateValues" dxfId="16835" priority="20803"/>
    <cfRule type="duplicateValues" dxfId="16834" priority="20804"/>
    <cfRule type="duplicateValues" dxfId="16833" priority="20805"/>
    <cfRule type="duplicateValues" dxfId="16832" priority="20806"/>
    <cfRule type="duplicateValues" dxfId="16831" priority="20807"/>
    <cfRule type="duplicateValues" dxfId="16830" priority="20808"/>
    <cfRule type="duplicateValues" dxfId="16829" priority="20809"/>
    <cfRule type="duplicateValues" dxfId="16828" priority="20810"/>
    <cfRule type="duplicateValues" dxfId="16827" priority="20811"/>
    <cfRule type="duplicateValues" dxfId="16826" priority="20812"/>
    <cfRule type="duplicateValues" dxfId="16825" priority="20813"/>
    <cfRule type="duplicateValues" dxfId="16824" priority="20814"/>
    <cfRule type="duplicateValues" dxfId="16823" priority="20815"/>
    <cfRule type="duplicateValues" dxfId="16822" priority="20816"/>
    <cfRule type="duplicateValues" dxfId="16821" priority="20817"/>
    <cfRule type="duplicateValues" dxfId="16820" priority="20818"/>
    <cfRule type="duplicateValues" dxfId="16819" priority="20819"/>
    <cfRule type="duplicateValues" dxfId="16818" priority="20820"/>
    <cfRule type="duplicateValues" dxfId="16817" priority="20821"/>
    <cfRule type="duplicateValues" dxfId="16816" priority="20822"/>
    <cfRule type="duplicateValues" dxfId="16815" priority="20823"/>
    <cfRule type="duplicateValues" dxfId="16814" priority="20824"/>
    <cfRule type="duplicateValues" dxfId="16813" priority="20825"/>
    <cfRule type="duplicateValues" dxfId="16812" priority="20826"/>
    <cfRule type="duplicateValues" dxfId="16811" priority="20827"/>
    <cfRule type="duplicateValues" dxfId="16810" priority="20828"/>
    <cfRule type="duplicateValues" dxfId="16809" priority="20829"/>
    <cfRule type="duplicateValues" dxfId="16808" priority="20830"/>
    <cfRule type="duplicateValues" dxfId="16807" priority="20831"/>
    <cfRule type="duplicateValues" dxfId="16806" priority="20832"/>
    <cfRule type="duplicateValues" dxfId="16805" priority="20833"/>
    <cfRule type="duplicateValues" dxfId="16804" priority="20834"/>
    <cfRule type="duplicateValues" dxfId="16803" priority="20835"/>
    <cfRule type="duplicateValues" dxfId="16802" priority="20836"/>
    <cfRule type="duplicateValues" dxfId="16801" priority="20837"/>
    <cfRule type="duplicateValues" dxfId="16800" priority="20838"/>
    <cfRule type="duplicateValues" dxfId="16799" priority="20839"/>
    <cfRule type="duplicateValues" dxfId="16798" priority="20840"/>
    <cfRule type="duplicateValues" dxfId="16797" priority="20841"/>
    <cfRule type="duplicateValues" dxfId="16796" priority="20842"/>
    <cfRule type="duplicateValues" dxfId="16795" priority="20843"/>
    <cfRule type="duplicateValues" dxfId="16794" priority="20844"/>
    <cfRule type="duplicateValues" dxfId="16793" priority="20845"/>
    <cfRule type="duplicateValues" dxfId="16792" priority="20846"/>
    <cfRule type="duplicateValues" dxfId="16791" priority="20847"/>
    <cfRule type="duplicateValues" dxfId="16790" priority="20848"/>
    <cfRule type="duplicateValues" dxfId="16789" priority="20849"/>
    <cfRule type="duplicateValues" dxfId="16788" priority="20850"/>
    <cfRule type="duplicateValues" dxfId="16787" priority="20851"/>
    <cfRule type="duplicateValues" dxfId="16786" priority="20852"/>
    <cfRule type="duplicateValues" dxfId="16785" priority="20853"/>
    <cfRule type="duplicateValues" dxfId="16784" priority="20854"/>
    <cfRule type="duplicateValues" dxfId="16783" priority="20855"/>
    <cfRule type="duplicateValues" dxfId="16782" priority="20856"/>
    <cfRule type="duplicateValues" dxfId="16781" priority="20857"/>
    <cfRule type="duplicateValues" dxfId="16780" priority="20858"/>
    <cfRule type="duplicateValues" dxfId="16779" priority="20859"/>
    <cfRule type="duplicateValues" dxfId="16778" priority="20860"/>
    <cfRule type="duplicateValues" dxfId="16777" priority="20861"/>
    <cfRule type="duplicateValues" dxfId="16776" priority="20862"/>
    <cfRule type="duplicateValues" dxfId="16775" priority="20863"/>
    <cfRule type="duplicateValues" dxfId="16774" priority="20864"/>
    <cfRule type="duplicateValues" dxfId="16773" priority="20865"/>
    <cfRule type="duplicateValues" dxfId="16772" priority="20866"/>
    <cfRule type="duplicateValues" dxfId="16771" priority="20867"/>
    <cfRule type="duplicateValues" dxfId="16770" priority="20868"/>
    <cfRule type="duplicateValues" dxfId="16769" priority="20869"/>
    <cfRule type="duplicateValues" dxfId="16768" priority="20870"/>
    <cfRule type="duplicateValues" dxfId="16767" priority="20871"/>
    <cfRule type="duplicateValues" dxfId="16766" priority="20872"/>
    <cfRule type="duplicateValues" dxfId="16765" priority="20873"/>
    <cfRule type="duplicateValues" dxfId="16764" priority="20874"/>
    <cfRule type="duplicateValues" dxfId="16763" priority="20875"/>
    <cfRule type="duplicateValues" dxfId="16762" priority="20876"/>
  </conditionalFormatting>
  <conditionalFormatting sqref="C241">
    <cfRule type="duplicateValues" dxfId="16761" priority="20187"/>
    <cfRule type="duplicateValues" dxfId="16760" priority="20188"/>
    <cfRule type="duplicateValues" dxfId="16759" priority="20189"/>
    <cfRule type="duplicateValues" dxfId="16758" priority="20190"/>
    <cfRule type="duplicateValues" dxfId="16757" priority="20191"/>
    <cfRule type="duplicateValues" dxfId="16756" priority="20192"/>
    <cfRule type="duplicateValues" dxfId="16755" priority="20193"/>
    <cfRule type="duplicateValues" dxfId="16754" priority="20194"/>
    <cfRule type="duplicateValues" dxfId="16753" priority="20195"/>
    <cfRule type="duplicateValues" dxfId="16752" priority="20196"/>
    <cfRule type="duplicateValues" dxfId="16751" priority="20197"/>
    <cfRule type="duplicateValues" dxfId="16750" priority="20198"/>
    <cfRule type="duplicateValues" dxfId="16749" priority="20199"/>
    <cfRule type="duplicateValues" dxfId="16748" priority="20200"/>
    <cfRule type="duplicateValues" dxfId="16747" priority="20201"/>
    <cfRule type="duplicateValues" dxfId="16746" priority="20202"/>
    <cfRule type="duplicateValues" dxfId="16745" priority="20203"/>
    <cfRule type="duplicateValues" dxfId="16744" priority="20204"/>
    <cfRule type="duplicateValues" dxfId="16743" priority="20205"/>
    <cfRule type="duplicateValues" dxfId="16742" priority="20206"/>
    <cfRule type="duplicateValues" dxfId="16741" priority="20207"/>
    <cfRule type="duplicateValues" dxfId="16740" priority="20208"/>
    <cfRule type="duplicateValues" dxfId="16739" priority="20209"/>
    <cfRule type="duplicateValues" dxfId="16738" priority="20210"/>
    <cfRule type="duplicateValues" dxfId="16737" priority="20211"/>
    <cfRule type="duplicateValues" dxfId="16736" priority="20212"/>
    <cfRule type="duplicateValues" dxfId="16735" priority="20213"/>
    <cfRule type="duplicateValues" dxfId="16734" priority="20214"/>
    <cfRule type="duplicateValues" dxfId="16733" priority="20215"/>
    <cfRule type="duplicateValues" dxfId="16732" priority="20216"/>
    <cfRule type="duplicateValues" dxfId="16731" priority="20217"/>
    <cfRule type="duplicateValues" dxfId="16730" priority="20218"/>
    <cfRule type="duplicateValues" dxfId="16729" priority="20219"/>
    <cfRule type="duplicateValues" dxfId="16728" priority="20220"/>
    <cfRule type="duplicateValues" dxfId="16727" priority="20221"/>
    <cfRule type="duplicateValues" dxfId="16726" priority="20222"/>
    <cfRule type="duplicateValues" dxfId="16725" priority="20223"/>
    <cfRule type="duplicateValues" dxfId="16724" priority="20224"/>
    <cfRule type="duplicateValues" dxfId="16723" priority="20225"/>
    <cfRule type="duplicateValues" dxfId="16722" priority="20226"/>
    <cfRule type="duplicateValues" dxfId="16721" priority="20227"/>
    <cfRule type="duplicateValues" dxfId="16720" priority="20228"/>
    <cfRule type="duplicateValues" dxfId="16719" priority="20229"/>
    <cfRule type="duplicateValues" dxfId="16718" priority="20230"/>
    <cfRule type="duplicateValues" dxfId="16717" priority="20231"/>
    <cfRule type="duplicateValues" dxfId="16716" priority="20232"/>
    <cfRule type="duplicateValues" dxfId="16715" priority="20233"/>
    <cfRule type="duplicateValues" dxfId="16714" priority="20234"/>
    <cfRule type="duplicateValues" dxfId="16713" priority="20235"/>
    <cfRule type="duplicateValues" dxfId="16712" priority="20236"/>
    <cfRule type="duplicateValues" dxfId="16711" priority="20237"/>
    <cfRule type="duplicateValues" dxfId="16710" priority="20238"/>
    <cfRule type="duplicateValues" dxfId="16709" priority="20239"/>
    <cfRule type="duplicateValues" dxfId="16708" priority="20240"/>
    <cfRule type="duplicateValues" dxfId="16707" priority="20241"/>
    <cfRule type="duplicateValues" dxfId="16706" priority="20242"/>
    <cfRule type="duplicateValues" dxfId="16705" priority="20243"/>
    <cfRule type="duplicateValues" dxfId="16704" priority="20244"/>
    <cfRule type="duplicateValues" dxfId="16703" priority="20245"/>
    <cfRule type="duplicateValues" dxfId="16702" priority="20246"/>
    <cfRule type="duplicateValues" dxfId="16701" priority="20247"/>
    <cfRule type="duplicateValues" dxfId="16700" priority="20248"/>
    <cfRule type="duplicateValues" dxfId="16699" priority="20249"/>
    <cfRule type="duplicateValues" dxfId="16698" priority="20250"/>
    <cfRule type="duplicateValues" dxfId="16697" priority="20251"/>
    <cfRule type="duplicateValues" dxfId="16696" priority="20252"/>
    <cfRule type="duplicateValues" dxfId="16695" priority="20253"/>
    <cfRule type="duplicateValues" dxfId="16694" priority="20254"/>
    <cfRule type="duplicateValues" dxfId="16693" priority="20255"/>
    <cfRule type="duplicateValues" dxfId="16692" priority="20256"/>
    <cfRule type="duplicateValues" dxfId="16691" priority="20257"/>
    <cfRule type="duplicateValues" dxfId="16690" priority="20258"/>
    <cfRule type="duplicateValues" dxfId="16689" priority="20259"/>
    <cfRule type="duplicateValues" dxfId="16688" priority="20260"/>
    <cfRule type="duplicateValues" dxfId="16687" priority="20261"/>
    <cfRule type="duplicateValues" dxfId="16686" priority="20262"/>
    <cfRule type="duplicateValues" dxfId="16685" priority="20263"/>
    <cfRule type="duplicateValues" dxfId="16684" priority="20264"/>
    <cfRule type="duplicateValues" dxfId="16683" priority="20265"/>
    <cfRule type="duplicateValues" dxfId="16682" priority="20266"/>
    <cfRule type="duplicateValues" dxfId="16681" priority="20267"/>
    <cfRule type="duplicateValues" dxfId="16680" priority="20268"/>
    <cfRule type="duplicateValues" dxfId="16679" priority="20269"/>
    <cfRule type="duplicateValues" dxfId="16678" priority="20270"/>
    <cfRule type="duplicateValues" dxfId="16677" priority="20271"/>
    <cfRule type="duplicateValues" dxfId="16676" priority="20272"/>
    <cfRule type="duplicateValues" dxfId="16675" priority="20273"/>
    <cfRule type="duplicateValues" dxfId="16674" priority="20274"/>
    <cfRule type="duplicateValues" dxfId="16673" priority="20275"/>
    <cfRule type="duplicateValues" dxfId="16672" priority="20276"/>
    <cfRule type="duplicateValues" dxfId="16671" priority="20277"/>
    <cfRule type="duplicateValues" dxfId="16670" priority="20278"/>
    <cfRule type="duplicateValues" dxfId="16669" priority="20279"/>
    <cfRule type="duplicateValues" dxfId="16668" priority="20280"/>
    <cfRule type="duplicateValues" dxfId="16667" priority="20281"/>
    <cfRule type="duplicateValues" dxfId="16666" priority="20282"/>
    <cfRule type="duplicateValues" dxfId="16665" priority="20283"/>
    <cfRule type="duplicateValues" dxfId="16664" priority="20284"/>
    <cfRule type="duplicateValues" dxfId="16663" priority="20285"/>
    <cfRule type="duplicateValues" dxfId="16662" priority="20286"/>
    <cfRule type="duplicateValues" dxfId="16661" priority="20287"/>
    <cfRule type="duplicateValues" dxfId="16660" priority="20288"/>
    <cfRule type="duplicateValues" dxfId="16659" priority="20289"/>
    <cfRule type="duplicateValues" dxfId="16658" priority="20290"/>
    <cfRule type="duplicateValues" dxfId="16657" priority="20291"/>
    <cfRule type="duplicateValues" dxfId="16656" priority="20292"/>
    <cfRule type="duplicateValues" dxfId="16655" priority="20293"/>
    <cfRule type="duplicateValues" dxfId="16654" priority="20294"/>
    <cfRule type="duplicateValues" dxfId="16653" priority="20295"/>
    <cfRule type="duplicateValues" dxfId="16652" priority="20296"/>
    <cfRule type="duplicateValues" dxfId="16651" priority="20297"/>
    <cfRule type="duplicateValues" dxfId="16650" priority="20298"/>
    <cfRule type="duplicateValues" dxfId="16649" priority="20299"/>
    <cfRule type="duplicateValues" dxfId="16648" priority="20300"/>
    <cfRule type="duplicateValues" dxfId="16647" priority="20301"/>
    <cfRule type="duplicateValues" dxfId="16646" priority="20302"/>
    <cfRule type="duplicateValues" dxfId="16645" priority="20303"/>
    <cfRule type="duplicateValues" dxfId="16644" priority="20304"/>
    <cfRule type="duplicateValues" dxfId="16643" priority="20305"/>
    <cfRule type="duplicateValues" dxfId="16642" priority="20306"/>
    <cfRule type="duplicateValues" dxfId="16641" priority="20307"/>
    <cfRule type="duplicateValues" dxfId="16640" priority="20308"/>
    <cfRule type="duplicateValues" dxfId="16639" priority="20309"/>
    <cfRule type="duplicateValues" dxfId="16638" priority="20310"/>
    <cfRule type="duplicateValues" dxfId="16637" priority="20311"/>
    <cfRule type="duplicateValues" dxfId="16636" priority="20312"/>
    <cfRule type="duplicateValues" dxfId="16635" priority="20313"/>
    <cfRule type="duplicateValues" dxfId="16634" priority="20314"/>
    <cfRule type="duplicateValues" dxfId="16633" priority="20315"/>
    <cfRule type="duplicateValues" dxfId="16632" priority="20316"/>
    <cfRule type="duplicateValues" dxfId="16631" priority="20317"/>
    <cfRule type="duplicateValues" dxfId="16630" priority="20318"/>
    <cfRule type="duplicateValues" dxfId="16629" priority="20319"/>
    <cfRule type="duplicateValues" dxfId="16628" priority="20320"/>
    <cfRule type="duplicateValues" dxfId="16627" priority="20321"/>
    <cfRule type="duplicateValues" dxfId="16626" priority="20322"/>
    <cfRule type="duplicateValues" dxfId="16625" priority="20323"/>
    <cfRule type="duplicateValues" dxfId="16624" priority="20324"/>
    <cfRule type="duplicateValues" dxfId="16623" priority="20325"/>
    <cfRule type="duplicateValues" dxfId="16622" priority="20326"/>
    <cfRule type="duplicateValues" dxfId="16621" priority="20327"/>
    <cfRule type="duplicateValues" dxfId="16620" priority="20328"/>
    <cfRule type="duplicateValues" dxfId="16619" priority="20329"/>
    <cfRule type="duplicateValues" dxfId="16618" priority="20330"/>
    <cfRule type="duplicateValues" dxfId="16617" priority="20331"/>
    <cfRule type="duplicateValues" dxfId="16616" priority="20332"/>
    <cfRule type="duplicateValues" dxfId="16615" priority="20333"/>
    <cfRule type="duplicateValues" dxfId="16614" priority="20334"/>
    <cfRule type="duplicateValues" dxfId="16613" priority="20335"/>
    <cfRule type="duplicateValues" dxfId="16612" priority="20336"/>
    <cfRule type="duplicateValues" dxfId="16611" priority="20337"/>
    <cfRule type="duplicateValues" dxfId="16610" priority="20338"/>
    <cfRule type="duplicateValues" dxfId="16609" priority="20339"/>
    <cfRule type="duplicateValues" dxfId="16608" priority="20340"/>
    <cfRule type="duplicateValues" dxfId="16607" priority="20341"/>
    <cfRule type="duplicateValues" dxfId="16606" priority="20342"/>
    <cfRule type="duplicateValues" dxfId="16605" priority="20343"/>
    <cfRule type="duplicateValues" dxfId="16604" priority="20344"/>
    <cfRule type="duplicateValues" dxfId="16603" priority="20345"/>
    <cfRule type="duplicateValues" dxfId="16602" priority="20346"/>
    <cfRule type="duplicateValues" dxfId="16601" priority="20347"/>
    <cfRule type="duplicateValues" dxfId="16600" priority="20348"/>
    <cfRule type="duplicateValues" dxfId="16599" priority="20349"/>
    <cfRule type="duplicateValues" dxfId="16598" priority="20350"/>
    <cfRule type="duplicateValues" dxfId="16597" priority="20351"/>
    <cfRule type="duplicateValues" dxfId="16596" priority="20352"/>
    <cfRule type="duplicateValues" dxfId="16595" priority="20353"/>
    <cfRule type="duplicateValues" dxfId="16594" priority="20354"/>
    <cfRule type="duplicateValues" dxfId="16593" priority="20355"/>
    <cfRule type="duplicateValues" dxfId="16592" priority="20356"/>
    <cfRule type="duplicateValues" dxfId="16591" priority="20357"/>
    <cfRule type="duplicateValues" dxfId="16590" priority="20358"/>
    <cfRule type="duplicateValues" dxfId="16589" priority="20359"/>
    <cfRule type="duplicateValues" dxfId="16588" priority="20360"/>
    <cfRule type="duplicateValues" dxfId="16587" priority="20361"/>
    <cfRule type="duplicateValues" dxfId="16586" priority="20362"/>
    <cfRule type="duplicateValues" dxfId="16585" priority="20363"/>
    <cfRule type="duplicateValues" dxfId="16584" priority="20364"/>
    <cfRule type="duplicateValues" dxfId="16583" priority="20365"/>
    <cfRule type="duplicateValues" dxfId="16582" priority="20366"/>
    <cfRule type="duplicateValues" dxfId="16581" priority="20367"/>
    <cfRule type="duplicateValues" dxfId="16580" priority="20368"/>
    <cfRule type="duplicateValues" dxfId="16579" priority="20369"/>
    <cfRule type="duplicateValues" dxfId="16578" priority="20370"/>
    <cfRule type="duplicateValues" dxfId="16577" priority="20371"/>
    <cfRule type="duplicateValues" dxfId="16576" priority="20372"/>
    <cfRule type="duplicateValues" dxfId="16575" priority="20373"/>
    <cfRule type="duplicateValues" dxfId="16574" priority="20374"/>
    <cfRule type="duplicateValues" dxfId="16573" priority="20375"/>
    <cfRule type="duplicateValues" dxfId="16572" priority="20376"/>
    <cfRule type="duplicateValues" dxfId="16571" priority="20377"/>
    <cfRule type="duplicateValues" dxfId="16570" priority="20378"/>
    <cfRule type="duplicateValues" dxfId="16569" priority="20379"/>
    <cfRule type="duplicateValues" dxfId="16568" priority="20380"/>
    <cfRule type="duplicateValues" dxfId="16567" priority="20381"/>
    <cfRule type="duplicateValues" dxfId="16566" priority="20382"/>
    <cfRule type="duplicateValues" dxfId="16565" priority="20383"/>
    <cfRule type="duplicateValues" dxfId="16564" priority="20384"/>
    <cfRule type="duplicateValues" dxfId="16563" priority="20385"/>
    <cfRule type="duplicateValues" dxfId="16562" priority="20386"/>
    <cfRule type="duplicateValues" dxfId="16561" priority="20387"/>
    <cfRule type="duplicateValues" dxfId="16560" priority="20388"/>
    <cfRule type="duplicateValues" dxfId="16559" priority="20389"/>
    <cfRule type="duplicateValues" dxfId="16558" priority="20390"/>
    <cfRule type="duplicateValues" dxfId="16557" priority="20391"/>
    <cfRule type="duplicateValues" dxfId="16556" priority="20392"/>
    <cfRule type="duplicateValues" dxfId="16555" priority="20393"/>
    <cfRule type="duplicateValues" dxfId="16554" priority="20394"/>
    <cfRule type="duplicateValues" dxfId="16553" priority="20395"/>
    <cfRule type="duplicateValues" dxfId="16552" priority="20396"/>
    <cfRule type="duplicateValues" dxfId="16551" priority="20397"/>
    <cfRule type="duplicateValues" dxfId="16550" priority="20398"/>
    <cfRule type="duplicateValues" dxfId="16549" priority="20399"/>
    <cfRule type="duplicateValues" dxfId="16548" priority="20400"/>
    <cfRule type="duplicateValues" dxfId="16547" priority="20401"/>
    <cfRule type="duplicateValues" dxfId="16546" priority="20402"/>
    <cfRule type="duplicateValues" dxfId="16545" priority="20403"/>
    <cfRule type="duplicateValues" dxfId="16544" priority="20404"/>
    <cfRule type="duplicateValues" dxfId="16543" priority="20405"/>
    <cfRule type="duplicateValues" dxfId="16542" priority="20406"/>
    <cfRule type="duplicateValues" dxfId="16541" priority="20407"/>
    <cfRule type="duplicateValues" dxfId="16540" priority="20408"/>
    <cfRule type="duplicateValues" dxfId="16539" priority="20409"/>
    <cfRule type="duplicateValues" dxfId="16538" priority="20410"/>
    <cfRule type="duplicateValues" dxfId="16537" priority="20411"/>
    <cfRule type="duplicateValues" dxfId="16536" priority="20412"/>
    <cfRule type="duplicateValues" dxfId="16535" priority="20413"/>
    <cfRule type="duplicateValues" dxfId="16534" priority="20414"/>
    <cfRule type="duplicateValues" dxfId="16533" priority="20415"/>
    <cfRule type="duplicateValues" dxfId="16532" priority="20416"/>
    <cfRule type="duplicateValues" dxfId="16531" priority="20417"/>
    <cfRule type="duplicateValues" dxfId="16530" priority="20418"/>
    <cfRule type="duplicateValues" dxfId="16529" priority="20419"/>
    <cfRule type="duplicateValues" dxfId="16528" priority="20420"/>
    <cfRule type="duplicateValues" dxfId="16527" priority="20421"/>
    <cfRule type="duplicateValues" dxfId="16526" priority="20422"/>
    <cfRule type="duplicateValues" dxfId="16525" priority="20423"/>
    <cfRule type="duplicateValues" dxfId="16524" priority="20424"/>
    <cfRule type="duplicateValues" dxfId="16523" priority="20425"/>
    <cfRule type="duplicateValues" dxfId="16522" priority="20426"/>
    <cfRule type="duplicateValues" dxfId="16521" priority="20427"/>
    <cfRule type="duplicateValues" dxfId="16520" priority="20428"/>
    <cfRule type="duplicateValues" dxfId="16519" priority="20429"/>
    <cfRule type="duplicateValues" dxfId="16518" priority="20430"/>
    <cfRule type="duplicateValues" dxfId="16517" priority="20431"/>
    <cfRule type="duplicateValues" dxfId="16516" priority="20432"/>
    <cfRule type="duplicateValues" dxfId="16515" priority="20433"/>
    <cfRule type="duplicateValues" dxfId="16514" priority="20434"/>
    <cfRule type="duplicateValues" dxfId="16513" priority="20435"/>
    <cfRule type="duplicateValues" dxfId="16512" priority="20436"/>
    <cfRule type="duplicateValues" dxfId="16511" priority="20437"/>
    <cfRule type="duplicateValues" dxfId="16510" priority="20438"/>
    <cfRule type="duplicateValues" dxfId="16509" priority="20439"/>
    <cfRule type="duplicateValues" dxfId="16508" priority="20440"/>
    <cfRule type="duplicateValues" dxfId="16507" priority="20441"/>
    <cfRule type="duplicateValues" dxfId="16506" priority="20442"/>
    <cfRule type="duplicateValues" dxfId="16505" priority="20443"/>
    <cfRule type="duplicateValues" dxfId="16504" priority="20444"/>
    <cfRule type="duplicateValues" dxfId="16503" priority="20445"/>
    <cfRule type="duplicateValues" dxfId="16502" priority="20446"/>
    <cfRule type="duplicateValues" dxfId="16501" priority="20447"/>
    <cfRule type="duplicateValues" dxfId="16500" priority="20448"/>
    <cfRule type="duplicateValues" dxfId="16499" priority="20449"/>
    <cfRule type="duplicateValues" dxfId="16498" priority="20450"/>
    <cfRule type="duplicateValues" dxfId="16497" priority="20451"/>
    <cfRule type="duplicateValues" dxfId="16496" priority="20452"/>
    <cfRule type="duplicateValues" dxfId="16495" priority="20453"/>
    <cfRule type="duplicateValues" dxfId="16494" priority="20454"/>
    <cfRule type="duplicateValues" dxfId="16493" priority="20455"/>
    <cfRule type="duplicateValues" dxfId="16492" priority="20456"/>
    <cfRule type="duplicateValues" dxfId="16491" priority="20457"/>
    <cfRule type="duplicateValues" dxfId="16490" priority="20458"/>
    <cfRule type="duplicateValues" dxfId="16489" priority="20459"/>
    <cfRule type="duplicateValues" dxfId="16488" priority="20460"/>
    <cfRule type="duplicateValues" dxfId="16487" priority="20461"/>
    <cfRule type="duplicateValues" dxfId="16486" priority="20462"/>
    <cfRule type="duplicateValues" dxfId="16485" priority="20463"/>
    <cfRule type="duplicateValues" dxfId="16484" priority="20464"/>
    <cfRule type="duplicateValues" dxfId="16483" priority="20465"/>
    <cfRule type="duplicateValues" dxfId="16482" priority="20466"/>
    <cfRule type="duplicateValues" dxfId="16481" priority="20467"/>
    <cfRule type="duplicateValues" dxfId="16480" priority="20468"/>
    <cfRule type="duplicateValues" dxfId="16479" priority="20469"/>
    <cfRule type="duplicateValues" dxfId="16478" priority="20470"/>
    <cfRule type="duplicateValues" dxfId="16477" priority="20471"/>
    <cfRule type="duplicateValues" dxfId="16476" priority="20472"/>
    <cfRule type="duplicateValues" dxfId="16475" priority="20473"/>
    <cfRule type="duplicateValues" dxfId="16474" priority="20474"/>
    <cfRule type="duplicateValues" dxfId="16473" priority="20475"/>
    <cfRule type="duplicateValues" dxfId="16472" priority="20476"/>
    <cfRule type="duplicateValues" dxfId="16471" priority="20477"/>
    <cfRule type="duplicateValues" dxfId="16470" priority="20478"/>
    <cfRule type="duplicateValues" dxfId="16469" priority="20479"/>
    <cfRule type="duplicateValues" dxfId="16468" priority="20480"/>
    <cfRule type="duplicateValues" dxfId="16467" priority="20481"/>
    <cfRule type="duplicateValues" dxfId="16466" priority="20482"/>
    <cfRule type="duplicateValues" dxfId="16465" priority="20483"/>
    <cfRule type="duplicateValues" dxfId="16464" priority="20484"/>
    <cfRule type="duplicateValues" dxfId="16463" priority="20485"/>
    <cfRule type="duplicateValues" dxfId="16462" priority="20486"/>
    <cfRule type="duplicateValues" dxfId="16461" priority="20487"/>
    <cfRule type="duplicateValues" dxfId="16460" priority="20488"/>
    <cfRule type="duplicateValues" dxfId="16459" priority="20489"/>
    <cfRule type="duplicateValues" dxfId="16458" priority="20490"/>
    <cfRule type="duplicateValues" dxfId="16457" priority="20491"/>
    <cfRule type="duplicateValues" dxfId="16456" priority="20492"/>
    <cfRule type="duplicateValues" dxfId="16455" priority="20493"/>
    <cfRule type="duplicateValues" dxfId="16454" priority="20494"/>
    <cfRule type="duplicateValues" dxfId="16453" priority="20495"/>
    <cfRule type="duplicateValues" dxfId="16452" priority="20496"/>
    <cfRule type="duplicateValues" dxfId="16451" priority="20497"/>
    <cfRule type="duplicateValues" dxfId="16450" priority="20498"/>
    <cfRule type="duplicateValues" dxfId="16449" priority="20499"/>
    <cfRule type="duplicateValues" dxfId="16448" priority="20500"/>
    <cfRule type="duplicateValues" dxfId="16447" priority="20501"/>
    <cfRule type="duplicateValues" dxfId="16446" priority="20502"/>
    <cfRule type="duplicateValues" dxfId="16445" priority="20503"/>
    <cfRule type="duplicateValues" dxfId="16444" priority="20504"/>
    <cfRule type="duplicateValues" dxfId="16443" priority="20505"/>
    <cfRule type="duplicateValues" dxfId="16442" priority="20506"/>
    <cfRule type="duplicateValues" dxfId="16441" priority="20507"/>
    <cfRule type="duplicateValues" dxfId="16440" priority="20508"/>
    <cfRule type="duplicateValues" dxfId="16439" priority="20509"/>
    <cfRule type="duplicateValues" dxfId="16438" priority="20510"/>
    <cfRule type="duplicateValues" dxfId="16437" priority="20511"/>
    <cfRule type="duplicateValues" dxfId="16436" priority="20512"/>
    <cfRule type="duplicateValues" dxfId="16435" priority="20513"/>
    <cfRule type="duplicateValues" dxfId="16434" priority="20514"/>
    <cfRule type="duplicateValues" dxfId="16433" priority="20515"/>
    <cfRule type="duplicateValues" dxfId="16432" priority="20516"/>
    <cfRule type="duplicateValues" dxfId="16431" priority="20517"/>
    <cfRule type="duplicateValues" dxfId="16430" priority="20518"/>
    <cfRule type="duplicateValues" dxfId="16429" priority="20519"/>
    <cfRule type="duplicateValues" dxfId="16428" priority="20520"/>
    <cfRule type="duplicateValues" dxfId="16427" priority="20521"/>
    <cfRule type="duplicateValues" dxfId="16426" priority="20522"/>
    <cfRule type="duplicateValues" dxfId="16425" priority="20523"/>
    <cfRule type="duplicateValues" dxfId="16424" priority="20524"/>
    <cfRule type="duplicateValues" dxfId="16423" priority="20525"/>
    <cfRule type="duplicateValues" dxfId="16422" priority="20526"/>
    <cfRule type="duplicateValues" dxfId="16421" priority="20527"/>
    <cfRule type="duplicateValues" dxfId="16420" priority="20528"/>
    <cfRule type="duplicateValues" dxfId="16419" priority="20529"/>
    <cfRule type="duplicateValues" dxfId="16418" priority="20530"/>
    <cfRule type="duplicateValues" dxfId="16417" priority="20531"/>
  </conditionalFormatting>
  <conditionalFormatting sqref="C242">
    <cfRule type="duplicateValues" dxfId="16416" priority="19842"/>
    <cfRule type="duplicateValues" dxfId="16415" priority="19843"/>
    <cfRule type="duplicateValues" dxfId="16414" priority="19844"/>
    <cfRule type="duplicateValues" dxfId="16413" priority="19845"/>
    <cfRule type="duplicateValues" dxfId="16412" priority="19846"/>
    <cfRule type="duplicateValues" dxfId="16411" priority="19847"/>
    <cfRule type="duplicateValues" dxfId="16410" priority="19848"/>
    <cfRule type="duplicateValues" dxfId="16409" priority="19849"/>
    <cfRule type="duplicateValues" dxfId="16408" priority="19850"/>
    <cfRule type="duplicateValues" dxfId="16407" priority="19851"/>
    <cfRule type="duplicateValues" dxfId="16406" priority="19852"/>
    <cfRule type="duplicateValues" dxfId="16405" priority="19853"/>
    <cfRule type="duplicateValues" dxfId="16404" priority="19854"/>
    <cfRule type="duplicateValues" dxfId="16403" priority="19855"/>
    <cfRule type="duplicateValues" dxfId="16402" priority="19856"/>
    <cfRule type="duplicateValues" dxfId="16401" priority="19857"/>
    <cfRule type="duplicateValues" dxfId="16400" priority="19858"/>
    <cfRule type="duplicateValues" dxfId="16399" priority="19859"/>
    <cfRule type="duplicateValues" dxfId="16398" priority="19860"/>
    <cfRule type="duplicateValues" dxfId="16397" priority="19861"/>
    <cfRule type="duplicateValues" dxfId="16396" priority="19862"/>
    <cfRule type="duplicateValues" dxfId="16395" priority="19863"/>
    <cfRule type="duplicateValues" dxfId="16394" priority="19864"/>
    <cfRule type="duplicateValues" dxfId="16393" priority="19865"/>
    <cfRule type="duplicateValues" dxfId="16392" priority="19866"/>
    <cfRule type="duplicateValues" dxfId="16391" priority="19867"/>
    <cfRule type="duplicateValues" dxfId="16390" priority="19868"/>
    <cfRule type="duplicateValues" dxfId="16389" priority="19869"/>
    <cfRule type="duplicateValues" dxfId="16388" priority="19870"/>
    <cfRule type="duplicateValues" dxfId="16387" priority="19871"/>
    <cfRule type="duplicateValues" dxfId="16386" priority="19872"/>
    <cfRule type="duplicateValues" dxfId="16385" priority="19873"/>
    <cfRule type="duplicateValues" dxfId="16384" priority="19874"/>
    <cfRule type="duplicateValues" dxfId="16383" priority="19875"/>
    <cfRule type="duplicateValues" dxfId="16382" priority="19876"/>
    <cfRule type="duplicateValues" dxfId="16381" priority="19877"/>
    <cfRule type="duplicateValues" dxfId="16380" priority="19878"/>
    <cfRule type="duplicateValues" dxfId="16379" priority="19879"/>
    <cfRule type="duplicateValues" dxfId="16378" priority="19880"/>
    <cfRule type="duplicateValues" dxfId="16377" priority="19881"/>
    <cfRule type="duplicateValues" dxfId="16376" priority="19882"/>
    <cfRule type="duplicateValues" dxfId="16375" priority="19883"/>
    <cfRule type="duplicateValues" dxfId="16374" priority="19884"/>
    <cfRule type="duplicateValues" dxfId="16373" priority="19885"/>
    <cfRule type="duplicateValues" dxfId="16372" priority="19886"/>
    <cfRule type="duplicateValues" dxfId="16371" priority="19887"/>
    <cfRule type="duplicateValues" dxfId="16370" priority="19888"/>
    <cfRule type="duplicateValues" dxfId="16369" priority="19889"/>
    <cfRule type="duplicateValues" dxfId="16368" priority="19890"/>
    <cfRule type="duplicateValues" dxfId="16367" priority="19891"/>
    <cfRule type="duplicateValues" dxfId="16366" priority="19892"/>
    <cfRule type="duplicateValues" dxfId="16365" priority="19893"/>
    <cfRule type="duplicateValues" dxfId="16364" priority="19894"/>
    <cfRule type="duplicateValues" dxfId="16363" priority="19895"/>
    <cfRule type="duplicateValues" dxfId="16362" priority="19896"/>
    <cfRule type="duplicateValues" dxfId="16361" priority="19897"/>
    <cfRule type="duplicateValues" dxfId="16360" priority="19898"/>
    <cfRule type="duplicateValues" dxfId="16359" priority="19899"/>
    <cfRule type="duplicateValues" dxfId="16358" priority="19900"/>
    <cfRule type="duplicateValues" dxfId="16357" priority="19901"/>
    <cfRule type="duplicateValues" dxfId="16356" priority="19902"/>
    <cfRule type="duplicateValues" dxfId="16355" priority="19903"/>
    <cfRule type="duplicateValues" dxfId="16354" priority="19904"/>
    <cfRule type="duplicateValues" dxfId="16353" priority="19905"/>
    <cfRule type="duplicateValues" dxfId="16352" priority="19906"/>
    <cfRule type="duplicateValues" dxfId="16351" priority="19907"/>
    <cfRule type="duplicateValues" dxfId="16350" priority="19908"/>
    <cfRule type="duplicateValues" dxfId="16349" priority="19909"/>
    <cfRule type="duplicateValues" dxfId="16348" priority="19910"/>
    <cfRule type="duplicateValues" dxfId="16347" priority="19911"/>
    <cfRule type="duplicateValues" dxfId="16346" priority="19912"/>
    <cfRule type="duplicateValues" dxfId="16345" priority="19913"/>
    <cfRule type="duplicateValues" dxfId="16344" priority="19914"/>
    <cfRule type="duplicateValues" dxfId="16343" priority="19915"/>
    <cfRule type="duplicateValues" dxfId="16342" priority="19916"/>
    <cfRule type="duplicateValues" dxfId="16341" priority="19917"/>
    <cfRule type="duplicateValues" dxfId="16340" priority="19918"/>
    <cfRule type="duplicateValues" dxfId="16339" priority="19919"/>
    <cfRule type="duplicateValues" dxfId="16338" priority="19920"/>
    <cfRule type="duplicateValues" dxfId="16337" priority="19921"/>
    <cfRule type="duplicateValues" dxfId="16336" priority="19922"/>
    <cfRule type="duplicateValues" dxfId="16335" priority="19923"/>
    <cfRule type="duplicateValues" dxfId="16334" priority="19924"/>
    <cfRule type="duplicateValues" dxfId="16333" priority="19925"/>
    <cfRule type="duplicateValues" dxfId="16332" priority="19926"/>
    <cfRule type="duplicateValues" dxfId="16331" priority="19927"/>
    <cfRule type="duplicateValues" dxfId="16330" priority="19928"/>
    <cfRule type="duplicateValues" dxfId="16329" priority="19929"/>
    <cfRule type="duplicateValues" dxfId="16328" priority="19930"/>
    <cfRule type="duplicateValues" dxfId="16327" priority="19931"/>
    <cfRule type="duplicateValues" dxfId="16326" priority="19932"/>
    <cfRule type="duplicateValues" dxfId="16325" priority="19933"/>
    <cfRule type="duplicateValues" dxfId="16324" priority="19934"/>
    <cfRule type="duplicateValues" dxfId="16323" priority="19935"/>
    <cfRule type="duplicateValues" dxfId="16322" priority="19936"/>
    <cfRule type="duplicateValues" dxfId="16321" priority="19937"/>
    <cfRule type="duplicateValues" dxfId="16320" priority="19938"/>
    <cfRule type="duplicateValues" dxfId="16319" priority="19939"/>
    <cfRule type="duplicateValues" dxfId="16318" priority="19940"/>
    <cfRule type="duplicateValues" dxfId="16317" priority="19941"/>
    <cfRule type="duplicateValues" dxfId="16316" priority="19942"/>
    <cfRule type="duplicateValues" dxfId="16315" priority="19943"/>
    <cfRule type="duplicateValues" dxfId="16314" priority="19944"/>
    <cfRule type="duplicateValues" dxfId="16313" priority="19945"/>
    <cfRule type="duplicateValues" dxfId="16312" priority="19946"/>
    <cfRule type="duplicateValues" dxfId="16311" priority="19947"/>
    <cfRule type="duplicateValues" dxfId="16310" priority="19948"/>
    <cfRule type="duplicateValues" dxfId="16309" priority="19949"/>
    <cfRule type="duplicateValues" dxfId="16308" priority="19950"/>
    <cfRule type="duplicateValues" dxfId="16307" priority="19951"/>
    <cfRule type="duplicateValues" dxfId="16306" priority="19952"/>
    <cfRule type="duplicateValues" dxfId="16305" priority="19953"/>
    <cfRule type="duplicateValues" dxfId="16304" priority="19954"/>
    <cfRule type="duplicateValues" dxfId="16303" priority="19955"/>
    <cfRule type="duplicateValues" dxfId="16302" priority="19956"/>
    <cfRule type="duplicateValues" dxfId="16301" priority="19957"/>
    <cfRule type="duplicateValues" dxfId="16300" priority="19958"/>
    <cfRule type="duplicateValues" dxfId="16299" priority="19959"/>
    <cfRule type="duplicateValues" dxfId="16298" priority="19960"/>
    <cfRule type="duplicateValues" dxfId="16297" priority="19961"/>
    <cfRule type="duplicateValues" dxfId="16296" priority="19962"/>
    <cfRule type="duplicateValues" dxfId="16295" priority="19963"/>
    <cfRule type="duplicateValues" dxfId="16294" priority="19964"/>
    <cfRule type="duplicateValues" dxfId="16293" priority="19965"/>
    <cfRule type="duplicateValues" dxfId="16292" priority="19966"/>
    <cfRule type="duplicateValues" dxfId="16291" priority="19967"/>
    <cfRule type="duplicateValues" dxfId="16290" priority="19968"/>
    <cfRule type="duplicateValues" dxfId="16289" priority="19969"/>
    <cfRule type="duplicateValues" dxfId="16288" priority="19970"/>
    <cfRule type="duplicateValues" dxfId="16287" priority="19971"/>
    <cfRule type="duplicateValues" dxfId="16286" priority="19972"/>
    <cfRule type="duplicateValues" dxfId="16285" priority="19973"/>
    <cfRule type="duplicateValues" dxfId="16284" priority="19974"/>
    <cfRule type="duplicateValues" dxfId="16283" priority="19975"/>
    <cfRule type="duplicateValues" dxfId="16282" priority="19976"/>
    <cfRule type="duplicateValues" dxfId="16281" priority="19977"/>
    <cfRule type="duplicateValues" dxfId="16280" priority="19978"/>
    <cfRule type="duplicateValues" dxfId="16279" priority="19979"/>
    <cfRule type="duplicateValues" dxfId="16278" priority="19980"/>
    <cfRule type="duplicateValues" dxfId="16277" priority="19981"/>
    <cfRule type="duplicateValues" dxfId="16276" priority="19982"/>
    <cfRule type="duplicateValues" dxfId="16275" priority="19983"/>
    <cfRule type="duplicateValues" dxfId="16274" priority="19984"/>
    <cfRule type="duplicateValues" dxfId="16273" priority="19985"/>
    <cfRule type="duplicateValues" dxfId="16272" priority="19986"/>
    <cfRule type="duplicateValues" dxfId="16271" priority="19987"/>
    <cfRule type="duplicateValues" dxfId="16270" priority="19988"/>
    <cfRule type="duplicateValues" dxfId="16269" priority="19989"/>
    <cfRule type="duplicateValues" dxfId="16268" priority="19990"/>
    <cfRule type="duplicateValues" dxfId="16267" priority="19991"/>
    <cfRule type="duplicateValues" dxfId="16266" priority="19992"/>
    <cfRule type="duplicateValues" dxfId="16265" priority="19993"/>
    <cfRule type="duplicateValues" dxfId="16264" priority="19994"/>
    <cfRule type="duplicateValues" dxfId="16263" priority="19995"/>
    <cfRule type="duplicateValues" dxfId="16262" priority="19996"/>
    <cfRule type="duplicateValues" dxfId="16261" priority="19997"/>
    <cfRule type="duplicateValues" dxfId="16260" priority="19998"/>
    <cfRule type="duplicateValues" dxfId="16259" priority="19999"/>
    <cfRule type="duplicateValues" dxfId="16258" priority="20000"/>
    <cfRule type="duplicateValues" dxfId="16257" priority="20001"/>
    <cfRule type="duplicateValues" dxfId="16256" priority="20002"/>
    <cfRule type="duplicateValues" dxfId="16255" priority="20003"/>
    <cfRule type="duplicateValues" dxfId="16254" priority="20004"/>
    <cfRule type="duplicateValues" dxfId="16253" priority="20005"/>
    <cfRule type="duplicateValues" dxfId="16252" priority="20006"/>
    <cfRule type="duplicateValues" dxfId="16251" priority="20007"/>
    <cfRule type="duplicateValues" dxfId="16250" priority="20008"/>
    <cfRule type="duplicateValues" dxfId="16249" priority="20009"/>
    <cfRule type="duplicateValues" dxfId="16248" priority="20010"/>
    <cfRule type="duplicateValues" dxfId="16247" priority="20011"/>
    <cfRule type="duplicateValues" dxfId="16246" priority="20012"/>
    <cfRule type="duplicateValues" dxfId="16245" priority="20013"/>
    <cfRule type="duplicateValues" dxfId="16244" priority="20014"/>
    <cfRule type="duplicateValues" dxfId="16243" priority="20015"/>
    <cfRule type="duplicateValues" dxfId="16242" priority="20016"/>
    <cfRule type="duplicateValues" dxfId="16241" priority="20017"/>
    <cfRule type="duplicateValues" dxfId="16240" priority="20018"/>
    <cfRule type="duplicateValues" dxfId="16239" priority="20019"/>
    <cfRule type="duplicateValues" dxfId="16238" priority="20020"/>
    <cfRule type="duplicateValues" dxfId="16237" priority="20021"/>
    <cfRule type="duplicateValues" dxfId="16236" priority="20022"/>
    <cfRule type="duplicateValues" dxfId="16235" priority="20023"/>
    <cfRule type="duplicateValues" dxfId="16234" priority="20024"/>
    <cfRule type="duplicateValues" dxfId="16233" priority="20025"/>
    <cfRule type="duplicateValues" dxfId="16232" priority="20026"/>
    <cfRule type="duplicateValues" dxfId="16231" priority="20027"/>
    <cfRule type="duplicateValues" dxfId="16230" priority="20028"/>
    <cfRule type="duplicateValues" dxfId="16229" priority="20029"/>
    <cfRule type="duplicateValues" dxfId="16228" priority="20030"/>
    <cfRule type="duplicateValues" dxfId="16227" priority="20031"/>
    <cfRule type="duplicateValues" dxfId="16226" priority="20032"/>
    <cfRule type="duplicateValues" dxfId="16225" priority="20033"/>
    <cfRule type="duplicateValues" dxfId="16224" priority="20034"/>
    <cfRule type="duplicateValues" dxfId="16223" priority="20035"/>
    <cfRule type="duplicateValues" dxfId="16222" priority="20036"/>
    <cfRule type="duplicateValues" dxfId="16221" priority="20037"/>
    <cfRule type="duplicateValues" dxfId="16220" priority="20038"/>
    <cfRule type="duplicateValues" dxfId="16219" priority="20039"/>
    <cfRule type="duplicateValues" dxfId="16218" priority="20040"/>
    <cfRule type="duplicateValues" dxfId="16217" priority="20041"/>
    <cfRule type="duplicateValues" dxfId="16216" priority="20042"/>
    <cfRule type="duplicateValues" dxfId="16215" priority="20043"/>
    <cfRule type="duplicateValues" dxfId="16214" priority="20044"/>
    <cfRule type="duplicateValues" dxfId="16213" priority="20045"/>
    <cfRule type="duplicateValues" dxfId="16212" priority="20046"/>
    <cfRule type="duplicateValues" dxfId="16211" priority="20047"/>
    <cfRule type="duplicateValues" dxfId="16210" priority="20048"/>
    <cfRule type="duplicateValues" dxfId="16209" priority="20049"/>
    <cfRule type="duplicateValues" dxfId="16208" priority="20050"/>
    <cfRule type="duplicateValues" dxfId="16207" priority="20051"/>
    <cfRule type="duplicateValues" dxfId="16206" priority="20052"/>
    <cfRule type="duplicateValues" dxfId="16205" priority="20053"/>
    <cfRule type="duplicateValues" dxfId="16204" priority="20054"/>
    <cfRule type="duplicateValues" dxfId="16203" priority="20055"/>
    <cfRule type="duplicateValues" dxfId="16202" priority="20056"/>
    <cfRule type="duplicateValues" dxfId="16201" priority="20057"/>
    <cfRule type="duplicateValues" dxfId="16200" priority="20058"/>
    <cfRule type="duplicateValues" dxfId="16199" priority="20059"/>
    <cfRule type="duplicateValues" dxfId="16198" priority="20060"/>
    <cfRule type="duplicateValues" dxfId="16197" priority="20061"/>
    <cfRule type="duplicateValues" dxfId="16196" priority="20062"/>
    <cfRule type="duplicateValues" dxfId="16195" priority="20063"/>
    <cfRule type="duplicateValues" dxfId="16194" priority="20064"/>
    <cfRule type="duplicateValues" dxfId="16193" priority="20065"/>
    <cfRule type="duplicateValues" dxfId="16192" priority="20066"/>
    <cfRule type="duplicateValues" dxfId="16191" priority="20067"/>
    <cfRule type="duplicateValues" dxfId="16190" priority="20068"/>
    <cfRule type="duplicateValues" dxfId="16189" priority="20069"/>
    <cfRule type="duplicateValues" dxfId="16188" priority="20070"/>
    <cfRule type="duplicateValues" dxfId="16187" priority="20071"/>
    <cfRule type="duplicateValues" dxfId="16186" priority="20072"/>
    <cfRule type="duplicateValues" dxfId="16185" priority="20073"/>
    <cfRule type="duplicateValues" dxfId="16184" priority="20074"/>
    <cfRule type="duplicateValues" dxfId="16183" priority="20075"/>
    <cfRule type="duplicateValues" dxfId="16182" priority="20076"/>
    <cfRule type="duplicateValues" dxfId="16181" priority="20077"/>
    <cfRule type="duplicateValues" dxfId="16180" priority="20078"/>
    <cfRule type="duplicateValues" dxfId="16179" priority="20079"/>
    <cfRule type="duplicateValues" dxfId="16178" priority="20080"/>
    <cfRule type="duplicateValues" dxfId="16177" priority="20081"/>
    <cfRule type="duplicateValues" dxfId="16176" priority="20082"/>
    <cfRule type="duplicateValues" dxfId="16175" priority="20083"/>
    <cfRule type="duplicateValues" dxfId="16174" priority="20084"/>
    <cfRule type="duplicateValues" dxfId="16173" priority="20085"/>
    <cfRule type="duplicateValues" dxfId="16172" priority="20086"/>
    <cfRule type="duplicateValues" dxfId="16171" priority="20087"/>
    <cfRule type="duplicateValues" dxfId="16170" priority="20088"/>
    <cfRule type="duplicateValues" dxfId="16169" priority="20089"/>
    <cfRule type="duplicateValues" dxfId="16168" priority="20090"/>
    <cfRule type="duplicateValues" dxfId="16167" priority="20091"/>
    <cfRule type="duplicateValues" dxfId="16166" priority="20092"/>
    <cfRule type="duplicateValues" dxfId="16165" priority="20093"/>
    <cfRule type="duplicateValues" dxfId="16164" priority="20094"/>
    <cfRule type="duplicateValues" dxfId="16163" priority="20095"/>
    <cfRule type="duplicateValues" dxfId="16162" priority="20096"/>
    <cfRule type="duplicateValues" dxfId="16161" priority="20097"/>
    <cfRule type="duplicateValues" dxfId="16160" priority="20098"/>
    <cfRule type="duplicateValues" dxfId="16159" priority="20099"/>
    <cfRule type="duplicateValues" dxfId="16158" priority="20100"/>
    <cfRule type="duplicateValues" dxfId="16157" priority="20101"/>
    <cfRule type="duplicateValues" dxfId="16156" priority="20102"/>
    <cfRule type="duplicateValues" dxfId="16155" priority="20103"/>
    <cfRule type="duplicateValues" dxfId="16154" priority="20104"/>
    <cfRule type="duplicateValues" dxfId="16153" priority="20105"/>
    <cfRule type="duplicateValues" dxfId="16152" priority="20106"/>
    <cfRule type="duplicateValues" dxfId="16151" priority="20107"/>
    <cfRule type="duplicateValues" dxfId="16150" priority="20108"/>
    <cfRule type="duplicateValues" dxfId="16149" priority="20109"/>
    <cfRule type="duplicateValues" dxfId="16148" priority="20110"/>
    <cfRule type="duplicateValues" dxfId="16147" priority="20111"/>
    <cfRule type="duplicateValues" dxfId="16146" priority="20112"/>
    <cfRule type="duplicateValues" dxfId="16145" priority="20113"/>
    <cfRule type="duplicateValues" dxfId="16144" priority="20114"/>
    <cfRule type="duplicateValues" dxfId="16143" priority="20115"/>
    <cfRule type="duplicateValues" dxfId="16142" priority="20116"/>
    <cfRule type="duplicateValues" dxfId="16141" priority="20117"/>
    <cfRule type="duplicateValues" dxfId="16140" priority="20118"/>
    <cfRule type="duplicateValues" dxfId="16139" priority="20119"/>
    <cfRule type="duplicateValues" dxfId="16138" priority="20120"/>
    <cfRule type="duplicateValues" dxfId="16137" priority="20121"/>
    <cfRule type="duplicateValues" dxfId="16136" priority="20122"/>
    <cfRule type="duplicateValues" dxfId="16135" priority="20123"/>
    <cfRule type="duplicateValues" dxfId="16134" priority="20124"/>
    <cfRule type="duplicateValues" dxfId="16133" priority="20125"/>
    <cfRule type="duplicateValues" dxfId="16132" priority="20126"/>
    <cfRule type="duplicateValues" dxfId="16131" priority="20127"/>
    <cfRule type="duplicateValues" dxfId="16130" priority="20128"/>
    <cfRule type="duplicateValues" dxfId="16129" priority="20129"/>
    <cfRule type="duplicateValues" dxfId="16128" priority="20130"/>
    <cfRule type="duplicateValues" dxfId="16127" priority="20131"/>
    <cfRule type="duplicateValues" dxfId="16126" priority="20132"/>
    <cfRule type="duplicateValues" dxfId="16125" priority="20133"/>
    <cfRule type="duplicateValues" dxfId="16124" priority="20134"/>
    <cfRule type="duplicateValues" dxfId="16123" priority="20135"/>
    <cfRule type="duplicateValues" dxfId="16122" priority="20136"/>
    <cfRule type="duplicateValues" dxfId="16121" priority="20137"/>
    <cfRule type="duplicateValues" dxfId="16120" priority="20138"/>
    <cfRule type="duplicateValues" dxfId="16119" priority="20139"/>
    <cfRule type="duplicateValues" dxfId="16118" priority="20140"/>
    <cfRule type="duplicateValues" dxfId="16117" priority="20141"/>
    <cfRule type="duplicateValues" dxfId="16116" priority="20142"/>
    <cfRule type="duplicateValues" dxfId="16115" priority="20143"/>
    <cfRule type="duplicateValues" dxfId="16114" priority="20144"/>
    <cfRule type="duplicateValues" dxfId="16113" priority="20145"/>
    <cfRule type="duplicateValues" dxfId="16112" priority="20146"/>
    <cfRule type="duplicateValues" dxfId="16111" priority="20147"/>
    <cfRule type="duplicateValues" dxfId="16110" priority="20148"/>
    <cfRule type="duplicateValues" dxfId="16109" priority="20149"/>
    <cfRule type="duplicateValues" dxfId="16108" priority="20150"/>
    <cfRule type="duplicateValues" dxfId="16107" priority="20151"/>
    <cfRule type="duplicateValues" dxfId="16106" priority="20152"/>
    <cfRule type="duplicateValues" dxfId="16105" priority="20153"/>
    <cfRule type="duplicateValues" dxfId="16104" priority="20154"/>
    <cfRule type="duplicateValues" dxfId="16103" priority="20155"/>
    <cfRule type="duplicateValues" dxfId="16102" priority="20156"/>
    <cfRule type="duplicateValues" dxfId="16101" priority="20157"/>
    <cfRule type="duplicateValues" dxfId="16100" priority="20158"/>
    <cfRule type="duplicateValues" dxfId="16099" priority="20159"/>
    <cfRule type="duplicateValues" dxfId="16098" priority="20160"/>
    <cfRule type="duplicateValues" dxfId="16097" priority="20161"/>
    <cfRule type="duplicateValues" dxfId="16096" priority="20162"/>
    <cfRule type="duplicateValues" dxfId="16095" priority="20163"/>
    <cfRule type="duplicateValues" dxfId="16094" priority="20164"/>
    <cfRule type="duplicateValues" dxfId="16093" priority="20165"/>
    <cfRule type="duplicateValues" dxfId="16092" priority="20166"/>
    <cfRule type="duplicateValues" dxfId="16091" priority="20167"/>
    <cfRule type="duplicateValues" dxfId="16090" priority="20168"/>
    <cfRule type="duplicateValues" dxfId="16089" priority="20169"/>
    <cfRule type="duplicateValues" dxfId="16088" priority="20170"/>
    <cfRule type="duplicateValues" dxfId="16087" priority="20171"/>
    <cfRule type="duplicateValues" dxfId="16086" priority="20172"/>
    <cfRule type="duplicateValues" dxfId="16085" priority="20173"/>
    <cfRule type="duplicateValues" dxfId="16084" priority="20174"/>
    <cfRule type="duplicateValues" dxfId="16083" priority="20175"/>
    <cfRule type="duplicateValues" dxfId="16082" priority="20176"/>
    <cfRule type="duplicateValues" dxfId="16081" priority="20177"/>
    <cfRule type="duplicateValues" dxfId="16080" priority="20178"/>
    <cfRule type="duplicateValues" dxfId="16079" priority="20179"/>
    <cfRule type="duplicateValues" dxfId="16078" priority="20180"/>
    <cfRule type="duplicateValues" dxfId="16077" priority="20181"/>
    <cfRule type="duplicateValues" dxfId="16076" priority="20182"/>
    <cfRule type="duplicateValues" dxfId="16075" priority="20183"/>
    <cfRule type="duplicateValues" dxfId="16074" priority="20184"/>
    <cfRule type="duplicateValues" dxfId="16073" priority="20185"/>
    <cfRule type="duplicateValues" dxfId="16072" priority="20186"/>
  </conditionalFormatting>
  <conditionalFormatting sqref="C242:C244">
    <cfRule type="duplicateValues" dxfId="16071" priority="6793"/>
    <cfRule type="duplicateValues" dxfId="16070" priority="6794"/>
    <cfRule type="duplicateValues" dxfId="16069" priority="6795"/>
    <cfRule type="duplicateValues" dxfId="16068" priority="6796"/>
    <cfRule type="duplicateValues" dxfId="16067" priority="6797"/>
    <cfRule type="duplicateValues" dxfId="16066" priority="6798"/>
    <cfRule type="duplicateValues" dxfId="16065" priority="6799"/>
    <cfRule type="duplicateValues" dxfId="16064" priority="6800"/>
    <cfRule type="duplicateValues" dxfId="16063" priority="6801"/>
    <cfRule type="duplicateValues" dxfId="16062" priority="6802"/>
    <cfRule type="duplicateValues" dxfId="16061" priority="6803"/>
    <cfRule type="duplicateValues" dxfId="16060" priority="6804"/>
    <cfRule type="duplicateValues" dxfId="16059" priority="6805"/>
    <cfRule type="duplicateValues" dxfId="16058" priority="6806"/>
    <cfRule type="duplicateValues" dxfId="16057" priority="6807"/>
    <cfRule type="duplicateValues" dxfId="16056" priority="6808"/>
    <cfRule type="duplicateValues" dxfId="16055" priority="6809"/>
    <cfRule type="duplicateValues" dxfId="16054" priority="6810"/>
    <cfRule type="duplicateValues" dxfId="16053" priority="6811"/>
    <cfRule type="duplicateValues" dxfId="16052" priority="6812"/>
    <cfRule type="duplicateValues" dxfId="16051" priority="6813"/>
    <cfRule type="duplicateValues" dxfId="16050" priority="6814"/>
    <cfRule type="duplicateValues" dxfId="16049" priority="6815"/>
    <cfRule type="duplicateValues" dxfId="16048" priority="6816"/>
    <cfRule type="duplicateValues" dxfId="16047" priority="6817"/>
    <cfRule type="duplicateValues" dxfId="16046" priority="6818"/>
    <cfRule type="duplicateValues" dxfId="16045" priority="6819"/>
    <cfRule type="duplicateValues" dxfId="16044" priority="6820"/>
    <cfRule type="duplicateValues" dxfId="16043" priority="6821"/>
    <cfRule type="duplicateValues" dxfId="16042" priority="6822"/>
    <cfRule type="duplicateValues" dxfId="16041" priority="6823"/>
    <cfRule type="duplicateValues" dxfId="16040" priority="6824"/>
    <cfRule type="duplicateValues" dxfId="16039" priority="6825"/>
    <cfRule type="duplicateValues" dxfId="16038" priority="6826"/>
    <cfRule type="duplicateValues" dxfId="16037" priority="6827"/>
    <cfRule type="duplicateValues" dxfId="16036" priority="6828"/>
    <cfRule type="duplicateValues" dxfId="16035" priority="6829"/>
    <cfRule type="duplicateValues" dxfId="16034" priority="6830"/>
    <cfRule type="duplicateValues" dxfId="16033" priority="6831"/>
    <cfRule type="duplicateValues" dxfId="16032" priority="6832"/>
    <cfRule type="duplicateValues" dxfId="16031" priority="6833"/>
    <cfRule type="duplicateValues" dxfId="16030" priority="6834"/>
    <cfRule type="duplicateValues" dxfId="16029" priority="6835"/>
    <cfRule type="duplicateValues" dxfId="16028" priority="6836"/>
    <cfRule type="duplicateValues" dxfId="16027" priority="6837"/>
    <cfRule type="duplicateValues" dxfId="16026" priority="6838"/>
    <cfRule type="duplicateValues" dxfId="16025" priority="6839"/>
    <cfRule type="duplicateValues" dxfId="16024" priority="6840"/>
    <cfRule type="duplicateValues" dxfId="16023" priority="6841"/>
    <cfRule type="duplicateValues" dxfId="16022" priority="6842"/>
    <cfRule type="duplicateValues" dxfId="16021" priority="6843"/>
    <cfRule type="duplicateValues" dxfId="16020" priority="6844"/>
    <cfRule type="duplicateValues" dxfId="16019" priority="6845"/>
  </conditionalFormatting>
  <conditionalFormatting sqref="C242:C246 C2:C232 C249:C425">
    <cfRule type="duplicateValues" dxfId="16018" priority="25"/>
    <cfRule type="duplicateValues" dxfId="16017" priority="26"/>
  </conditionalFormatting>
  <conditionalFormatting sqref="C242:C246 C216:C232 C2:C200 C249:C425">
    <cfRule type="duplicateValues" dxfId="16016" priority="41"/>
    <cfRule type="duplicateValues" dxfId="16015" priority="42"/>
    <cfRule type="duplicateValues" dxfId="16014" priority="43"/>
    <cfRule type="duplicateValues" dxfId="16013" priority="44"/>
    <cfRule type="duplicateValues" dxfId="16012" priority="45"/>
  </conditionalFormatting>
  <conditionalFormatting sqref="C242:C246 C216:C232 C2:C202 C249:C425">
    <cfRule type="duplicateValues" dxfId="16011" priority="29"/>
    <cfRule type="duplicateValues" dxfId="16010" priority="30"/>
    <cfRule type="duplicateValues" dxfId="16009" priority="31"/>
  </conditionalFormatting>
  <conditionalFormatting sqref="C242:C246 C216:C232 C2:C209 C249:C425">
    <cfRule type="duplicateValues" dxfId="16008" priority="28"/>
  </conditionalFormatting>
  <conditionalFormatting sqref="C242:C246 C216:C232 C2:C214 C249:C425">
    <cfRule type="duplicateValues" dxfId="16007" priority="27"/>
  </conditionalFormatting>
  <conditionalFormatting sqref="C242:C246 C216:C232 C200 C2:C192 C249:C425">
    <cfRule type="duplicateValues" dxfId="16006" priority="32"/>
    <cfRule type="duplicateValues" dxfId="16005" priority="33"/>
    <cfRule type="duplicateValues" dxfId="16004" priority="34"/>
  </conditionalFormatting>
  <conditionalFormatting sqref="C242:C246 C216:C232 C200 C2:C193 C249:C425">
    <cfRule type="duplicateValues" dxfId="16003" priority="37"/>
    <cfRule type="duplicateValues" dxfId="16002" priority="38"/>
    <cfRule type="duplicateValues" dxfId="16001" priority="39"/>
    <cfRule type="duplicateValues" dxfId="16000" priority="40"/>
  </conditionalFormatting>
  <conditionalFormatting sqref="C242:C246 C216:C232 C200 C2:C194 C249:C425">
    <cfRule type="duplicateValues" dxfId="15999" priority="35"/>
    <cfRule type="duplicateValues" dxfId="15998" priority="36"/>
  </conditionalFormatting>
  <conditionalFormatting sqref="C242:C246 C216:C232 C249:C425">
    <cfRule type="duplicateValues" dxfId="15997" priority="9"/>
    <cfRule type="duplicateValues" dxfId="15996" priority="10"/>
    <cfRule type="duplicateValues" dxfId="15995" priority="11"/>
  </conditionalFormatting>
  <conditionalFormatting sqref="C242:C246 C228:C232 C249:C425">
    <cfRule type="duplicateValues" dxfId="15994" priority="8"/>
  </conditionalFormatting>
  <conditionalFormatting sqref="C243:C244">
    <cfRule type="duplicateValues" dxfId="15993" priority="6448"/>
    <cfRule type="duplicateValues" dxfId="15992" priority="6449"/>
    <cfRule type="duplicateValues" dxfId="15991" priority="6450"/>
    <cfRule type="duplicateValues" dxfId="15990" priority="6451"/>
    <cfRule type="duplicateValues" dxfId="15989" priority="6452"/>
    <cfRule type="duplicateValues" dxfId="15988" priority="6453"/>
    <cfRule type="duplicateValues" dxfId="15987" priority="6454"/>
    <cfRule type="duplicateValues" dxfId="15986" priority="6455"/>
    <cfRule type="duplicateValues" dxfId="15985" priority="6456"/>
    <cfRule type="duplicateValues" dxfId="15984" priority="6457"/>
    <cfRule type="duplicateValues" dxfId="15983" priority="6458"/>
    <cfRule type="duplicateValues" dxfId="15982" priority="6459"/>
    <cfRule type="duplicateValues" dxfId="15981" priority="6460"/>
    <cfRule type="duplicateValues" dxfId="15980" priority="6461"/>
    <cfRule type="duplicateValues" dxfId="15979" priority="6462"/>
    <cfRule type="duplicateValues" dxfId="15978" priority="6463"/>
    <cfRule type="duplicateValues" dxfId="15977" priority="6464"/>
    <cfRule type="duplicateValues" dxfId="15976" priority="6465"/>
    <cfRule type="duplicateValues" dxfId="15975" priority="6466"/>
    <cfRule type="duplicateValues" dxfId="15974" priority="6467"/>
    <cfRule type="duplicateValues" dxfId="15973" priority="6468"/>
    <cfRule type="duplicateValues" dxfId="15972" priority="6469"/>
    <cfRule type="duplicateValues" dxfId="15971" priority="6470"/>
    <cfRule type="duplicateValues" dxfId="15970" priority="6471"/>
    <cfRule type="duplicateValues" dxfId="15969" priority="6472"/>
    <cfRule type="duplicateValues" dxfId="15968" priority="6473"/>
    <cfRule type="duplicateValues" dxfId="15967" priority="6474"/>
    <cfRule type="duplicateValues" dxfId="15966" priority="6475"/>
    <cfRule type="duplicateValues" dxfId="15965" priority="6476"/>
    <cfRule type="duplicateValues" dxfId="15964" priority="6477"/>
    <cfRule type="duplicateValues" dxfId="15963" priority="6478"/>
    <cfRule type="duplicateValues" dxfId="15962" priority="6479"/>
    <cfRule type="duplicateValues" dxfId="15961" priority="6480"/>
    <cfRule type="duplicateValues" dxfId="15960" priority="6481"/>
    <cfRule type="duplicateValues" dxfId="15959" priority="6482"/>
    <cfRule type="duplicateValues" dxfId="15958" priority="6483"/>
    <cfRule type="duplicateValues" dxfId="15957" priority="6484"/>
    <cfRule type="duplicateValues" dxfId="15956" priority="6485"/>
    <cfRule type="duplicateValues" dxfId="15955" priority="6486"/>
    <cfRule type="duplicateValues" dxfId="15954" priority="6487"/>
    <cfRule type="duplicateValues" dxfId="15953" priority="6488"/>
    <cfRule type="duplicateValues" dxfId="15952" priority="6489"/>
    <cfRule type="duplicateValues" dxfId="15951" priority="6490"/>
    <cfRule type="duplicateValues" dxfId="15950" priority="6491"/>
    <cfRule type="duplicateValues" dxfId="15949" priority="6492"/>
    <cfRule type="duplicateValues" dxfId="15948" priority="6493"/>
    <cfRule type="duplicateValues" dxfId="15947" priority="6494"/>
    <cfRule type="duplicateValues" dxfId="15946" priority="6495"/>
    <cfRule type="duplicateValues" dxfId="15945" priority="6496"/>
    <cfRule type="duplicateValues" dxfId="15944" priority="6497"/>
    <cfRule type="duplicateValues" dxfId="15943" priority="6498"/>
    <cfRule type="duplicateValues" dxfId="15942" priority="6499"/>
    <cfRule type="duplicateValues" dxfId="15941" priority="6500"/>
    <cfRule type="duplicateValues" dxfId="15940" priority="6501"/>
    <cfRule type="duplicateValues" dxfId="15939" priority="6502"/>
    <cfRule type="duplicateValues" dxfId="15938" priority="6503"/>
    <cfRule type="duplicateValues" dxfId="15937" priority="6504"/>
    <cfRule type="duplicateValues" dxfId="15936" priority="6505"/>
    <cfRule type="duplicateValues" dxfId="15935" priority="6506"/>
    <cfRule type="duplicateValues" dxfId="15934" priority="6507"/>
    <cfRule type="duplicateValues" dxfId="15933" priority="6508"/>
    <cfRule type="duplicateValues" dxfId="15932" priority="6509"/>
    <cfRule type="duplicateValues" dxfId="15931" priority="6510"/>
    <cfRule type="duplicateValues" dxfId="15930" priority="6511"/>
    <cfRule type="duplicateValues" dxfId="15929" priority="6512"/>
    <cfRule type="duplicateValues" dxfId="15928" priority="6513"/>
    <cfRule type="duplicateValues" dxfId="15927" priority="6514"/>
    <cfRule type="duplicateValues" dxfId="15926" priority="6515"/>
    <cfRule type="duplicateValues" dxfId="15925" priority="6516"/>
    <cfRule type="duplicateValues" dxfId="15924" priority="6517"/>
    <cfRule type="duplicateValues" dxfId="15923" priority="6518"/>
    <cfRule type="duplicateValues" dxfId="15922" priority="6519"/>
    <cfRule type="duplicateValues" dxfId="15921" priority="6520"/>
    <cfRule type="duplicateValues" dxfId="15920" priority="6521"/>
    <cfRule type="duplicateValues" dxfId="15919" priority="6522"/>
    <cfRule type="duplicateValues" dxfId="15918" priority="6523"/>
    <cfRule type="duplicateValues" dxfId="15917" priority="6524"/>
    <cfRule type="duplicateValues" dxfId="15916" priority="6525"/>
    <cfRule type="duplicateValues" dxfId="15915" priority="6526"/>
    <cfRule type="duplicateValues" dxfId="15914" priority="6527"/>
    <cfRule type="duplicateValues" dxfId="15913" priority="6528"/>
    <cfRule type="duplicateValues" dxfId="15912" priority="6529"/>
    <cfRule type="duplicateValues" dxfId="15911" priority="6530"/>
    <cfRule type="duplicateValues" dxfId="15910" priority="6531"/>
    <cfRule type="duplicateValues" dxfId="15909" priority="6532"/>
    <cfRule type="duplicateValues" dxfId="15908" priority="6533"/>
    <cfRule type="duplicateValues" dxfId="15907" priority="6534"/>
    <cfRule type="duplicateValues" dxfId="15906" priority="6535"/>
    <cfRule type="duplicateValues" dxfId="15905" priority="6536"/>
    <cfRule type="duplicateValues" dxfId="15904" priority="6537"/>
    <cfRule type="duplicateValues" dxfId="15903" priority="6538"/>
    <cfRule type="duplicateValues" dxfId="15902" priority="6539"/>
    <cfRule type="duplicateValues" dxfId="15901" priority="6540"/>
    <cfRule type="duplicateValues" dxfId="15900" priority="6541"/>
    <cfRule type="duplicateValues" dxfId="15899" priority="6542"/>
    <cfRule type="duplicateValues" dxfId="15898" priority="6543"/>
    <cfRule type="duplicateValues" dxfId="15897" priority="6544"/>
    <cfRule type="duplicateValues" dxfId="15896" priority="6545"/>
    <cfRule type="duplicateValues" dxfId="15895" priority="6546"/>
    <cfRule type="duplicateValues" dxfId="15894" priority="6547"/>
    <cfRule type="duplicateValues" dxfId="15893" priority="6548"/>
    <cfRule type="duplicateValues" dxfId="15892" priority="6549"/>
    <cfRule type="duplicateValues" dxfId="15891" priority="6550"/>
    <cfRule type="duplicateValues" dxfId="15890" priority="6551"/>
    <cfRule type="duplicateValues" dxfId="15889" priority="6552"/>
    <cfRule type="duplicateValues" dxfId="15888" priority="6553"/>
    <cfRule type="duplicateValues" dxfId="15887" priority="6554"/>
    <cfRule type="duplicateValues" dxfId="15886" priority="6555"/>
    <cfRule type="duplicateValues" dxfId="15885" priority="6556"/>
    <cfRule type="duplicateValues" dxfId="15884" priority="6557"/>
    <cfRule type="duplicateValues" dxfId="15883" priority="6558"/>
    <cfRule type="duplicateValues" dxfId="15882" priority="6559"/>
    <cfRule type="duplicateValues" dxfId="15881" priority="6560"/>
    <cfRule type="duplicateValues" dxfId="15880" priority="6561"/>
    <cfRule type="duplicateValues" dxfId="15879" priority="6562"/>
    <cfRule type="duplicateValues" dxfId="15878" priority="6563"/>
    <cfRule type="duplicateValues" dxfId="15877" priority="6564"/>
    <cfRule type="duplicateValues" dxfId="15876" priority="6565"/>
    <cfRule type="duplicateValues" dxfId="15875" priority="6566"/>
    <cfRule type="duplicateValues" dxfId="15874" priority="6567"/>
    <cfRule type="duplicateValues" dxfId="15873" priority="6568"/>
    <cfRule type="duplicateValues" dxfId="15872" priority="6569"/>
    <cfRule type="duplicateValues" dxfId="15871" priority="6570"/>
    <cfRule type="duplicateValues" dxfId="15870" priority="6571"/>
    <cfRule type="duplicateValues" dxfId="15869" priority="6572"/>
    <cfRule type="duplicateValues" dxfId="15868" priority="6573"/>
    <cfRule type="duplicateValues" dxfId="15867" priority="6574"/>
    <cfRule type="duplicateValues" dxfId="15866" priority="6575"/>
    <cfRule type="duplicateValues" dxfId="15865" priority="6576"/>
    <cfRule type="duplicateValues" dxfId="15864" priority="6577"/>
    <cfRule type="duplicateValues" dxfId="15863" priority="6578"/>
    <cfRule type="duplicateValues" dxfId="15862" priority="6579"/>
    <cfRule type="duplicateValues" dxfId="15861" priority="6580"/>
    <cfRule type="duplicateValues" dxfId="15860" priority="6581"/>
    <cfRule type="duplicateValues" dxfId="15859" priority="6582"/>
    <cfRule type="duplicateValues" dxfId="15858" priority="6583"/>
    <cfRule type="duplicateValues" dxfId="15857" priority="6584"/>
    <cfRule type="duplicateValues" dxfId="15856" priority="6585"/>
    <cfRule type="duplicateValues" dxfId="15855" priority="6586"/>
    <cfRule type="duplicateValues" dxfId="15854" priority="6587"/>
    <cfRule type="duplicateValues" dxfId="15853" priority="6588"/>
    <cfRule type="duplicateValues" dxfId="15852" priority="6589"/>
    <cfRule type="duplicateValues" dxfId="15851" priority="6590"/>
    <cfRule type="duplicateValues" dxfId="15850" priority="6591"/>
    <cfRule type="duplicateValues" dxfId="15849" priority="6592"/>
    <cfRule type="duplicateValues" dxfId="15848" priority="6593"/>
    <cfRule type="duplicateValues" dxfId="15847" priority="6594"/>
    <cfRule type="duplicateValues" dxfId="15846" priority="6595"/>
    <cfRule type="duplicateValues" dxfId="15845" priority="6596"/>
    <cfRule type="duplicateValues" dxfId="15844" priority="6597"/>
    <cfRule type="duplicateValues" dxfId="15843" priority="6598"/>
    <cfRule type="duplicateValues" dxfId="15842" priority="6599"/>
    <cfRule type="duplicateValues" dxfId="15841" priority="6600"/>
    <cfRule type="duplicateValues" dxfId="15840" priority="6601"/>
    <cfRule type="duplicateValues" dxfId="15839" priority="6602"/>
    <cfRule type="duplicateValues" dxfId="15838" priority="6603"/>
    <cfRule type="duplicateValues" dxfId="15837" priority="6604"/>
    <cfRule type="duplicateValues" dxfId="15836" priority="6605"/>
    <cfRule type="duplicateValues" dxfId="15835" priority="6606"/>
    <cfRule type="duplicateValues" dxfId="15834" priority="6607"/>
    <cfRule type="duplicateValues" dxfId="15833" priority="6608"/>
    <cfRule type="duplicateValues" dxfId="15832" priority="6609"/>
    <cfRule type="duplicateValues" dxfId="15831" priority="6610"/>
    <cfRule type="duplicateValues" dxfId="15830" priority="6611"/>
    <cfRule type="duplicateValues" dxfId="15829" priority="6612"/>
    <cfRule type="duplicateValues" dxfId="15828" priority="6613"/>
    <cfRule type="duplicateValues" dxfId="15827" priority="6614"/>
    <cfRule type="duplicateValues" dxfId="15826" priority="6615"/>
    <cfRule type="duplicateValues" dxfId="15825" priority="6616"/>
    <cfRule type="duplicateValues" dxfId="15824" priority="6617"/>
    <cfRule type="duplicateValues" dxfId="15823" priority="6618"/>
    <cfRule type="duplicateValues" dxfId="15822" priority="6619"/>
    <cfRule type="duplicateValues" dxfId="15821" priority="6620"/>
    <cfRule type="duplicateValues" dxfId="15820" priority="6621"/>
    <cfRule type="duplicateValues" dxfId="15819" priority="6622"/>
    <cfRule type="duplicateValues" dxfId="15818" priority="6623"/>
    <cfRule type="duplicateValues" dxfId="15817" priority="6624"/>
    <cfRule type="duplicateValues" dxfId="15816" priority="6625"/>
    <cfRule type="duplicateValues" dxfId="15815" priority="6626"/>
    <cfRule type="duplicateValues" dxfId="15814" priority="6627"/>
    <cfRule type="duplicateValues" dxfId="15813" priority="6628"/>
    <cfRule type="duplicateValues" dxfId="15812" priority="6629"/>
    <cfRule type="duplicateValues" dxfId="15811" priority="6630"/>
    <cfRule type="duplicateValues" dxfId="15810" priority="6631"/>
    <cfRule type="duplicateValues" dxfId="15809" priority="6632"/>
    <cfRule type="duplicateValues" dxfId="15808" priority="6633"/>
    <cfRule type="duplicateValues" dxfId="15807" priority="6634"/>
    <cfRule type="duplicateValues" dxfId="15806" priority="6635"/>
    <cfRule type="duplicateValues" dxfId="15805" priority="6636"/>
    <cfRule type="duplicateValues" dxfId="15804" priority="6637"/>
    <cfRule type="duplicateValues" dxfId="15803" priority="6638"/>
    <cfRule type="duplicateValues" dxfId="15802" priority="6639"/>
    <cfRule type="duplicateValues" dxfId="15801" priority="6640"/>
    <cfRule type="duplicateValues" dxfId="15800" priority="6641"/>
    <cfRule type="duplicateValues" dxfId="15799" priority="6642"/>
    <cfRule type="duplicateValues" dxfId="15798" priority="6643"/>
    <cfRule type="duplicateValues" dxfId="15797" priority="6644"/>
    <cfRule type="duplicateValues" dxfId="15796" priority="6645"/>
    <cfRule type="duplicateValues" dxfId="15795" priority="6646"/>
    <cfRule type="duplicateValues" dxfId="15794" priority="6647"/>
    <cfRule type="duplicateValues" dxfId="15793" priority="6648"/>
    <cfRule type="duplicateValues" dxfId="15792" priority="6649"/>
    <cfRule type="duplicateValues" dxfId="15791" priority="6650"/>
    <cfRule type="duplicateValues" dxfId="15790" priority="6651"/>
    <cfRule type="duplicateValues" dxfId="15789" priority="6652"/>
    <cfRule type="duplicateValues" dxfId="15788" priority="6653"/>
    <cfRule type="duplicateValues" dxfId="15787" priority="6654"/>
    <cfRule type="duplicateValues" dxfId="15786" priority="6655"/>
    <cfRule type="duplicateValues" dxfId="15785" priority="6656"/>
    <cfRule type="duplicateValues" dxfId="15784" priority="6657"/>
    <cfRule type="duplicateValues" dxfId="15783" priority="6658"/>
    <cfRule type="duplicateValues" dxfId="15782" priority="6659"/>
    <cfRule type="duplicateValues" dxfId="15781" priority="6660"/>
    <cfRule type="duplicateValues" dxfId="15780" priority="6661"/>
    <cfRule type="duplicateValues" dxfId="15779" priority="6662"/>
    <cfRule type="duplicateValues" dxfId="15778" priority="6663"/>
    <cfRule type="duplicateValues" dxfId="15777" priority="6664"/>
    <cfRule type="duplicateValues" dxfId="15776" priority="6665"/>
    <cfRule type="duplicateValues" dxfId="15775" priority="6666"/>
    <cfRule type="duplicateValues" dxfId="15774" priority="6667"/>
    <cfRule type="duplicateValues" dxfId="15773" priority="6668"/>
    <cfRule type="duplicateValues" dxfId="15772" priority="6669"/>
    <cfRule type="duplicateValues" dxfId="15771" priority="6670"/>
    <cfRule type="duplicateValues" dxfId="15770" priority="6671"/>
    <cfRule type="duplicateValues" dxfId="15769" priority="6672"/>
    <cfRule type="duplicateValues" dxfId="15768" priority="6673"/>
    <cfRule type="duplicateValues" dxfId="15767" priority="6674"/>
    <cfRule type="duplicateValues" dxfId="15766" priority="6675"/>
    <cfRule type="duplicateValues" dxfId="15765" priority="6676"/>
    <cfRule type="duplicateValues" dxfId="15764" priority="6677"/>
    <cfRule type="duplicateValues" dxfId="15763" priority="6678"/>
    <cfRule type="duplicateValues" dxfId="15762" priority="6679"/>
    <cfRule type="duplicateValues" dxfId="15761" priority="6680"/>
    <cfRule type="duplicateValues" dxfId="15760" priority="6681"/>
    <cfRule type="duplicateValues" dxfId="15759" priority="6682"/>
    <cfRule type="duplicateValues" dxfId="15758" priority="6683"/>
    <cfRule type="duplicateValues" dxfId="15757" priority="6684"/>
    <cfRule type="duplicateValues" dxfId="15756" priority="6685"/>
    <cfRule type="duplicateValues" dxfId="15755" priority="6686"/>
    <cfRule type="duplicateValues" dxfId="15754" priority="6687"/>
    <cfRule type="duplicateValues" dxfId="15753" priority="6688"/>
    <cfRule type="duplicateValues" dxfId="15752" priority="6689"/>
    <cfRule type="duplicateValues" dxfId="15751" priority="6690"/>
    <cfRule type="duplicateValues" dxfId="15750" priority="6691"/>
    <cfRule type="duplicateValues" dxfId="15749" priority="6692"/>
    <cfRule type="duplicateValues" dxfId="15748" priority="6693"/>
    <cfRule type="duplicateValues" dxfId="15747" priority="6694"/>
    <cfRule type="duplicateValues" dxfId="15746" priority="6695"/>
    <cfRule type="duplicateValues" dxfId="15745" priority="6696"/>
    <cfRule type="duplicateValues" dxfId="15744" priority="6697"/>
    <cfRule type="duplicateValues" dxfId="15743" priority="6698"/>
    <cfRule type="duplicateValues" dxfId="15742" priority="6699"/>
    <cfRule type="duplicateValues" dxfId="15741" priority="6700"/>
    <cfRule type="duplicateValues" dxfId="15740" priority="6701"/>
    <cfRule type="duplicateValues" dxfId="15739" priority="6702"/>
    <cfRule type="duplicateValues" dxfId="15738" priority="6703"/>
    <cfRule type="duplicateValues" dxfId="15737" priority="6704"/>
    <cfRule type="duplicateValues" dxfId="15736" priority="6705"/>
    <cfRule type="duplicateValues" dxfId="15735" priority="6706"/>
    <cfRule type="duplicateValues" dxfId="15734" priority="6707"/>
    <cfRule type="duplicateValues" dxfId="15733" priority="6708"/>
    <cfRule type="duplicateValues" dxfId="15732" priority="6709"/>
    <cfRule type="duplicateValues" dxfId="15731" priority="6710"/>
    <cfRule type="duplicateValues" dxfId="15730" priority="6711"/>
    <cfRule type="duplicateValues" dxfId="15729" priority="6712"/>
    <cfRule type="duplicateValues" dxfId="15728" priority="6713"/>
    <cfRule type="duplicateValues" dxfId="15727" priority="6714"/>
    <cfRule type="duplicateValues" dxfId="15726" priority="6715"/>
    <cfRule type="duplicateValues" dxfId="15725" priority="6716"/>
    <cfRule type="duplicateValues" dxfId="15724" priority="6717"/>
    <cfRule type="duplicateValues" dxfId="15723" priority="6718"/>
    <cfRule type="duplicateValues" dxfId="15722" priority="6719"/>
    <cfRule type="duplicateValues" dxfId="15721" priority="6720"/>
    <cfRule type="duplicateValues" dxfId="15720" priority="6721"/>
    <cfRule type="duplicateValues" dxfId="15719" priority="6722"/>
    <cfRule type="duplicateValues" dxfId="15718" priority="6723"/>
    <cfRule type="duplicateValues" dxfId="15717" priority="6724"/>
    <cfRule type="duplicateValues" dxfId="15716" priority="6725"/>
    <cfRule type="duplicateValues" dxfId="15715" priority="6726"/>
    <cfRule type="duplicateValues" dxfId="15714" priority="6727"/>
    <cfRule type="duplicateValues" dxfId="15713" priority="6728"/>
    <cfRule type="duplicateValues" dxfId="15712" priority="6729"/>
    <cfRule type="duplicateValues" dxfId="15711" priority="6730"/>
    <cfRule type="duplicateValues" dxfId="15710" priority="6731"/>
    <cfRule type="duplicateValues" dxfId="15709" priority="6732"/>
    <cfRule type="duplicateValues" dxfId="15708" priority="6733"/>
    <cfRule type="duplicateValues" dxfId="15707" priority="6734"/>
    <cfRule type="duplicateValues" dxfId="15706" priority="6735"/>
    <cfRule type="duplicateValues" dxfId="15705" priority="6736"/>
    <cfRule type="duplicateValues" dxfId="15704" priority="6737"/>
    <cfRule type="duplicateValues" dxfId="15703" priority="6738"/>
    <cfRule type="duplicateValues" dxfId="15702" priority="6739"/>
    <cfRule type="duplicateValues" dxfId="15701" priority="6740"/>
    <cfRule type="duplicateValues" dxfId="15700" priority="6741"/>
    <cfRule type="duplicateValues" dxfId="15699" priority="6742"/>
    <cfRule type="duplicateValues" dxfId="15698" priority="6743"/>
    <cfRule type="duplicateValues" dxfId="15697" priority="6744"/>
    <cfRule type="duplicateValues" dxfId="15696" priority="6745"/>
    <cfRule type="duplicateValues" dxfId="15695" priority="6746"/>
    <cfRule type="duplicateValues" dxfId="15694" priority="6747"/>
    <cfRule type="duplicateValues" dxfId="15693" priority="6748"/>
    <cfRule type="duplicateValues" dxfId="15692" priority="6749"/>
    <cfRule type="duplicateValues" dxfId="15691" priority="6750"/>
    <cfRule type="duplicateValues" dxfId="15690" priority="6751"/>
    <cfRule type="duplicateValues" dxfId="15689" priority="6752"/>
    <cfRule type="duplicateValues" dxfId="15688" priority="6753"/>
    <cfRule type="duplicateValues" dxfId="15687" priority="6754"/>
    <cfRule type="duplicateValues" dxfId="15686" priority="6755"/>
    <cfRule type="duplicateValues" dxfId="15685" priority="6756"/>
    <cfRule type="duplicateValues" dxfId="15684" priority="6757"/>
    <cfRule type="duplicateValues" dxfId="15683" priority="6758"/>
    <cfRule type="duplicateValues" dxfId="15682" priority="6759"/>
    <cfRule type="duplicateValues" dxfId="15681" priority="6760"/>
    <cfRule type="duplicateValues" dxfId="15680" priority="6761"/>
    <cfRule type="duplicateValues" dxfId="15679" priority="6762"/>
    <cfRule type="duplicateValues" dxfId="15678" priority="6763"/>
    <cfRule type="duplicateValues" dxfId="15677" priority="6764"/>
    <cfRule type="duplicateValues" dxfId="15676" priority="6765"/>
    <cfRule type="duplicateValues" dxfId="15675" priority="6766"/>
    <cfRule type="duplicateValues" dxfId="15674" priority="6767"/>
    <cfRule type="duplicateValues" dxfId="15673" priority="6768"/>
    <cfRule type="duplicateValues" dxfId="15672" priority="6769"/>
    <cfRule type="duplicateValues" dxfId="15671" priority="6770"/>
    <cfRule type="duplicateValues" dxfId="15670" priority="6771"/>
    <cfRule type="duplicateValues" dxfId="15669" priority="6772"/>
    <cfRule type="duplicateValues" dxfId="15668" priority="6773"/>
    <cfRule type="duplicateValues" dxfId="15667" priority="6774"/>
    <cfRule type="duplicateValues" dxfId="15666" priority="6775"/>
    <cfRule type="duplicateValues" dxfId="15665" priority="6776"/>
    <cfRule type="duplicateValues" dxfId="15664" priority="6777"/>
    <cfRule type="duplicateValues" dxfId="15663" priority="6778"/>
    <cfRule type="duplicateValues" dxfId="15662" priority="6779"/>
    <cfRule type="duplicateValues" dxfId="15661" priority="6780"/>
    <cfRule type="duplicateValues" dxfId="15660" priority="6781"/>
    <cfRule type="duplicateValues" dxfId="15659" priority="6782"/>
    <cfRule type="duplicateValues" dxfId="15658" priority="6783"/>
    <cfRule type="duplicateValues" dxfId="15657" priority="6784"/>
    <cfRule type="duplicateValues" dxfId="15656" priority="6785"/>
    <cfRule type="duplicateValues" dxfId="15655" priority="6786"/>
    <cfRule type="duplicateValues" dxfId="15654" priority="6787"/>
    <cfRule type="duplicateValues" dxfId="15653" priority="6788"/>
    <cfRule type="duplicateValues" dxfId="15652" priority="6789"/>
    <cfRule type="duplicateValues" dxfId="15651" priority="6790"/>
    <cfRule type="duplicateValues" dxfId="15650" priority="6791"/>
    <cfRule type="duplicateValues" dxfId="15649" priority="6792"/>
  </conditionalFormatting>
  <conditionalFormatting sqref="C245:C246">
    <cfRule type="duplicateValues" dxfId="15648" priority="6103"/>
    <cfRule type="duplicateValues" dxfId="15647" priority="6104"/>
    <cfRule type="duplicateValues" dxfId="15646" priority="6105"/>
    <cfRule type="duplicateValues" dxfId="15645" priority="6106"/>
    <cfRule type="duplicateValues" dxfId="15644" priority="6107"/>
    <cfRule type="duplicateValues" dxfId="15643" priority="6108"/>
    <cfRule type="duplicateValues" dxfId="15642" priority="6109"/>
    <cfRule type="duplicateValues" dxfId="15641" priority="6110"/>
    <cfRule type="duplicateValues" dxfId="15640" priority="6111"/>
    <cfRule type="duplicateValues" dxfId="15639" priority="6112"/>
    <cfRule type="duplicateValues" dxfId="15638" priority="6113"/>
    <cfRule type="duplicateValues" dxfId="15637" priority="6114"/>
    <cfRule type="duplicateValues" dxfId="15636" priority="6115"/>
    <cfRule type="duplicateValues" dxfId="15635" priority="6116"/>
    <cfRule type="duplicateValues" dxfId="15634" priority="6117"/>
    <cfRule type="duplicateValues" dxfId="15633" priority="6118"/>
    <cfRule type="duplicateValues" dxfId="15632" priority="6119"/>
    <cfRule type="duplicateValues" dxfId="15631" priority="6120"/>
    <cfRule type="duplicateValues" dxfId="15630" priority="6121"/>
    <cfRule type="duplicateValues" dxfId="15629" priority="6122"/>
    <cfRule type="duplicateValues" dxfId="15628" priority="6123"/>
    <cfRule type="duplicateValues" dxfId="15627" priority="6124"/>
    <cfRule type="duplicateValues" dxfId="15626" priority="6125"/>
    <cfRule type="duplicateValues" dxfId="15625" priority="6126"/>
    <cfRule type="duplicateValues" dxfId="15624" priority="6127"/>
    <cfRule type="duplicateValues" dxfId="15623" priority="6128"/>
    <cfRule type="duplicateValues" dxfId="15622" priority="6129"/>
    <cfRule type="duplicateValues" dxfId="15621" priority="6130"/>
    <cfRule type="duplicateValues" dxfId="15620" priority="6131"/>
    <cfRule type="duplicateValues" dxfId="15619" priority="6132"/>
    <cfRule type="duplicateValues" dxfId="15618" priority="6133"/>
    <cfRule type="duplicateValues" dxfId="15617" priority="6134"/>
    <cfRule type="duplicateValues" dxfId="15616" priority="6135"/>
    <cfRule type="duplicateValues" dxfId="15615" priority="6136"/>
    <cfRule type="duplicateValues" dxfId="15614" priority="6137"/>
    <cfRule type="duplicateValues" dxfId="15613" priority="6138"/>
    <cfRule type="duplicateValues" dxfId="15612" priority="6139"/>
    <cfRule type="duplicateValues" dxfId="15611" priority="6140"/>
    <cfRule type="duplicateValues" dxfId="15610" priority="6141"/>
    <cfRule type="duplicateValues" dxfId="15609" priority="6142"/>
    <cfRule type="duplicateValues" dxfId="15608" priority="6143"/>
    <cfRule type="duplicateValues" dxfId="15607" priority="6144"/>
    <cfRule type="duplicateValues" dxfId="15606" priority="6145"/>
    <cfRule type="duplicateValues" dxfId="15605" priority="6146"/>
    <cfRule type="duplicateValues" dxfId="15604" priority="6147"/>
    <cfRule type="duplicateValues" dxfId="15603" priority="6148"/>
    <cfRule type="duplicateValues" dxfId="15602" priority="6149"/>
    <cfRule type="duplicateValues" dxfId="15601" priority="6150"/>
    <cfRule type="duplicateValues" dxfId="15600" priority="6151"/>
    <cfRule type="duplicateValues" dxfId="15599" priority="6152"/>
    <cfRule type="duplicateValues" dxfId="15598" priority="6153"/>
    <cfRule type="duplicateValues" dxfId="15597" priority="6154"/>
    <cfRule type="duplicateValues" dxfId="15596" priority="6155"/>
    <cfRule type="duplicateValues" dxfId="15595" priority="6156"/>
    <cfRule type="duplicateValues" dxfId="15594" priority="6157"/>
    <cfRule type="duplicateValues" dxfId="15593" priority="6158"/>
    <cfRule type="duplicateValues" dxfId="15592" priority="6159"/>
    <cfRule type="duplicateValues" dxfId="15591" priority="6160"/>
    <cfRule type="duplicateValues" dxfId="15590" priority="6161"/>
    <cfRule type="duplicateValues" dxfId="15589" priority="6162"/>
    <cfRule type="duplicateValues" dxfId="15588" priority="6163"/>
    <cfRule type="duplicateValues" dxfId="15587" priority="6164"/>
    <cfRule type="duplicateValues" dxfId="15586" priority="6165"/>
    <cfRule type="duplicateValues" dxfId="15585" priority="6166"/>
    <cfRule type="duplicateValues" dxfId="15584" priority="6167"/>
    <cfRule type="duplicateValues" dxfId="15583" priority="6168"/>
    <cfRule type="duplicateValues" dxfId="15582" priority="6169"/>
    <cfRule type="duplicateValues" dxfId="15581" priority="6170"/>
    <cfRule type="duplicateValues" dxfId="15580" priority="6171"/>
    <cfRule type="duplicateValues" dxfId="15579" priority="6172"/>
    <cfRule type="duplicateValues" dxfId="15578" priority="6173"/>
    <cfRule type="duplicateValues" dxfId="15577" priority="6174"/>
    <cfRule type="duplicateValues" dxfId="15576" priority="6175"/>
    <cfRule type="duplicateValues" dxfId="15575" priority="6176"/>
    <cfRule type="duplicateValues" dxfId="15574" priority="6177"/>
    <cfRule type="duplicateValues" dxfId="15573" priority="6178"/>
    <cfRule type="duplicateValues" dxfId="15572" priority="6179"/>
    <cfRule type="duplicateValues" dxfId="15571" priority="6180"/>
    <cfRule type="duplicateValues" dxfId="15570" priority="6181"/>
    <cfRule type="duplicateValues" dxfId="15569" priority="6182"/>
    <cfRule type="duplicateValues" dxfId="15568" priority="6183"/>
    <cfRule type="duplicateValues" dxfId="15567" priority="6184"/>
    <cfRule type="duplicateValues" dxfId="15566" priority="6185"/>
    <cfRule type="duplicateValues" dxfId="15565" priority="6186"/>
    <cfRule type="duplicateValues" dxfId="15564" priority="6187"/>
    <cfRule type="duplicateValues" dxfId="15563" priority="6188"/>
    <cfRule type="duplicateValues" dxfId="15562" priority="6189"/>
    <cfRule type="duplicateValues" dxfId="15561" priority="6190"/>
    <cfRule type="duplicateValues" dxfId="15560" priority="6191"/>
    <cfRule type="duplicateValues" dxfId="15559" priority="6192"/>
    <cfRule type="duplicateValues" dxfId="15558" priority="6193"/>
    <cfRule type="duplicateValues" dxfId="15557" priority="6194"/>
    <cfRule type="duplicateValues" dxfId="15556" priority="6195"/>
    <cfRule type="duplicateValues" dxfId="15555" priority="6196"/>
    <cfRule type="duplicateValues" dxfId="15554" priority="6197"/>
    <cfRule type="duplicateValues" dxfId="15553" priority="6198"/>
    <cfRule type="duplicateValues" dxfId="15552" priority="6199"/>
    <cfRule type="duplicateValues" dxfId="15551" priority="6200"/>
    <cfRule type="duplicateValues" dxfId="15550" priority="6201"/>
    <cfRule type="duplicateValues" dxfId="15549" priority="6202"/>
    <cfRule type="duplicateValues" dxfId="15548" priority="6203"/>
    <cfRule type="duplicateValues" dxfId="15547" priority="6204"/>
    <cfRule type="duplicateValues" dxfId="15546" priority="6205"/>
    <cfRule type="duplicateValues" dxfId="15545" priority="6206"/>
    <cfRule type="duplicateValues" dxfId="15544" priority="6207"/>
    <cfRule type="duplicateValues" dxfId="15543" priority="6208"/>
    <cfRule type="duplicateValues" dxfId="15542" priority="6209"/>
    <cfRule type="duplicateValues" dxfId="15541" priority="6210"/>
    <cfRule type="duplicateValues" dxfId="15540" priority="6211"/>
    <cfRule type="duplicateValues" dxfId="15539" priority="6212"/>
    <cfRule type="duplicateValues" dxfId="15538" priority="6213"/>
    <cfRule type="duplicateValues" dxfId="15537" priority="6214"/>
    <cfRule type="duplicateValues" dxfId="15536" priority="6215"/>
    <cfRule type="duplicateValues" dxfId="15535" priority="6216"/>
    <cfRule type="duplicateValues" dxfId="15534" priority="6217"/>
    <cfRule type="duplicateValues" dxfId="15533" priority="6218"/>
    <cfRule type="duplicateValues" dxfId="15532" priority="6219"/>
    <cfRule type="duplicateValues" dxfId="15531" priority="6220"/>
    <cfRule type="duplicateValues" dxfId="15530" priority="6221"/>
    <cfRule type="duplicateValues" dxfId="15529" priority="6222"/>
    <cfRule type="duplicateValues" dxfId="15528" priority="6223"/>
    <cfRule type="duplicateValues" dxfId="15527" priority="6224"/>
    <cfRule type="duplicateValues" dxfId="15526" priority="6225"/>
    <cfRule type="duplicateValues" dxfId="15525" priority="6226"/>
    <cfRule type="duplicateValues" dxfId="15524" priority="6227"/>
    <cfRule type="duplicateValues" dxfId="15523" priority="6228"/>
    <cfRule type="duplicateValues" dxfId="15522" priority="6229"/>
    <cfRule type="duplicateValues" dxfId="15521" priority="6230"/>
    <cfRule type="duplicateValues" dxfId="15520" priority="6231"/>
    <cfRule type="duplicateValues" dxfId="15519" priority="6232"/>
    <cfRule type="duplicateValues" dxfId="15518" priority="6233"/>
    <cfRule type="duplicateValues" dxfId="15517" priority="6234"/>
    <cfRule type="duplicateValues" dxfId="15516" priority="6235"/>
    <cfRule type="duplicateValues" dxfId="15515" priority="6236"/>
    <cfRule type="duplicateValues" dxfId="15514" priority="6237"/>
    <cfRule type="duplicateValues" dxfId="15513" priority="6238"/>
    <cfRule type="duplicateValues" dxfId="15512" priority="6239"/>
    <cfRule type="duplicateValues" dxfId="15511" priority="6240"/>
    <cfRule type="duplicateValues" dxfId="15510" priority="6241"/>
    <cfRule type="duplicateValues" dxfId="15509" priority="6242"/>
    <cfRule type="duplicateValues" dxfId="15508" priority="6243"/>
    <cfRule type="duplicateValues" dxfId="15507" priority="6244"/>
    <cfRule type="duplicateValues" dxfId="15506" priority="6245"/>
    <cfRule type="duplicateValues" dxfId="15505" priority="6246"/>
    <cfRule type="duplicateValues" dxfId="15504" priority="6247"/>
    <cfRule type="duplicateValues" dxfId="15503" priority="6248"/>
    <cfRule type="duplicateValues" dxfId="15502" priority="6249"/>
    <cfRule type="duplicateValues" dxfId="15501" priority="6250"/>
    <cfRule type="duplicateValues" dxfId="15500" priority="6251"/>
    <cfRule type="duplicateValues" dxfId="15499" priority="6252"/>
    <cfRule type="duplicateValues" dxfId="15498" priority="6253"/>
    <cfRule type="duplicateValues" dxfId="15497" priority="6254"/>
    <cfRule type="duplicateValues" dxfId="15496" priority="6255"/>
    <cfRule type="duplicateValues" dxfId="15495" priority="6256"/>
    <cfRule type="duplicateValues" dxfId="15494" priority="6257"/>
    <cfRule type="duplicateValues" dxfId="15493" priority="6258"/>
    <cfRule type="duplicateValues" dxfId="15492" priority="6259"/>
    <cfRule type="duplicateValues" dxfId="15491" priority="6260"/>
    <cfRule type="duplicateValues" dxfId="15490" priority="6261"/>
    <cfRule type="duplicateValues" dxfId="15489" priority="6262"/>
    <cfRule type="duplicateValues" dxfId="15488" priority="6263"/>
    <cfRule type="duplicateValues" dxfId="15487" priority="6264"/>
    <cfRule type="duplicateValues" dxfId="15486" priority="6265"/>
    <cfRule type="duplicateValues" dxfId="15485" priority="6266"/>
    <cfRule type="duplicateValues" dxfId="15484" priority="6267"/>
    <cfRule type="duplicateValues" dxfId="15483" priority="6268"/>
    <cfRule type="duplicateValues" dxfId="15482" priority="6269"/>
    <cfRule type="duplicateValues" dxfId="15481" priority="6270"/>
    <cfRule type="duplicateValues" dxfId="15480" priority="6271"/>
    <cfRule type="duplicateValues" dxfId="15479" priority="6272"/>
    <cfRule type="duplicateValues" dxfId="15478" priority="6273"/>
    <cfRule type="duplicateValues" dxfId="15477" priority="6274"/>
    <cfRule type="duplicateValues" dxfId="15476" priority="6275"/>
    <cfRule type="duplicateValues" dxfId="15475" priority="6276"/>
    <cfRule type="duplicateValues" dxfId="15474" priority="6277"/>
    <cfRule type="duplicateValues" dxfId="15473" priority="6278"/>
    <cfRule type="duplicateValues" dxfId="15472" priority="6279"/>
    <cfRule type="duplicateValues" dxfId="15471" priority="6280"/>
    <cfRule type="duplicateValues" dxfId="15470" priority="6281"/>
    <cfRule type="duplicateValues" dxfId="15469" priority="6282"/>
    <cfRule type="duplicateValues" dxfId="15468" priority="6283"/>
    <cfRule type="duplicateValues" dxfId="15467" priority="6284"/>
    <cfRule type="duplicateValues" dxfId="15466" priority="6285"/>
    <cfRule type="duplicateValues" dxfId="15465" priority="6286"/>
    <cfRule type="duplicateValues" dxfId="15464" priority="6287"/>
    <cfRule type="duplicateValues" dxfId="15463" priority="6288"/>
    <cfRule type="duplicateValues" dxfId="15462" priority="6289"/>
    <cfRule type="duplicateValues" dxfId="15461" priority="6290"/>
    <cfRule type="duplicateValues" dxfId="15460" priority="6291"/>
    <cfRule type="duplicateValues" dxfId="15459" priority="6292"/>
    <cfRule type="duplicateValues" dxfId="15458" priority="6293"/>
    <cfRule type="duplicateValues" dxfId="15457" priority="6294"/>
    <cfRule type="duplicateValues" dxfId="15456" priority="6295"/>
    <cfRule type="duplicateValues" dxfId="15455" priority="6296"/>
    <cfRule type="duplicateValues" dxfId="15454" priority="6297"/>
    <cfRule type="duplicateValues" dxfId="15453" priority="6298"/>
    <cfRule type="duplicateValues" dxfId="15452" priority="6299"/>
    <cfRule type="duplicateValues" dxfId="15451" priority="6300"/>
    <cfRule type="duplicateValues" dxfId="15450" priority="6301"/>
    <cfRule type="duplicateValues" dxfId="15449" priority="6302"/>
    <cfRule type="duplicateValues" dxfId="15448" priority="6303"/>
    <cfRule type="duplicateValues" dxfId="15447" priority="6304"/>
    <cfRule type="duplicateValues" dxfId="15446" priority="6305"/>
    <cfRule type="duplicateValues" dxfId="15445" priority="6306"/>
    <cfRule type="duplicateValues" dxfId="15444" priority="6307"/>
    <cfRule type="duplicateValues" dxfId="15443" priority="6308"/>
    <cfRule type="duplicateValues" dxfId="15442" priority="6309"/>
    <cfRule type="duplicateValues" dxfId="15441" priority="6310"/>
    <cfRule type="duplicateValues" dxfId="15440" priority="6311"/>
    <cfRule type="duplicateValues" dxfId="15439" priority="6312"/>
    <cfRule type="duplicateValues" dxfId="15438" priority="6313"/>
    <cfRule type="duplicateValues" dxfId="15437" priority="6314"/>
    <cfRule type="duplicateValues" dxfId="15436" priority="6315"/>
    <cfRule type="duplicateValues" dxfId="15435" priority="6316"/>
    <cfRule type="duplicateValues" dxfId="15434" priority="6317"/>
    <cfRule type="duplicateValues" dxfId="15433" priority="6318"/>
    <cfRule type="duplicateValues" dxfId="15432" priority="6319"/>
    <cfRule type="duplicateValues" dxfId="15431" priority="6320"/>
    <cfRule type="duplicateValues" dxfId="15430" priority="6321"/>
    <cfRule type="duplicateValues" dxfId="15429" priority="6322"/>
    <cfRule type="duplicateValues" dxfId="15428" priority="6323"/>
    <cfRule type="duplicateValues" dxfId="15427" priority="6324"/>
    <cfRule type="duplicateValues" dxfId="15426" priority="6325"/>
    <cfRule type="duplicateValues" dxfId="15425" priority="6326"/>
    <cfRule type="duplicateValues" dxfId="15424" priority="6327"/>
    <cfRule type="duplicateValues" dxfId="15423" priority="6328"/>
    <cfRule type="duplicateValues" dxfId="15422" priority="6329"/>
    <cfRule type="duplicateValues" dxfId="15421" priority="6330"/>
    <cfRule type="duplicateValues" dxfId="15420" priority="6331"/>
    <cfRule type="duplicateValues" dxfId="15419" priority="6332"/>
    <cfRule type="duplicateValues" dxfId="15418" priority="6333"/>
    <cfRule type="duplicateValues" dxfId="15417" priority="6334"/>
    <cfRule type="duplicateValues" dxfId="15416" priority="6335"/>
    <cfRule type="duplicateValues" dxfId="15415" priority="6336"/>
    <cfRule type="duplicateValues" dxfId="15414" priority="6337"/>
    <cfRule type="duplicateValues" dxfId="15413" priority="6338"/>
    <cfRule type="duplicateValues" dxfId="15412" priority="6339"/>
    <cfRule type="duplicateValues" dxfId="15411" priority="6340"/>
    <cfRule type="duplicateValues" dxfId="15410" priority="6341"/>
    <cfRule type="duplicateValues" dxfId="15409" priority="6342"/>
    <cfRule type="duplicateValues" dxfId="15408" priority="6343"/>
    <cfRule type="duplicateValues" dxfId="15407" priority="6344"/>
    <cfRule type="duplicateValues" dxfId="15406" priority="6345"/>
    <cfRule type="duplicateValues" dxfId="15405" priority="6346"/>
    <cfRule type="duplicateValues" dxfId="15404" priority="6347"/>
    <cfRule type="duplicateValues" dxfId="15403" priority="6348"/>
    <cfRule type="duplicateValues" dxfId="15402" priority="6349"/>
    <cfRule type="duplicateValues" dxfId="15401" priority="6350"/>
    <cfRule type="duplicateValues" dxfId="15400" priority="6351"/>
    <cfRule type="duplicateValues" dxfId="15399" priority="6352"/>
    <cfRule type="duplicateValues" dxfId="15398" priority="6353"/>
    <cfRule type="duplicateValues" dxfId="15397" priority="6354"/>
    <cfRule type="duplicateValues" dxfId="15396" priority="6355"/>
    <cfRule type="duplicateValues" dxfId="15395" priority="6356"/>
    <cfRule type="duplicateValues" dxfId="15394" priority="6357"/>
    <cfRule type="duplicateValues" dxfId="15393" priority="6358"/>
    <cfRule type="duplicateValues" dxfId="15392" priority="6359"/>
    <cfRule type="duplicateValues" dxfId="15391" priority="6360"/>
    <cfRule type="duplicateValues" dxfId="15390" priority="6361"/>
    <cfRule type="duplicateValues" dxfId="15389" priority="6362"/>
    <cfRule type="duplicateValues" dxfId="15388" priority="6363"/>
    <cfRule type="duplicateValues" dxfId="15387" priority="6364"/>
    <cfRule type="duplicateValues" dxfId="15386" priority="6365"/>
    <cfRule type="duplicateValues" dxfId="15385" priority="6366"/>
    <cfRule type="duplicateValues" dxfId="15384" priority="6367"/>
    <cfRule type="duplicateValues" dxfId="15383" priority="6368"/>
    <cfRule type="duplicateValues" dxfId="15382" priority="6369"/>
    <cfRule type="duplicateValues" dxfId="15381" priority="6370"/>
    <cfRule type="duplicateValues" dxfId="15380" priority="6371"/>
    <cfRule type="duplicateValues" dxfId="15379" priority="6372"/>
    <cfRule type="duplicateValues" dxfId="15378" priority="6373"/>
    <cfRule type="duplicateValues" dxfId="15377" priority="6374"/>
    <cfRule type="duplicateValues" dxfId="15376" priority="6375"/>
    <cfRule type="duplicateValues" dxfId="15375" priority="6376"/>
    <cfRule type="duplicateValues" dxfId="15374" priority="6377"/>
    <cfRule type="duplicateValues" dxfId="15373" priority="6378"/>
    <cfRule type="duplicateValues" dxfId="15372" priority="6379"/>
    <cfRule type="duplicateValues" dxfId="15371" priority="6380"/>
    <cfRule type="duplicateValues" dxfId="15370" priority="6381"/>
    <cfRule type="duplicateValues" dxfId="15369" priority="6382"/>
    <cfRule type="duplicateValues" dxfId="15368" priority="6383"/>
    <cfRule type="duplicateValues" dxfId="15367" priority="6384"/>
    <cfRule type="duplicateValues" dxfId="15366" priority="6385"/>
    <cfRule type="duplicateValues" dxfId="15365" priority="6386"/>
    <cfRule type="duplicateValues" dxfId="15364" priority="6387"/>
    <cfRule type="duplicateValues" dxfId="15363" priority="6388"/>
    <cfRule type="duplicateValues" dxfId="15362" priority="6389"/>
    <cfRule type="duplicateValues" dxfId="15361" priority="6390"/>
    <cfRule type="duplicateValues" dxfId="15360" priority="6391"/>
    <cfRule type="duplicateValues" dxfId="15359" priority="6392"/>
    <cfRule type="duplicateValues" dxfId="15358" priority="6393"/>
    <cfRule type="duplicateValues" dxfId="15357" priority="6394"/>
    <cfRule type="duplicateValues" dxfId="15356" priority="6395"/>
    <cfRule type="duplicateValues" dxfId="15355" priority="6396"/>
    <cfRule type="duplicateValues" dxfId="15354" priority="6397"/>
    <cfRule type="duplicateValues" dxfId="15353" priority="6398"/>
    <cfRule type="duplicateValues" dxfId="15352" priority="6399"/>
    <cfRule type="duplicateValues" dxfId="15351" priority="6400"/>
    <cfRule type="duplicateValues" dxfId="15350" priority="6401"/>
    <cfRule type="duplicateValues" dxfId="15349" priority="6402"/>
    <cfRule type="duplicateValues" dxfId="15348" priority="6403"/>
    <cfRule type="duplicateValues" dxfId="15347" priority="6404"/>
    <cfRule type="duplicateValues" dxfId="15346" priority="6405"/>
    <cfRule type="duplicateValues" dxfId="15345" priority="6406"/>
    <cfRule type="duplicateValues" dxfId="15344" priority="6407"/>
    <cfRule type="duplicateValues" dxfId="15343" priority="6408"/>
    <cfRule type="duplicateValues" dxfId="15342" priority="6409"/>
    <cfRule type="duplicateValues" dxfId="15341" priority="6410"/>
    <cfRule type="duplicateValues" dxfId="15340" priority="6411"/>
    <cfRule type="duplicateValues" dxfId="15339" priority="6412"/>
    <cfRule type="duplicateValues" dxfId="15338" priority="6413"/>
    <cfRule type="duplicateValues" dxfId="15337" priority="6414"/>
    <cfRule type="duplicateValues" dxfId="15336" priority="6415"/>
    <cfRule type="duplicateValues" dxfId="15335" priority="6416"/>
    <cfRule type="duplicateValues" dxfId="15334" priority="6417"/>
    <cfRule type="duplicateValues" dxfId="15333" priority="6418"/>
    <cfRule type="duplicateValues" dxfId="15332" priority="6419"/>
    <cfRule type="duplicateValues" dxfId="15331" priority="6420"/>
    <cfRule type="duplicateValues" dxfId="15330" priority="6421"/>
    <cfRule type="duplicateValues" dxfId="15329" priority="6422"/>
    <cfRule type="duplicateValues" dxfId="15328" priority="6423"/>
    <cfRule type="duplicateValues" dxfId="15327" priority="6424"/>
    <cfRule type="duplicateValues" dxfId="15326" priority="6425"/>
    <cfRule type="duplicateValues" dxfId="15325" priority="6426"/>
    <cfRule type="duplicateValues" dxfId="15324" priority="6427"/>
    <cfRule type="duplicateValues" dxfId="15323" priority="6428"/>
    <cfRule type="duplicateValues" dxfId="15322" priority="6429"/>
    <cfRule type="duplicateValues" dxfId="15321" priority="6430"/>
    <cfRule type="duplicateValues" dxfId="15320" priority="6431"/>
    <cfRule type="duplicateValues" dxfId="15319" priority="6432"/>
    <cfRule type="duplicateValues" dxfId="15318" priority="6433"/>
    <cfRule type="duplicateValues" dxfId="15317" priority="6434"/>
    <cfRule type="duplicateValues" dxfId="15316" priority="6435"/>
    <cfRule type="duplicateValues" dxfId="15315" priority="6436"/>
    <cfRule type="duplicateValues" dxfId="15314" priority="6437"/>
    <cfRule type="duplicateValues" dxfId="15313" priority="6438"/>
    <cfRule type="duplicateValues" dxfId="15312" priority="6439"/>
    <cfRule type="duplicateValues" dxfId="15311" priority="6440"/>
    <cfRule type="duplicateValues" dxfId="15310" priority="6441"/>
    <cfRule type="duplicateValues" dxfId="15309" priority="6442"/>
    <cfRule type="duplicateValues" dxfId="15308" priority="6443"/>
    <cfRule type="duplicateValues" dxfId="15307" priority="6444"/>
    <cfRule type="duplicateValues" dxfId="15306" priority="6445"/>
    <cfRule type="duplicateValues" dxfId="15305" priority="6446"/>
    <cfRule type="duplicateValues" dxfId="15304" priority="6447"/>
  </conditionalFormatting>
  <conditionalFormatting sqref="C247">
    <cfRule type="duplicateValues" dxfId="15303" priority="19497"/>
    <cfRule type="duplicateValues" dxfId="15302" priority="19498"/>
    <cfRule type="duplicateValues" dxfId="15301" priority="19499"/>
    <cfRule type="duplicateValues" dxfId="15300" priority="19500"/>
    <cfRule type="duplicateValues" dxfId="15299" priority="19501"/>
    <cfRule type="duplicateValues" dxfId="15298" priority="19502"/>
    <cfRule type="duplicateValues" dxfId="15297" priority="19503"/>
    <cfRule type="duplicateValues" dxfId="15296" priority="19504"/>
    <cfRule type="duplicateValues" dxfId="15295" priority="19505"/>
    <cfRule type="duplicateValues" dxfId="15294" priority="19506"/>
    <cfRule type="duplicateValues" dxfId="15293" priority="19507"/>
    <cfRule type="duplicateValues" dxfId="15292" priority="19508"/>
    <cfRule type="duplicateValues" dxfId="15291" priority="19509"/>
    <cfRule type="duplicateValues" dxfId="15290" priority="19510"/>
    <cfRule type="duplicateValues" dxfId="15289" priority="19511"/>
    <cfRule type="duplicateValues" dxfId="15288" priority="19512"/>
    <cfRule type="duplicateValues" dxfId="15287" priority="19513"/>
    <cfRule type="duplicateValues" dxfId="15286" priority="19514"/>
    <cfRule type="duplicateValues" dxfId="15285" priority="19515"/>
    <cfRule type="duplicateValues" dxfId="15284" priority="19516"/>
    <cfRule type="duplicateValues" dxfId="15283" priority="19517"/>
    <cfRule type="duplicateValues" dxfId="15282" priority="19518"/>
    <cfRule type="duplicateValues" dxfId="15281" priority="19519"/>
    <cfRule type="duplicateValues" dxfId="15280" priority="19520"/>
    <cfRule type="duplicateValues" dxfId="15279" priority="19521"/>
    <cfRule type="duplicateValues" dxfId="15278" priority="19522"/>
    <cfRule type="duplicateValues" dxfId="15277" priority="19523"/>
    <cfRule type="duplicateValues" dxfId="15276" priority="19524"/>
    <cfRule type="duplicateValues" dxfId="15275" priority="19525"/>
    <cfRule type="duplicateValues" dxfId="15274" priority="19526"/>
    <cfRule type="duplicateValues" dxfId="15273" priority="19527"/>
    <cfRule type="duplicateValues" dxfId="15272" priority="19528"/>
    <cfRule type="duplicateValues" dxfId="15271" priority="19529"/>
    <cfRule type="duplicateValues" dxfId="15270" priority="19530"/>
    <cfRule type="duplicateValues" dxfId="15269" priority="19531"/>
    <cfRule type="duplicateValues" dxfId="15268" priority="19532"/>
    <cfRule type="duplicateValues" dxfId="15267" priority="19533"/>
    <cfRule type="duplicateValues" dxfId="15266" priority="19534"/>
    <cfRule type="duplicateValues" dxfId="15265" priority="19535"/>
    <cfRule type="duplicateValues" dxfId="15264" priority="19536"/>
    <cfRule type="duplicateValues" dxfId="15263" priority="19537"/>
    <cfRule type="duplicateValues" dxfId="15262" priority="19538"/>
    <cfRule type="duplicateValues" dxfId="15261" priority="19539"/>
    <cfRule type="duplicateValues" dxfId="15260" priority="19540"/>
    <cfRule type="duplicateValues" dxfId="15259" priority="19541"/>
    <cfRule type="duplicateValues" dxfId="15258" priority="19542"/>
    <cfRule type="duplicateValues" dxfId="15257" priority="19543"/>
    <cfRule type="duplicateValues" dxfId="15256" priority="19544"/>
    <cfRule type="duplicateValues" dxfId="15255" priority="19545"/>
    <cfRule type="duplicateValues" dxfId="15254" priority="19546"/>
    <cfRule type="duplicateValues" dxfId="15253" priority="19547"/>
    <cfRule type="duplicateValues" dxfId="15252" priority="19548"/>
    <cfRule type="duplicateValues" dxfId="15251" priority="19549"/>
    <cfRule type="duplicateValues" dxfId="15250" priority="19550"/>
    <cfRule type="duplicateValues" dxfId="15249" priority="19551"/>
    <cfRule type="duplicateValues" dxfId="15248" priority="19552"/>
    <cfRule type="duplicateValues" dxfId="15247" priority="19553"/>
    <cfRule type="duplicateValues" dxfId="15246" priority="19554"/>
    <cfRule type="duplicateValues" dxfId="15245" priority="19555"/>
    <cfRule type="duplicateValues" dxfId="15244" priority="19556"/>
    <cfRule type="duplicateValues" dxfId="15243" priority="19557"/>
    <cfRule type="duplicateValues" dxfId="15242" priority="19558"/>
    <cfRule type="duplicateValues" dxfId="15241" priority="19559"/>
    <cfRule type="duplicateValues" dxfId="15240" priority="19560"/>
    <cfRule type="duplicateValues" dxfId="15239" priority="19561"/>
    <cfRule type="duplicateValues" dxfId="15238" priority="19562"/>
    <cfRule type="duplicateValues" dxfId="15237" priority="19563"/>
    <cfRule type="duplicateValues" dxfId="15236" priority="19564"/>
    <cfRule type="duplicateValues" dxfId="15235" priority="19565"/>
    <cfRule type="duplicateValues" dxfId="15234" priority="19566"/>
    <cfRule type="duplicateValues" dxfId="15233" priority="19567"/>
    <cfRule type="duplicateValues" dxfId="15232" priority="19568"/>
    <cfRule type="duplicateValues" dxfId="15231" priority="19569"/>
    <cfRule type="duplicateValues" dxfId="15230" priority="19570"/>
    <cfRule type="duplicateValues" dxfId="15229" priority="19571"/>
    <cfRule type="duplicateValues" dxfId="15228" priority="19572"/>
    <cfRule type="duplicateValues" dxfId="15227" priority="19573"/>
    <cfRule type="duplicateValues" dxfId="15226" priority="19574"/>
    <cfRule type="duplicateValues" dxfId="15225" priority="19575"/>
    <cfRule type="duplicateValues" dxfId="15224" priority="19576"/>
    <cfRule type="duplicateValues" dxfId="15223" priority="19577"/>
    <cfRule type="duplicateValues" dxfId="15222" priority="19578"/>
    <cfRule type="duplicateValues" dxfId="15221" priority="19579"/>
    <cfRule type="duplicateValues" dxfId="15220" priority="19580"/>
    <cfRule type="duplicateValues" dxfId="15219" priority="19581"/>
    <cfRule type="duplicateValues" dxfId="15218" priority="19582"/>
    <cfRule type="duplicateValues" dxfId="15217" priority="19583"/>
    <cfRule type="duplicateValues" dxfId="15216" priority="19584"/>
    <cfRule type="duplicateValues" dxfId="15215" priority="19585"/>
    <cfRule type="duplicateValues" dxfId="15214" priority="19586"/>
    <cfRule type="duplicateValues" dxfId="15213" priority="19587"/>
    <cfRule type="duplicateValues" dxfId="15212" priority="19588"/>
    <cfRule type="duplicateValues" dxfId="15211" priority="19589"/>
    <cfRule type="duplicateValues" dxfId="15210" priority="19590"/>
    <cfRule type="duplicateValues" dxfId="15209" priority="19591"/>
    <cfRule type="duplicateValues" dxfId="15208" priority="19592"/>
    <cfRule type="duplicateValues" dxfId="15207" priority="19593"/>
    <cfRule type="duplicateValues" dxfId="15206" priority="19594"/>
    <cfRule type="duplicateValues" dxfId="15205" priority="19595"/>
    <cfRule type="duplicateValues" dxfId="15204" priority="19596"/>
    <cfRule type="duplicateValues" dxfId="15203" priority="19597"/>
    <cfRule type="duplicateValues" dxfId="15202" priority="19598"/>
    <cfRule type="duplicateValues" dxfId="15201" priority="19599"/>
    <cfRule type="duplicateValues" dxfId="15200" priority="19600"/>
    <cfRule type="duplicateValues" dxfId="15199" priority="19601"/>
    <cfRule type="duplicateValues" dxfId="15198" priority="19602"/>
    <cfRule type="duplicateValues" dxfId="15197" priority="19603"/>
    <cfRule type="duplicateValues" dxfId="15196" priority="19604"/>
    <cfRule type="duplicateValues" dxfId="15195" priority="19605"/>
    <cfRule type="duplicateValues" dxfId="15194" priority="19606"/>
    <cfRule type="duplicateValues" dxfId="15193" priority="19607"/>
    <cfRule type="duplicateValues" dxfId="15192" priority="19608"/>
    <cfRule type="duplicateValues" dxfId="15191" priority="19609"/>
    <cfRule type="duplicateValues" dxfId="15190" priority="19610"/>
    <cfRule type="duplicateValues" dxfId="15189" priority="19611"/>
    <cfRule type="duplicateValues" dxfId="15188" priority="19612"/>
    <cfRule type="duplicateValues" dxfId="15187" priority="19613"/>
    <cfRule type="duplicateValues" dxfId="15186" priority="19614"/>
    <cfRule type="duplicateValues" dxfId="15185" priority="19615"/>
    <cfRule type="duplicateValues" dxfId="15184" priority="19616"/>
    <cfRule type="duplicateValues" dxfId="15183" priority="19617"/>
    <cfRule type="duplicateValues" dxfId="15182" priority="19618"/>
    <cfRule type="duplicateValues" dxfId="15181" priority="19619"/>
    <cfRule type="duplicateValues" dxfId="15180" priority="19620"/>
    <cfRule type="duplicateValues" dxfId="15179" priority="19621"/>
    <cfRule type="duplicateValues" dxfId="15178" priority="19622"/>
    <cfRule type="duplicateValues" dxfId="15177" priority="19623"/>
    <cfRule type="duplicateValues" dxfId="15176" priority="19624"/>
    <cfRule type="duplicateValues" dxfId="15175" priority="19625"/>
    <cfRule type="duplicateValues" dxfId="15174" priority="19626"/>
    <cfRule type="duplicateValues" dxfId="15173" priority="19627"/>
    <cfRule type="duplicateValues" dxfId="15172" priority="19628"/>
    <cfRule type="duplicateValues" dxfId="15171" priority="19629"/>
    <cfRule type="duplicateValues" dxfId="15170" priority="19630"/>
    <cfRule type="duplicateValues" dxfId="15169" priority="19631"/>
    <cfRule type="duplicateValues" dxfId="15168" priority="19632"/>
    <cfRule type="duplicateValues" dxfId="15167" priority="19633"/>
    <cfRule type="duplicateValues" dxfId="15166" priority="19634"/>
    <cfRule type="duplicateValues" dxfId="15165" priority="19635"/>
    <cfRule type="duplicateValues" dxfId="15164" priority="19636"/>
    <cfRule type="duplicateValues" dxfId="15163" priority="19637"/>
    <cfRule type="duplicateValues" dxfId="15162" priority="19638"/>
    <cfRule type="duplicateValues" dxfId="15161" priority="19639"/>
    <cfRule type="duplicateValues" dxfId="15160" priority="19640"/>
    <cfRule type="duplicateValues" dxfId="15159" priority="19641"/>
    <cfRule type="duplicateValues" dxfId="15158" priority="19642"/>
    <cfRule type="duplicateValues" dxfId="15157" priority="19643"/>
    <cfRule type="duplicateValues" dxfId="15156" priority="19644"/>
    <cfRule type="duplicateValues" dxfId="15155" priority="19645"/>
    <cfRule type="duplicateValues" dxfId="15154" priority="19646"/>
    <cfRule type="duplicateValues" dxfId="15153" priority="19647"/>
    <cfRule type="duplicateValues" dxfId="15152" priority="19648"/>
    <cfRule type="duplicateValues" dxfId="15151" priority="19649"/>
    <cfRule type="duplicateValues" dxfId="15150" priority="19650"/>
    <cfRule type="duplicateValues" dxfId="15149" priority="19651"/>
    <cfRule type="duplicateValues" dxfId="15148" priority="19652"/>
    <cfRule type="duplicateValues" dxfId="15147" priority="19653"/>
    <cfRule type="duplicateValues" dxfId="15146" priority="19654"/>
    <cfRule type="duplicateValues" dxfId="15145" priority="19655"/>
    <cfRule type="duplicateValues" dxfId="15144" priority="19656"/>
    <cfRule type="duplicateValues" dxfId="15143" priority="19657"/>
    <cfRule type="duplicateValues" dxfId="15142" priority="19658"/>
    <cfRule type="duplicateValues" dxfId="15141" priority="19659"/>
    <cfRule type="duplicateValues" dxfId="15140" priority="19660"/>
    <cfRule type="duplicateValues" dxfId="15139" priority="19661"/>
    <cfRule type="duplicateValues" dxfId="15138" priority="19662"/>
    <cfRule type="duplicateValues" dxfId="15137" priority="19663"/>
    <cfRule type="duplicateValues" dxfId="15136" priority="19664"/>
    <cfRule type="duplicateValues" dxfId="15135" priority="19665"/>
    <cfRule type="duplicateValues" dxfId="15134" priority="19666"/>
    <cfRule type="duplicateValues" dxfId="15133" priority="19667"/>
    <cfRule type="duplicateValues" dxfId="15132" priority="19668"/>
    <cfRule type="duplicateValues" dxfId="15131" priority="19669"/>
    <cfRule type="duplicateValues" dxfId="15130" priority="19670"/>
    <cfRule type="duplicateValues" dxfId="15129" priority="19671"/>
    <cfRule type="duplicateValues" dxfId="15128" priority="19672"/>
    <cfRule type="duplicateValues" dxfId="15127" priority="19673"/>
    <cfRule type="duplicateValues" dxfId="15126" priority="19674"/>
    <cfRule type="duplicateValues" dxfId="15125" priority="19675"/>
    <cfRule type="duplicateValues" dxfId="15124" priority="19676"/>
    <cfRule type="duplicateValues" dxfId="15123" priority="19677"/>
    <cfRule type="duplicateValues" dxfId="15122" priority="19678"/>
    <cfRule type="duplicateValues" dxfId="15121" priority="19679"/>
    <cfRule type="duplicateValues" dxfId="15120" priority="19680"/>
    <cfRule type="duplicateValues" dxfId="15119" priority="19681"/>
    <cfRule type="duplicateValues" dxfId="15118" priority="19682"/>
    <cfRule type="duplicateValues" dxfId="15117" priority="19683"/>
    <cfRule type="duplicateValues" dxfId="15116" priority="19684"/>
    <cfRule type="duplicateValues" dxfId="15115" priority="19685"/>
    <cfRule type="duplicateValues" dxfId="15114" priority="19686"/>
    <cfRule type="duplicateValues" dxfId="15113" priority="19687"/>
    <cfRule type="duplicateValues" dxfId="15112" priority="19688"/>
    <cfRule type="duplicateValues" dxfId="15111" priority="19689"/>
    <cfRule type="duplicateValues" dxfId="15110" priority="19690"/>
    <cfRule type="duplicateValues" dxfId="15109" priority="19691"/>
    <cfRule type="duplicateValues" dxfId="15108" priority="19692"/>
    <cfRule type="duplicateValues" dxfId="15107" priority="19693"/>
    <cfRule type="duplicateValues" dxfId="15106" priority="19694"/>
    <cfRule type="duplicateValues" dxfId="15105" priority="19695"/>
    <cfRule type="duplicateValues" dxfId="15104" priority="19696"/>
    <cfRule type="duplicateValues" dxfId="15103" priority="19697"/>
    <cfRule type="duplicateValues" dxfId="15102" priority="19698"/>
    <cfRule type="duplicateValues" dxfId="15101" priority="19699"/>
    <cfRule type="duplicateValues" dxfId="15100" priority="19700"/>
    <cfRule type="duplicateValues" dxfId="15099" priority="19701"/>
    <cfRule type="duplicateValues" dxfId="15098" priority="19702"/>
    <cfRule type="duplicateValues" dxfId="15097" priority="19703"/>
    <cfRule type="duplicateValues" dxfId="15096" priority="19704"/>
    <cfRule type="duplicateValues" dxfId="15095" priority="19705"/>
    <cfRule type="duplicateValues" dxfId="15094" priority="19706"/>
    <cfRule type="duplicateValues" dxfId="15093" priority="19707"/>
    <cfRule type="duplicateValues" dxfId="15092" priority="19708"/>
    <cfRule type="duplicateValues" dxfId="15091" priority="19709"/>
    <cfRule type="duplicateValues" dxfId="15090" priority="19710"/>
    <cfRule type="duplicateValues" dxfId="15089" priority="19711"/>
    <cfRule type="duplicateValues" dxfId="15088" priority="19712"/>
    <cfRule type="duplicateValues" dxfId="15087" priority="19713"/>
    <cfRule type="duplicateValues" dxfId="15086" priority="19714"/>
    <cfRule type="duplicateValues" dxfId="15085" priority="19715"/>
    <cfRule type="duplicateValues" dxfId="15084" priority="19716"/>
    <cfRule type="duplicateValues" dxfId="15083" priority="19717"/>
    <cfRule type="duplicateValues" dxfId="15082" priority="19718"/>
    <cfRule type="duplicateValues" dxfId="15081" priority="19719"/>
    <cfRule type="duplicateValues" dxfId="15080" priority="19720"/>
    <cfRule type="duplicateValues" dxfId="15079" priority="19721"/>
    <cfRule type="duplicateValues" dxfId="15078" priority="19722"/>
    <cfRule type="duplicateValues" dxfId="15077" priority="19723"/>
    <cfRule type="duplicateValues" dxfId="15076" priority="19724"/>
    <cfRule type="duplicateValues" dxfId="15075" priority="19725"/>
    <cfRule type="duplicateValues" dxfId="15074" priority="19726"/>
    <cfRule type="duplicateValues" dxfId="15073" priority="19727"/>
    <cfRule type="duplicateValues" dxfId="15072" priority="19728"/>
    <cfRule type="duplicateValues" dxfId="15071" priority="19729"/>
    <cfRule type="duplicateValues" dxfId="15070" priority="19730"/>
    <cfRule type="duplicateValues" dxfId="15069" priority="19731"/>
    <cfRule type="duplicateValues" dxfId="15068" priority="19732"/>
    <cfRule type="duplicateValues" dxfId="15067" priority="19733"/>
    <cfRule type="duplicateValues" dxfId="15066" priority="19734"/>
    <cfRule type="duplicateValues" dxfId="15065" priority="19735"/>
    <cfRule type="duplicateValues" dxfId="15064" priority="19736"/>
    <cfRule type="duplicateValues" dxfId="15063" priority="19737"/>
    <cfRule type="duplicateValues" dxfId="15062" priority="19738"/>
    <cfRule type="duplicateValues" dxfId="15061" priority="19739"/>
    <cfRule type="duplicateValues" dxfId="15060" priority="19740"/>
    <cfRule type="duplicateValues" dxfId="15059" priority="19741"/>
    <cfRule type="duplicateValues" dxfId="15058" priority="19742"/>
    <cfRule type="duplicateValues" dxfId="15057" priority="19743"/>
    <cfRule type="duplicateValues" dxfId="15056" priority="19744"/>
    <cfRule type="duplicateValues" dxfId="15055" priority="19745"/>
    <cfRule type="duplicateValues" dxfId="15054" priority="19746"/>
    <cfRule type="duplicateValues" dxfId="15053" priority="19747"/>
    <cfRule type="duplicateValues" dxfId="15052" priority="19748"/>
    <cfRule type="duplicateValues" dxfId="15051" priority="19749"/>
    <cfRule type="duplicateValues" dxfId="15050" priority="19750"/>
    <cfRule type="duplicateValues" dxfId="15049" priority="19751"/>
    <cfRule type="duplicateValues" dxfId="15048" priority="19752"/>
    <cfRule type="duplicateValues" dxfId="15047" priority="19753"/>
    <cfRule type="duplicateValues" dxfId="15046" priority="19754"/>
    <cfRule type="duplicateValues" dxfId="15045" priority="19755"/>
    <cfRule type="duplicateValues" dxfId="15044" priority="19756"/>
    <cfRule type="duplicateValues" dxfId="15043" priority="19757"/>
    <cfRule type="duplicateValues" dxfId="15042" priority="19758"/>
    <cfRule type="duplicateValues" dxfId="15041" priority="19759"/>
    <cfRule type="duplicateValues" dxfId="15040" priority="19760"/>
    <cfRule type="duplicateValues" dxfId="15039" priority="19761"/>
    <cfRule type="duplicateValues" dxfId="15038" priority="19762"/>
    <cfRule type="duplicateValues" dxfId="15037" priority="19763"/>
    <cfRule type="duplicateValues" dxfId="15036" priority="19764"/>
    <cfRule type="duplicateValues" dxfId="15035" priority="19765"/>
    <cfRule type="duplicateValues" dxfId="15034" priority="19766"/>
    <cfRule type="duplicateValues" dxfId="15033" priority="19767"/>
    <cfRule type="duplicateValues" dxfId="15032" priority="19768"/>
    <cfRule type="duplicateValues" dxfId="15031" priority="19769"/>
    <cfRule type="duplicateValues" dxfId="15030" priority="19770"/>
    <cfRule type="duplicateValues" dxfId="15029" priority="19771"/>
    <cfRule type="duplicateValues" dxfId="15028" priority="19772"/>
    <cfRule type="duplicateValues" dxfId="15027" priority="19773"/>
    <cfRule type="duplicateValues" dxfId="15026" priority="19774"/>
    <cfRule type="duplicateValues" dxfId="15025" priority="19775"/>
    <cfRule type="duplicateValues" dxfId="15024" priority="19776"/>
    <cfRule type="duplicateValues" dxfId="15023" priority="19777"/>
    <cfRule type="duplicateValues" dxfId="15022" priority="19778"/>
    <cfRule type="duplicateValues" dxfId="15021" priority="19779"/>
    <cfRule type="duplicateValues" dxfId="15020" priority="19780"/>
    <cfRule type="duplicateValues" dxfId="15019" priority="19781"/>
    <cfRule type="duplicateValues" dxfId="15018" priority="19782"/>
    <cfRule type="duplicateValues" dxfId="15017" priority="19783"/>
    <cfRule type="duplicateValues" dxfId="15016" priority="19784"/>
    <cfRule type="duplicateValues" dxfId="15015" priority="19785"/>
    <cfRule type="duplicateValues" dxfId="15014" priority="19786"/>
    <cfRule type="duplicateValues" dxfId="15013" priority="19787"/>
    <cfRule type="duplicateValues" dxfId="15012" priority="19788"/>
    <cfRule type="duplicateValues" dxfId="15011" priority="19789"/>
    <cfRule type="duplicateValues" dxfId="15010" priority="19790"/>
    <cfRule type="duplicateValues" dxfId="15009" priority="19791"/>
    <cfRule type="duplicateValues" dxfId="15008" priority="19792"/>
    <cfRule type="duplicateValues" dxfId="15007" priority="19793"/>
    <cfRule type="duplicateValues" dxfId="15006" priority="19794"/>
    <cfRule type="duplicateValues" dxfId="15005" priority="19795"/>
    <cfRule type="duplicateValues" dxfId="15004" priority="19796"/>
    <cfRule type="duplicateValues" dxfId="15003" priority="19797"/>
    <cfRule type="duplicateValues" dxfId="15002" priority="19798"/>
    <cfRule type="duplicateValues" dxfId="15001" priority="19799"/>
    <cfRule type="duplicateValues" dxfId="15000" priority="19800"/>
    <cfRule type="duplicateValues" dxfId="14999" priority="19801"/>
    <cfRule type="duplicateValues" dxfId="14998" priority="19802"/>
    <cfRule type="duplicateValues" dxfId="14997" priority="19803"/>
    <cfRule type="duplicateValues" dxfId="14996" priority="19804"/>
    <cfRule type="duplicateValues" dxfId="14995" priority="19805"/>
    <cfRule type="duplicateValues" dxfId="14994" priority="19806"/>
    <cfRule type="duplicateValues" dxfId="14993" priority="19807"/>
    <cfRule type="duplicateValues" dxfId="14992" priority="19808"/>
    <cfRule type="duplicateValues" dxfId="14991" priority="19809"/>
    <cfRule type="duplicateValues" dxfId="14990" priority="19810"/>
    <cfRule type="duplicateValues" dxfId="14989" priority="19811"/>
    <cfRule type="duplicateValues" dxfId="14988" priority="19812"/>
    <cfRule type="duplicateValues" dxfId="14987" priority="19813"/>
    <cfRule type="duplicateValues" dxfId="14986" priority="19814"/>
    <cfRule type="duplicateValues" dxfId="14985" priority="19815"/>
    <cfRule type="duplicateValues" dxfId="14984" priority="19816"/>
    <cfRule type="duplicateValues" dxfId="14983" priority="19817"/>
    <cfRule type="duplicateValues" dxfId="14982" priority="19818"/>
    <cfRule type="duplicateValues" dxfId="14981" priority="19819"/>
    <cfRule type="duplicateValues" dxfId="14980" priority="19820"/>
    <cfRule type="duplicateValues" dxfId="14979" priority="19821"/>
    <cfRule type="duplicateValues" dxfId="14978" priority="19822"/>
    <cfRule type="duplicateValues" dxfId="14977" priority="19823"/>
    <cfRule type="duplicateValues" dxfId="14976" priority="19824"/>
    <cfRule type="duplicateValues" dxfId="14975" priority="19825"/>
    <cfRule type="duplicateValues" dxfId="14974" priority="19826"/>
    <cfRule type="duplicateValues" dxfId="14973" priority="19827"/>
    <cfRule type="duplicateValues" dxfId="14972" priority="19828"/>
    <cfRule type="duplicateValues" dxfId="14971" priority="19829"/>
    <cfRule type="duplicateValues" dxfId="14970" priority="19830"/>
    <cfRule type="duplicateValues" dxfId="14969" priority="19831"/>
    <cfRule type="duplicateValues" dxfId="14968" priority="19832"/>
    <cfRule type="duplicateValues" dxfId="14967" priority="19833"/>
    <cfRule type="duplicateValues" dxfId="14966" priority="19834"/>
    <cfRule type="duplicateValues" dxfId="14965" priority="19835"/>
    <cfRule type="duplicateValues" dxfId="14964" priority="19836"/>
    <cfRule type="duplicateValues" dxfId="14963" priority="19837"/>
    <cfRule type="duplicateValues" dxfId="14962" priority="19838"/>
    <cfRule type="duplicateValues" dxfId="14961" priority="19839"/>
    <cfRule type="duplicateValues" dxfId="14960" priority="19840"/>
    <cfRule type="duplicateValues" dxfId="14959" priority="19841"/>
  </conditionalFormatting>
  <conditionalFormatting sqref="C247:C425">
    <cfRule type="duplicateValues" dxfId="14958" priority="842"/>
    <cfRule type="duplicateValues" dxfId="14957" priority="843"/>
    <cfRule type="duplicateValues" dxfId="14956" priority="844"/>
    <cfRule type="duplicateValues" dxfId="14955" priority="845"/>
    <cfRule type="duplicateValues" dxfId="14954" priority="846"/>
    <cfRule type="duplicateValues" dxfId="14953" priority="847"/>
    <cfRule type="duplicateValues" dxfId="14952" priority="848"/>
    <cfRule type="duplicateValues" dxfId="14951" priority="849"/>
    <cfRule type="duplicateValues" dxfId="14950" priority="850"/>
    <cfRule type="duplicateValues" dxfId="14949" priority="851"/>
    <cfRule type="duplicateValues" dxfId="14948" priority="852"/>
    <cfRule type="duplicateValues" dxfId="14947" priority="853"/>
    <cfRule type="duplicateValues" dxfId="14946" priority="854"/>
    <cfRule type="duplicateValues" dxfId="14945" priority="855"/>
    <cfRule type="duplicateValues" dxfId="14944" priority="856"/>
    <cfRule type="duplicateValues" dxfId="14943" priority="857"/>
    <cfRule type="duplicateValues" dxfId="14942" priority="858"/>
    <cfRule type="duplicateValues" dxfId="14941" priority="859"/>
  </conditionalFormatting>
  <conditionalFormatting sqref="C248">
    <cfRule type="duplicateValues" dxfId="14940" priority="19152"/>
    <cfRule type="duplicateValues" dxfId="14939" priority="19153"/>
    <cfRule type="duplicateValues" dxfId="14938" priority="19154"/>
    <cfRule type="duplicateValues" dxfId="14937" priority="19155"/>
    <cfRule type="duplicateValues" dxfId="14936" priority="19156"/>
    <cfRule type="duplicateValues" dxfId="14935" priority="19157"/>
    <cfRule type="duplicateValues" dxfId="14934" priority="19158"/>
    <cfRule type="duplicateValues" dxfId="14933" priority="19159"/>
    <cfRule type="duplicateValues" dxfId="14932" priority="19160"/>
    <cfRule type="duplicateValues" dxfId="14931" priority="19161"/>
    <cfRule type="duplicateValues" dxfId="14930" priority="19162"/>
    <cfRule type="duplicateValues" dxfId="14929" priority="19163"/>
    <cfRule type="duplicateValues" dxfId="14928" priority="19164"/>
    <cfRule type="duplicateValues" dxfId="14927" priority="19165"/>
    <cfRule type="duplicateValues" dxfId="14926" priority="19166"/>
    <cfRule type="duplicateValues" dxfId="14925" priority="19167"/>
    <cfRule type="duplicateValues" dxfId="14924" priority="19168"/>
    <cfRule type="duplicateValues" dxfId="14923" priority="19169"/>
    <cfRule type="duplicateValues" dxfId="14922" priority="19170"/>
    <cfRule type="duplicateValues" dxfId="14921" priority="19171"/>
    <cfRule type="duplicateValues" dxfId="14920" priority="19172"/>
    <cfRule type="duplicateValues" dxfId="14919" priority="19173"/>
    <cfRule type="duplicateValues" dxfId="14918" priority="19174"/>
    <cfRule type="duplicateValues" dxfId="14917" priority="19175"/>
    <cfRule type="duplicateValues" dxfId="14916" priority="19176"/>
    <cfRule type="duplicateValues" dxfId="14915" priority="19177"/>
    <cfRule type="duplicateValues" dxfId="14914" priority="19178"/>
    <cfRule type="duplicateValues" dxfId="14913" priority="19179"/>
    <cfRule type="duplicateValues" dxfId="14912" priority="19180"/>
    <cfRule type="duplicateValues" dxfId="14911" priority="19181"/>
    <cfRule type="duplicateValues" dxfId="14910" priority="19182"/>
    <cfRule type="duplicateValues" dxfId="14909" priority="19183"/>
    <cfRule type="duplicateValues" dxfId="14908" priority="19184"/>
    <cfRule type="duplicateValues" dxfId="14907" priority="19185"/>
    <cfRule type="duplicateValues" dxfId="14906" priority="19186"/>
    <cfRule type="duplicateValues" dxfId="14905" priority="19187"/>
    <cfRule type="duplicateValues" dxfId="14904" priority="19188"/>
    <cfRule type="duplicateValues" dxfId="14903" priority="19189"/>
    <cfRule type="duplicateValues" dxfId="14902" priority="19190"/>
    <cfRule type="duplicateValues" dxfId="14901" priority="19191"/>
    <cfRule type="duplicateValues" dxfId="14900" priority="19192"/>
    <cfRule type="duplicateValues" dxfId="14899" priority="19193"/>
    <cfRule type="duplicateValues" dxfId="14898" priority="19194"/>
    <cfRule type="duplicateValues" dxfId="14897" priority="19195"/>
    <cfRule type="duplicateValues" dxfId="14896" priority="19196"/>
    <cfRule type="duplicateValues" dxfId="14895" priority="19197"/>
    <cfRule type="duplicateValues" dxfId="14894" priority="19198"/>
    <cfRule type="duplicateValues" dxfId="14893" priority="19199"/>
    <cfRule type="duplicateValues" dxfId="14892" priority="19200"/>
    <cfRule type="duplicateValues" dxfId="14891" priority="19201"/>
    <cfRule type="duplicateValues" dxfId="14890" priority="19202"/>
    <cfRule type="duplicateValues" dxfId="14889" priority="19203"/>
    <cfRule type="duplicateValues" dxfId="14888" priority="19204"/>
    <cfRule type="duplicateValues" dxfId="14887" priority="19205"/>
    <cfRule type="duplicateValues" dxfId="14886" priority="19206"/>
    <cfRule type="duplicateValues" dxfId="14885" priority="19207"/>
    <cfRule type="duplicateValues" dxfId="14884" priority="19208"/>
    <cfRule type="duplicateValues" dxfId="14883" priority="19209"/>
    <cfRule type="duplicateValues" dxfId="14882" priority="19210"/>
    <cfRule type="duplicateValues" dxfId="14881" priority="19211"/>
    <cfRule type="duplicateValues" dxfId="14880" priority="19212"/>
    <cfRule type="duplicateValues" dxfId="14879" priority="19213"/>
    <cfRule type="duplicateValues" dxfId="14878" priority="19214"/>
    <cfRule type="duplicateValues" dxfId="14877" priority="19215"/>
    <cfRule type="duplicateValues" dxfId="14876" priority="19216"/>
    <cfRule type="duplicateValues" dxfId="14875" priority="19217"/>
    <cfRule type="duplicateValues" dxfId="14874" priority="19218"/>
    <cfRule type="duplicateValues" dxfId="14873" priority="19219"/>
    <cfRule type="duplicateValues" dxfId="14872" priority="19220"/>
    <cfRule type="duplicateValues" dxfId="14871" priority="19221"/>
    <cfRule type="duplicateValues" dxfId="14870" priority="19222"/>
    <cfRule type="duplicateValues" dxfId="14869" priority="19223"/>
    <cfRule type="duplicateValues" dxfId="14868" priority="19224"/>
    <cfRule type="duplicateValues" dxfId="14867" priority="19225"/>
    <cfRule type="duplicateValues" dxfId="14866" priority="19226"/>
    <cfRule type="duplicateValues" dxfId="14865" priority="19227"/>
    <cfRule type="duplicateValues" dxfId="14864" priority="19228"/>
    <cfRule type="duplicateValues" dxfId="14863" priority="19229"/>
    <cfRule type="duplicateValues" dxfId="14862" priority="19230"/>
    <cfRule type="duplicateValues" dxfId="14861" priority="19231"/>
    <cfRule type="duplicateValues" dxfId="14860" priority="19232"/>
    <cfRule type="duplicateValues" dxfId="14859" priority="19233"/>
    <cfRule type="duplicateValues" dxfId="14858" priority="19234"/>
    <cfRule type="duplicateValues" dxfId="14857" priority="19235"/>
    <cfRule type="duplicateValues" dxfId="14856" priority="19236"/>
    <cfRule type="duplicateValues" dxfId="14855" priority="19237"/>
    <cfRule type="duplicateValues" dxfId="14854" priority="19238"/>
    <cfRule type="duplicateValues" dxfId="14853" priority="19239"/>
    <cfRule type="duplicateValues" dxfId="14852" priority="19240"/>
    <cfRule type="duplicateValues" dxfId="14851" priority="19241"/>
    <cfRule type="duplicateValues" dxfId="14850" priority="19242"/>
    <cfRule type="duplicateValues" dxfId="14849" priority="19243"/>
    <cfRule type="duplicateValues" dxfId="14848" priority="19244"/>
    <cfRule type="duplicateValues" dxfId="14847" priority="19245"/>
    <cfRule type="duplicateValues" dxfId="14846" priority="19246"/>
    <cfRule type="duplicateValues" dxfId="14845" priority="19247"/>
    <cfRule type="duplicateValues" dxfId="14844" priority="19248"/>
    <cfRule type="duplicateValues" dxfId="14843" priority="19249"/>
    <cfRule type="duplicateValues" dxfId="14842" priority="19250"/>
    <cfRule type="duplicateValues" dxfId="14841" priority="19251"/>
    <cfRule type="duplicateValues" dxfId="14840" priority="19252"/>
    <cfRule type="duplicateValues" dxfId="14839" priority="19253"/>
    <cfRule type="duplicateValues" dxfId="14838" priority="19254"/>
    <cfRule type="duplicateValues" dxfId="14837" priority="19255"/>
    <cfRule type="duplicateValues" dxfId="14836" priority="19256"/>
    <cfRule type="duplicateValues" dxfId="14835" priority="19257"/>
    <cfRule type="duplicateValues" dxfId="14834" priority="19258"/>
    <cfRule type="duplicateValues" dxfId="14833" priority="19259"/>
    <cfRule type="duplicateValues" dxfId="14832" priority="19260"/>
    <cfRule type="duplicateValues" dxfId="14831" priority="19261"/>
    <cfRule type="duplicateValues" dxfId="14830" priority="19262"/>
    <cfRule type="duplicateValues" dxfId="14829" priority="19263"/>
    <cfRule type="duplicateValues" dxfId="14828" priority="19264"/>
    <cfRule type="duplicateValues" dxfId="14827" priority="19265"/>
    <cfRule type="duplicateValues" dxfId="14826" priority="19266"/>
    <cfRule type="duplicateValues" dxfId="14825" priority="19267"/>
    <cfRule type="duplicateValues" dxfId="14824" priority="19268"/>
    <cfRule type="duplicateValues" dxfId="14823" priority="19269"/>
    <cfRule type="duplicateValues" dxfId="14822" priority="19270"/>
    <cfRule type="duplicateValues" dxfId="14821" priority="19271"/>
    <cfRule type="duplicateValues" dxfId="14820" priority="19272"/>
    <cfRule type="duplicateValues" dxfId="14819" priority="19273"/>
    <cfRule type="duplicateValues" dxfId="14818" priority="19274"/>
    <cfRule type="duplicateValues" dxfId="14817" priority="19275"/>
    <cfRule type="duplicateValues" dxfId="14816" priority="19276"/>
    <cfRule type="duplicateValues" dxfId="14815" priority="19277"/>
    <cfRule type="duplicateValues" dxfId="14814" priority="19278"/>
    <cfRule type="duplicateValues" dxfId="14813" priority="19279"/>
    <cfRule type="duplicateValues" dxfId="14812" priority="19280"/>
    <cfRule type="duplicateValues" dxfId="14811" priority="19281"/>
    <cfRule type="duplicateValues" dxfId="14810" priority="19282"/>
    <cfRule type="duplicateValues" dxfId="14809" priority="19283"/>
    <cfRule type="duplicateValues" dxfId="14808" priority="19284"/>
    <cfRule type="duplicateValues" dxfId="14807" priority="19285"/>
    <cfRule type="duplicateValues" dxfId="14806" priority="19286"/>
    <cfRule type="duplicateValues" dxfId="14805" priority="19287"/>
    <cfRule type="duplicateValues" dxfId="14804" priority="19288"/>
    <cfRule type="duplicateValues" dxfId="14803" priority="19289"/>
    <cfRule type="duplicateValues" dxfId="14802" priority="19290"/>
    <cfRule type="duplicateValues" dxfId="14801" priority="19291"/>
    <cfRule type="duplicateValues" dxfId="14800" priority="19292"/>
    <cfRule type="duplicateValues" dxfId="14799" priority="19293"/>
    <cfRule type="duplicateValues" dxfId="14798" priority="19294"/>
    <cfRule type="duplicateValues" dxfId="14797" priority="19295"/>
    <cfRule type="duplicateValues" dxfId="14796" priority="19296"/>
    <cfRule type="duplicateValues" dxfId="14795" priority="19297"/>
    <cfRule type="duplicateValues" dxfId="14794" priority="19298"/>
    <cfRule type="duplicateValues" dxfId="14793" priority="19299"/>
    <cfRule type="duplicateValues" dxfId="14792" priority="19300"/>
    <cfRule type="duplicateValues" dxfId="14791" priority="19301"/>
    <cfRule type="duplicateValues" dxfId="14790" priority="19302"/>
    <cfRule type="duplicateValues" dxfId="14789" priority="19303"/>
    <cfRule type="duplicateValues" dxfId="14788" priority="19304"/>
    <cfRule type="duplicateValues" dxfId="14787" priority="19305"/>
    <cfRule type="duplicateValues" dxfId="14786" priority="19306"/>
    <cfRule type="duplicateValues" dxfId="14785" priority="19307"/>
    <cfRule type="duplicateValues" dxfId="14784" priority="19308"/>
    <cfRule type="duplicateValues" dxfId="14783" priority="19309"/>
    <cfRule type="duplicateValues" dxfId="14782" priority="19310"/>
    <cfRule type="duplicateValues" dxfId="14781" priority="19311"/>
    <cfRule type="duplicateValues" dxfId="14780" priority="19312"/>
    <cfRule type="duplicateValues" dxfId="14779" priority="19313"/>
    <cfRule type="duplicateValues" dxfId="14778" priority="19314"/>
    <cfRule type="duplicateValues" dxfId="14777" priority="19315"/>
    <cfRule type="duplicateValues" dxfId="14776" priority="19316"/>
    <cfRule type="duplicateValues" dxfId="14775" priority="19317"/>
    <cfRule type="duplicateValues" dxfId="14774" priority="19318"/>
    <cfRule type="duplicateValues" dxfId="14773" priority="19319"/>
    <cfRule type="duplicateValues" dxfId="14772" priority="19320"/>
    <cfRule type="duplicateValues" dxfId="14771" priority="19321"/>
    <cfRule type="duplicateValues" dxfId="14770" priority="19322"/>
    <cfRule type="duplicateValues" dxfId="14769" priority="19323"/>
    <cfRule type="duplicateValues" dxfId="14768" priority="19324"/>
    <cfRule type="duplicateValues" dxfId="14767" priority="19325"/>
    <cfRule type="duplicateValues" dxfId="14766" priority="19326"/>
    <cfRule type="duplicateValues" dxfId="14765" priority="19327"/>
    <cfRule type="duplicateValues" dxfId="14764" priority="19328"/>
    <cfRule type="duplicateValues" dxfId="14763" priority="19329"/>
    <cfRule type="duplicateValues" dxfId="14762" priority="19330"/>
    <cfRule type="duplicateValues" dxfId="14761" priority="19331"/>
    <cfRule type="duplicateValues" dxfId="14760" priority="19332"/>
    <cfRule type="duplicateValues" dxfId="14759" priority="19333"/>
    <cfRule type="duplicateValues" dxfId="14758" priority="19334"/>
    <cfRule type="duplicateValues" dxfId="14757" priority="19335"/>
    <cfRule type="duplicateValues" dxfId="14756" priority="19336"/>
    <cfRule type="duplicateValues" dxfId="14755" priority="19337"/>
    <cfRule type="duplicateValues" dxfId="14754" priority="19338"/>
    <cfRule type="duplicateValues" dxfId="14753" priority="19339"/>
    <cfRule type="duplicateValues" dxfId="14752" priority="19340"/>
    <cfRule type="duplicateValues" dxfId="14751" priority="19341"/>
    <cfRule type="duplicateValues" dxfId="14750" priority="19342"/>
    <cfRule type="duplicateValues" dxfId="14749" priority="19343"/>
    <cfRule type="duplicateValues" dxfId="14748" priority="19344"/>
    <cfRule type="duplicateValues" dxfId="14747" priority="19345"/>
    <cfRule type="duplicateValues" dxfId="14746" priority="19346"/>
    <cfRule type="duplicateValues" dxfId="14745" priority="19347"/>
    <cfRule type="duplicateValues" dxfId="14744" priority="19348"/>
    <cfRule type="duplicateValues" dxfId="14743" priority="19349"/>
    <cfRule type="duplicateValues" dxfId="14742" priority="19350"/>
    <cfRule type="duplicateValues" dxfId="14741" priority="19351"/>
    <cfRule type="duplicateValues" dxfId="14740" priority="19352"/>
    <cfRule type="duplicateValues" dxfId="14739" priority="19353"/>
    <cfRule type="duplicateValues" dxfId="14738" priority="19354"/>
    <cfRule type="duplicateValues" dxfId="14737" priority="19355"/>
    <cfRule type="duplicateValues" dxfId="14736" priority="19356"/>
    <cfRule type="duplicateValues" dxfId="14735" priority="19357"/>
    <cfRule type="duplicateValues" dxfId="14734" priority="19358"/>
    <cfRule type="duplicateValues" dxfId="14733" priority="19359"/>
    <cfRule type="duplicateValues" dxfId="14732" priority="19360"/>
    <cfRule type="duplicateValues" dxfId="14731" priority="19361"/>
    <cfRule type="duplicateValues" dxfId="14730" priority="19362"/>
    <cfRule type="duplicateValues" dxfId="14729" priority="19363"/>
    <cfRule type="duplicateValues" dxfId="14728" priority="19364"/>
    <cfRule type="duplicateValues" dxfId="14727" priority="19365"/>
    <cfRule type="duplicateValues" dxfId="14726" priority="19366"/>
    <cfRule type="duplicateValues" dxfId="14725" priority="19367"/>
    <cfRule type="duplicateValues" dxfId="14724" priority="19368"/>
    <cfRule type="duplicateValues" dxfId="14723" priority="19369"/>
    <cfRule type="duplicateValues" dxfId="14722" priority="19370"/>
    <cfRule type="duplicateValues" dxfId="14721" priority="19371"/>
    <cfRule type="duplicateValues" dxfId="14720" priority="19372"/>
    <cfRule type="duplicateValues" dxfId="14719" priority="19373"/>
    <cfRule type="duplicateValues" dxfId="14718" priority="19374"/>
    <cfRule type="duplicateValues" dxfId="14717" priority="19375"/>
    <cfRule type="duplicateValues" dxfId="14716" priority="19376"/>
    <cfRule type="duplicateValues" dxfId="14715" priority="19377"/>
    <cfRule type="duplicateValues" dxfId="14714" priority="19378"/>
    <cfRule type="duplicateValues" dxfId="14713" priority="19379"/>
    <cfRule type="duplicateValues" dxfId="14712" priority="19380"/>
    <cfRule type="duplicateValues" dxfId="14711" priority="19381"/>
    <cfRule type="duplicateValues" dxfId="14710" priority="19382"/>
    <cfRule type="duplicateValues" dxfId="14709" priority="19383"/>
    <cfRule type="duplicateValues" dxfId="14708" priority="19384"/>
    <cfRule type="duplicateValues" dxfId="14707" priority="19385"/>
    <cfRule type="duplicateValues" dxfId="14706" priority="19386"/>
    <cfRule type="duplicateValues" dxfId="14705" priority="19387"/>
    <cfRule type="duplicateValues" dxfId="14704" priority="19388"/>
    <cfRule type="duplicateValues" dxfId="14703" priority="19389"/>
    <cfRule type="duplicateValues" dxfId="14702" priority="19390"/>
    <cfRule type="duplicateValues" dxfId="14701" priority="19391"/>
    <cfRule type="duplicateValues" dxfId="14700" priority="19392"/>
    <cfRule type="duplicateValues" dxfId="14699" priority="19393"/>
    <cfRule type="duplicateValues" dxfId="14698" priority="19394"/>
    <cfRule type="duplicateValues" dxfId="14697" priority="19395"/>
    <cfRule type="duplicateValues" dxfId="14696" priority="19396"/>
    <cfRule type="duplicateValues" dxfId="14695" priority="19397"/>
    <cfRule type="duplicateValues" dxfId="14694" priority="19398"/>
    <cfRule type="duplicateValues" dxfId="14693" priority="19399"/>
    <cfRule type="duplicateValues" dxfId="14692" priority="19400"/>
    <cfRule type="duplicateValues" dxfId="14691" priority="19401"/>
    <cfRule type="duplicateValues" dxfId="14690" priority="19402"/>
    <cfRule type="duplicateValues" dxfId="14689" priority="19403"/>
    <cfRule type="duplicateValues" dxfId="14688" priority="19404"/>
    <cfRule type="duplicateValues" dxfId="14687" priority="19405"/>
    <cfRule type="duplicateValues" dxfId="14686" priority="19406"/>
    <cfRule type="duplicateValues" dxfId="14685" priority="19407"/>
    <cfRule type="duplicateValues" dxfId="14684" priority="19408"/>
    <cfRule type="duplicateValues" dxfId="14683" priority="19409"/>
    <cfRule type="duplicateValues" dxfId="14682" priority="19410"/>
    <cfRule type="duplicateValues" dxfId="14681" priority="19411"/>
    <cfRule type="duplicateValues" dxfId="14680" priority="19412"/>
    <cfRule type="duplicateValues" dxfId="14679" priority="19413"/>
    <cfRule type="duplicateValues" dxfId="14678" priority="19414"/>
    <cfRule type="duplicateValues" dxfId="14677" priority="19415"/>
    <cfRule type="duplicateValues" dxfId="14676" priority="19416"/>
    <cfRule type="duplicateValues" dxfId="14675" priority="19417"/>
    <cfRule type="duplicateValues" dxfId="14674" priority="19418"/>
    <cfRule type="duplicateValues" dxfId="14673" priority="19419"/>
    <cfRule type="duplicateValues" dxfId="14672" priority="19420"/>
    <cfRule type="duplicateValues" dxfId="14671" priority="19421"/>
    <cfRule type="duplicateValues" dxfId="14670" priority="19422"/>
    <cfRule type="duplicateValues" dxfId="14669" priority="19423"/>
    <cfRule type="duplicateValues" dxfId="14668" priority="19424"/>
    <cfRule type="duplicateValues" dxfId="14667" priority="19425"/>
    <cfRule type="duplicateValues" dxfId="14666" priority="19426"/>
    <cfRule type="duplicateValues" dxfId="14665" priority="19427"/>
    <cfRule type="duplicateValues" dxfId="14664" priority="19428"/>
    <cfRule type="duplicateValues" dxfId="14663" priority="19429"/>
    <cfRule type="duplicateValues" dxfId="14662" priority="19430"/>
    <cfRule type="duplicateValues" dxfId="14661" priority="19431"/>
    <cfRule type="duplicateValues" dxfId="14660" priority="19432"/>
    <cfRule type="duplicateValues" dxfId="14659" priority="19433"/>
    <cfRule type="duplicateValues" dxfId="14658" priority="19434"/>
    <cfRule type="duplicateValues" dxfId="14657" priority="19435"/>
    <cfRule type="duplicateValues" dxfId="14656" priority="19436"/>
    <cfRule type="duplicateValues" dxfId="14655" priority="19437"/>
    <cfRule type="duplicateValues" dxfId="14654" priority="19438"/>
    <cfRule type="duplicateValues" dxfId="14653" priority="19439"/>
    <cfRule type="duplicateValues" dxfId="14652" priority="19440"/>
    <cfRule type="duplicateValues" dxfId="14651" priority="19441"/>
    <cfRule type="duplicateValues" dxfId="14650" priority="19442"/>
    <cfRule type="duplicateValues" dxfId="14649" priority="19443"/>
    <cfRule type="duplicateValues" dxfId="14648" priority="19444"/>
    <cfRule type="duplicateValues" dxfId="14647" priority="19445"/>
    <cfRule type="duplicateValues" dxfId="14646" priority="19446"/>
    <cfRule type="duplicateValues" dxfId="14645" priority="19447"/>
    <cfRule type="duplicateValues" dxfId="14644" priority="19448"/>
    <cfRule type="duplicateValues" dxfId="14643" priority="19449"/>
    <cfRule type="duplicateValues" dxfId="14642" priority="19450"/>
    <cfRule type="duplicateValues" dxfId="14641" priority="19451"/>
    <cfRule type="duplicateValues" dxfId="14640" priority="19452"/>
    <cfRule type="duplicateValues" dxfId="14639" priority="19453"/>
    <cfRule type="duplicateValues" dxfId="14638" priority="19454"/>
    <cfRule type="duplicateValues" dxfId="14637" priority="19455"/>
    <cfRule type="duplicateValues" dxfId="14636" priority="19456"/>
    <cfRule type="duplicateValues" dxfId="14635" priority="19457"/>
    <cfRule type="duplicateValues" dxfId="14634" priority="19458"/>
    <cfRule type="duplicateValues" dxfId="14633" priority="19459"/>
    <cfRule type="duplicateValues" dxfId="14632" priority="19460"/>
    <cfRule type="duplicateValues" dxfId="14631" priority="19461"/>
    <cfRule type="duplicateValues" dxfId="14630" priority="19462"/>
    <cfRule type="duplicateValues" dxfId="14629" priority="19463"/>
    <cfRule type="duplicateValues" dxfId="14628" priority="19464"/>
    <cfRule type="duplicateValues" dxfId="14627" priority="19465"/>
    <cfRule type="duplicateValues" dxfId="14626" priority="19466"/>
    <cfRule type="duplicateValues" dxfId="14625" priority="19467"/>
    <cfRule type="duplicateValues" dxfId="14624" priority="19468"/>
    <cfRule type="duplicateValues" dxfId="14623" priority="19469"/>
    <cfRule type="duplicateValues" dxfId="14622" priority="19470"/>
    <cfRule type="duplicateValues" dxfId="14621" priority="19471"/>
    <cfRule type="duplicateValues" dxfId="14620" priority="19472"/>
    <cfRule type="duplicateValues" dxfId="14619" priority="19473"/>
    <cfRule type="duplicateValues" dxfId="14618" priority="19474"/>
    <cfRule type="duplicateValues" dxfId="14617" priority="19475"/>
    <cfRule type="duplicateValues" dxfId="14616" priority="19476"/>
    <cfRule type="duplicateValues" dxfId="14615" priority="19477"/>
    <cfRule type="duplicateValues" dxfId="14614" priority="19478"/>
    <cfRule type="duplicateValues" dxfId="14613" priority="19479"/>
    <cfRule type="duplicateValues" dxfId="14612" priority="19480"/>
    <cfRule type="duplicateValues" dxfId="14611" priority="19481"/>
    <cfRule type="duplicateValues" dxfId="14610" priority="19482"/>
    <cfRule type="duplicateValues" dxfId="14609" priority="19483"/>
    <cfRule type="duplicateValues" dxfId="14608" priority="19484"/>
    <cfRule type="duplicateValues" dxfId="14607" priority="19485"/>
    <cfRule type="duplicateValues" dxfId="14606" priority="19486"/>
    <cfRule type="duplicateValues" dxfId="14605" priority="19487"/>
    <cfRule type="duplicateValues" dxfId="14604" priority="19488"/>
    <cfRule type="duplicateValues" dxfId="14603" priority="19489"/>
    <cfRule type="duplicateValues" dxfId="14602" priority="19490"/>
    <cfRule type="duplicateValues" dxfId="14601" priority="19491"/>
    <cfRule type="duplicateValues" dxfId="14600" priority="19492"/>
    <cfRule type="duplicateValues" dxfId="14599" priority="19493"/>
    <cfRule type="duplicateValues" dxfId="14598" priority="19494"/>
    <cfRule type="duplicateValues" dxfId="14597" priority="19495"/>
    <cfRule type="duplicateValues" dxfId="14596" priority="19496"/>
  </conditionalFormatting>
  <conditionalFormatting sqref="C249">
    <cfRule type="duplicateValues" dxfId="14595" priority="18807"/>
    <cfRule type="duplicateValues" dxfId="14594" priority="18808"/>
    <cfRule type="duplicateValues" dxfId="14593" priority="18809"/>
    <cfRule type="duplicateValues" dxfId="14592" priority="18810"/>
    <cfRule type="duplicateValues" dxfId="14591" priority="18811"/>
    <cfRule type="duplicateValues" dxfId="14590" priority="18812"/>
    <cfRule type="duplicateValues" dxfId="14589" priority="18813"/>
    <cfRule type="duplicateValues" dxfId="14588" priority="18814"/>
    <cfRule type="duplicateValues" dxfId="14587" priority="18815"/>
    <cfRule type="duplicateValues" dxfId="14586" priority="18816"/>
    <cfRule type="duplicateValues" dxfId="14585" priority="18817"/>
    <cfRule type="duplicateValues" dxfId="14584" priority="18818"/>
    <cfRule type="duplicateValues" dxfId="14583" priority="18819"/>
    <cfRule type="duplicateValues" dxfId="14582" priority="18820"/>
    <cfRule type="duplicateValues" dxfId="14581" priority="18821"/>
    <cfRule type="duplicateValues" dxfId="14580" priority="18822"/>
    <cfRule type="duplicateValues" dxfId="14579" priority="18823"/>
    <cfRule type="duplicateValues" dxfId="14578" priority="18824"/>
    <cfRule type="duplicateValues" dxfId="14577" priority="18825"/>
    <cfRule type="duplicateValues" dxfId="14576" priority="18826"/>
    <cfRule type="duplicateValues" dxfId="14575" priority="18827"/>
    <cfRule type="duplicateValues" dxfId="14574" priority="18828"/>
    <cfRule type="duplicateValues" dxfId="14573" priority="18829"/>
    <cfRule type="duplicateValues" dxfId="14572" priority="18830"/>
    <cfRule type="duplicateValues" dxfId="14571" priority="18831"/>
    <cfRule type="duplicateValues" dxfId="14570" priority="18832"/>
    <cfRule type="duplicateValues" dxfId="14569" priority="18833"/>
    <cfRule type="duplicateValues" dxfId="14568" priority="18834"/>
    <cfRule type="duplicateValues" dxfId="14567" priority="18835"/>
    <cfRule type="duplicateValues" dxfId="14566" priority="18836"/>
    <cfRule type="duplicateValues" dxfId="14565" priority="18837"/>
    <cfRule type="duplicateValues" dxfId="14564" priority="18838"/>
    <cfRule type="duplicateValues" dxfId="14563" priority="18839"/>
    <cfRule type="duplicateValues" dxfId="14562" priority="18840"/>
    <cfRule type="duplicateValues" dxfId="14561" priority="18841"/>
    <cfRule type="duplicateValues" dxfId="14560" priority="18842"/>
    <cfRule type="duplicateValues" dxfId="14559" priority="18843"/>
    <cfRule type="duplicateValues" dxfId="14558" priority="18844"/>
    <cfRule type="duplicateValues" dxfId="14557" priority="18845"/>
    <cfRule type="duplicateValues" dxfId="14556" priority="18846"/>
    <cfRule type="duplicateValues" dxfId="14555" priority="18847"/>
    <cfRule type="duplicateValues" dxfId="14554" priority="18848"/>
    <cfRule type="duplicateValues" dxfId="14553" priority="18849"/>
    <cfRule type="duplicateValues" dxfId="14552" priority="18850"/>
    <cfRule type="duplicateValues" dxfId="14551" priority="18851"/>
    <cfRule type="duplicateValues" dxfId="14550" priority="18852"/>
    <cfRule type="duplicateValues" dxfId="14549" priority="18853"/>
    <cfRule type="duplicateValues" dxfId="14548" priority="18854"/>
    <cfRule type="duplicateValues" dxfId="14547" priority="18855"/>
    <cfRule type="duplicateValues" dxfId="14546" priority="18856"/>
    <cfRule type="duplicateValues" dxfId="14545" priority="18857"/>
    <cfRule type="duplicateValues" dxfId="14544" priority="18858"/>
    <cfRule type="duplicateValues" dxfId="14543" priority="18859"/>
    <cfRule type="duplicateValues" dxfId="14542" priority="18860"/>
    <cfRule type="duplicateValues" dxfId="14541" priority="18861"/>
    <cfRule type="duplicateValues" dxfId="14540" priority="18862"/>
    <cfRule type="duplicateValues" dxfId="14539" priority="18863"/>
    <cfRule type="duplicateValues" dxfId="14538" priority="18864"/>
    <cfRule type="duplicateValues" dxfId="14537" priority="18865"/>
    <cfRule type="duplicateValues" dxfId="14536" priority="18866"/>
    <cfRule type="duplicateValues" dxfId="14535" priority="18867"/>
    <cfRule type="duplicateValues" dxfId="14534" priority="18868"/>
    <cfRule type="duplicateValues" dxfId="14533" priority="18869"/>
    <cfRule type="duplicateValues" dxfId="14532" priority="18870"/>
    <cfRule type="duplicateValues" dxfId="14531" priority="18871"/>
    <cfRule type="duplicateValues" dxfId="14530" priority="18872"/>
    <cfRule type="duplicateValues" dxfId="14529" priority="18873"/>
    <cfRule type="duplicateValues" dxfId="14528" priority="18874"/>
    <cfRule type="duplicateValues" dxfId="14527" priority="18875"/>
    <cfRule type="duplicateValues" dxfId="14526" priority="18876"/>
    <cfRule type="duplicateValues" dxfId="14525" priority="18877"/>
    <cfRule type="duplicateValues" dxfId="14524" priority="18878"/>
    <cfRule type="duplicateValues" dxfId="14523" priority="18879"/>
    <cfRule type="duplicateValues" dxfId="14522" priority="18880"/>
    <cfRule type="duplicateValues" dxfId="14521" priority="18881"/>
    <cfRule type="duplicateValues" dxfId="14520" priority="18882"/>
    <cfRule type="duplicateValues" dxfId="14519" priority="18883"/>
    <cfRule type="duplicateValues" dxfId="14518" priority="18884"/>
    <cfRule type="duplicateValues" dxfId="14517" priority="18885"/>
    <cfRule type="duplicateValues" dxfId="14516" priority="18886"/>
    <cfRule type="duplicateValues" dxfId="14515" priority="18887"/>
    <cfRule type="duplicateValues" dxfId="14514" priority="18888"/>
    <cfRule type="duplicateValues" dxfId="14513" priority="18889"/>
    <cfRule type="duplicateValues" dxfId="14512" priority="18890"/>
    <cfRule type="duplicateValues" dxfId="14511" priority="18891"/>
    <cfRule type="duplicateValues" dxfId="14510" priority="18892"/>
    <cfRule type="duplicateValues" dxfId="14509" priority="18893"/>
    <cfRule type="duplicateValues" dxfId="14508" priority="18894"/>
    <cfRule type="duplicateValues" dxfId="14507" priority="18895"/>
    <cfRule type="duplicateValues" dxfId="14506" priority="18896"/>
    <cfRule type="duplicateValues" dxfId="14505" priority="18897"/>
    <cfRule type="duplicateValues" dxfId="14504" priority="18898"/>
    <cfRule type="duplicateValues" dxfId="14503" priority="18899"/>
    <cfRule type="duplicateValues" dxfId="14502" priority="18900"/>
    <cfRule type="duplicateValues" dxfId="14501" priority="18901"/>
    <cfRule type="duplicateValues" dxfId="14500" priority="18902"/>
    <cfRule type="duplicateValues" dxfId="14499" priority="18903"/>
    <cfRule type="duplicateValues" dxfId="14498" priority="18904"/>
    <cfRule type="duplicateValues" dxfId="14497" priority="18905"/>
    <cfRule type="duplicateValues" dxfId="14496" priority="18906"/>
    <cfRule type="duplicateValues" dxfId="14495" priority="18907"/>
    <cfRule type="duplicateValues" dxfId="14494" priority="18908"/>
    <cfRule type="duplicateValues" dxfId="14493" priority="18909"/>
    <cfRule type="duplicateValues" dxfId="14492" priority="18910"/>
    <cfRule type="duplicateValues" dxfId="14491" priority="18911"/>
    <cfRule type="duplicateValues" dxfId="14490" priority="18912"/>
    <cfRule type="duplicateValues" dxfId="14489" priority="18913"/>
    <cfRule type="duplicateValues" dxfId="14488" priority="18914"/>
    <cfRule type="duplicateValues" dxfId="14487" priority="18915"/>
    <cfRule type="duplicateValues" dxfId="14486" priority="18916"/>
    <cfRule type="duplicateValues" dxfId="14485" priority="18917"/>
    <cfRule type="duplicateValues" dxfId="14484" priority="18918"/>
    <cfRule type="duplicateValues" dxfId="14483" priority="18919"/>
    <cfRule type="duplicateValues" dxfId="14482" priority="18920"/>
    <cfRule type="duplicateValues" dxfId="14481" priority="18921"/>
    <cfRule type="duplicateValues" dxfId="14480" priority="18922"/>
    <cfRule type="duplicateValues" dxfId="14479" priority="18923"/>
    <cfRule type="duplicateValues" dxfId="14478" priority="18924"/>
    <cfRule type="duplicateValues" dxfId="14477" priority="18925"/>
    <cfRule type="duplicateValues" dxfId="14476" priority="18926"/>
    <cfRule type="duplicateValues" dxfId="14475" priority="18927"/>
    <cfRule type="duplicateValues" dxfId="14474" priority="18928"/>
    <cfRule type="duplicateValues" dxfId="14473" priority="18929"/>
    <cfRule type="duplicateValues" dxfId="14472" priority="18930"/>
    <cfRule type="duplicateValues" dxfId="14471" priority="18931"/>
    <cfRule type="duplicateValues" dxfId="14470" priority="18932"/>
    <cfRule type="duplicateValues" dxfId="14469" priority="18933"/>
    <cfRule type="duplicateValues" dxfId="14468" priority="18934"/>
    <cfRule type="duplicateValues" dxfId="14467" priority="18935"/>
    <cfRule type="duplicateValues" dxfId="14466" priority="18936"/>
    <cfRule type="duplicateValues" dxfId="14465" priority="18937"/>
    <cfRule type="duplicateValues" dxfId="14464" priority="18938"/>
    <cfRule type="duplicateValues" dxfId="14463" priority="18939"/>
    <cfRule type="duplicateValues" dxfId="14462" priority="18940"/>
    <cfRule type="duplicateValues" dxfId="14461" priority="18941"/>
    <cfRule type="duplicateValues" dxfId="14460" priority="18942"/>
    <cfRule type="duplicateValues" dxfId="14459" priority="18943"/>
    <cfRule type="duplicateValues" dxfId="14458" priority="18944"/>
    <cfRule type="duplicateValues" dxfId="14457" priority="18945"/>
    <cfRule type="duplicateValues" dxfId="14456" priority="18946"/>
    <cfRule type="duplicateValues" dxfId="14455" priority="18947"/>
    <cfRule type="duplicateValues" dxfId="14454" priority="18948"/>
    <cfRule type="duplicateValues" dxfId="14453" priority="18949"/>
    <cfRule type="duplicateValues" dxfId="14452" priority="18950"/>
    <cfRule type="duplicateValues" dxfId="14451" priority="18951"/>
    <cfRule type="duplicateValues" dxfId="14450" priority="18952"/>
    <cfRule type="duplicateValues" dxfId="14449" priority="18953"/>
    <cfRule type="duplicateValues" dxfId="14448" priority="18954"/>
    <cfRule type="duplicateValues" dxfId="14447" priority="18955"/>
    <cfRule type="duplicateValues" dxfId="14446" priority="18956"/>
    <cfRule type="duplicateValues" dxfId="14445" priority="18957"/>
    <cfRule type="duplicateValues" dxfId="14444" priority="18958"/>
    <cfRule type="duplicateValues" dxfId="14443" priority="18959"/>
    <cfRule type="duplicateValues" dxfId="14442" priority="18960"/>
    <cfRule type="duplicateValues" dxfId="14441" priority="18961"/>
    <cfRule type="duplicateValues" dxfId="14440" priority="18962"/>
    <cfRule type="duplicateValues" dxfId="14439" priority="18963"/>
    <cfRule type="duplicateValues" dxfId="14438" priority="18964"/>
    <cfRule type="duplicateValues" dxfId="14437" priority="18965"/>
    <cfRule type="duplicateValues" dxfId="14436" priority="18966"/>
    <cfRule type="duplicateValues" dxfId="14435" priority="18967"/>
    <cfRule type="duplicateValues" dxfId="14434" priority="18968"/>
    <cfRule type="duplicateValues" dxfId="14433" priority="18969"/>
    <cfRule type="duplicateValues" dxfId="14432" priority="18970"/>
    <cfRule type="duplicateValues" dxfId="14431" priority="18971"/>
    <cfRule type="duplicateValues" dxfId="14430" priority="18972"/>
    <cfRule type="duplicateValues" dxfId="14429" priority="18973"/>
    <cfRule type="duplicateValues" dxfId="14428" priority="18974"/>
    <cfRule type="duplicateValues" dxfId="14427" priority="18975"/>
    <cfRule type="duplicateValues" dxfId="14426" priority="18976"/>
    <cfRule type="duplicateValues" dxfId="14425" priority="18977"/>
    <cfRule type="duplicateValues" dxfId="14424" priority="18978"/>
    <cfRule type="duplicateValues" dxfId="14423" priority="18979"/>
    <cfRule type="duplicateValues" dxfId="14422" priority="18980"/>
    <cfRule type="duplicateValues" dxfId="14421" priority="18981"/>
    <cfRule type="duplicateValues" dxfId="14420" priority="18982"/>
    <cfRule type="duplicateValues" dxfId="14419" priority="18983"/>
    <cfRule type="duplicateValues" dxfId="14418" priority="18984"/>
    <cfRule type="duplicateValues" dxfId="14417" priority="18985"/>
    <cfRule type="duplicateValues" dxfId="14416" priority="18986"/>
    <cfRule type="duplicateValues" dxfId="14415" priority="18987"/>
    <cfRule type="duplicateValues" dxfId="14414" priority="18988"/>
    <cfRule type="duplicateValues" dxfId="14413" priority="18989"/>
    <cfRule type="duplicateValues" dxfId="14412" priority="18990"/>
    <cfRule type="duplicateValues" dxfId="14411" priority="18991"/>
    <cfRule type="duplicateValues" dxfId="14410" priority="18992"/>
    <cfRule type="duplicateValues" dxfId="14409" priority="18993"/>
    <cfRule type="duplicateValues" dxfId="14408" priority="18994"/>
    <cfRule type="duplicateValues" dxfId="14407" priority="18995"/>
    <cfRule type="duplicateValues" dxfId="14406" priority="18996"/>
    <cfRule type="duplicateValues" dxfId="14405" priority="18997"/>
    <cfRule type="duplicateValues" dxfId="14404" priority="18998"/>
    <cfRule type="duplicateValues" dxfId="14403" priority="18999"/>
    <cfRule type="duplicateValues" dxfId="14402" priority="19000"/>
    <cfRule type="duplicateValues" dxfId="14401" priority="19001"/>
    <cfRule type="duplicateValues" dxfId="14400" priority="19002"/>
    <cfRule type="duplicateValues" dxfId="14399" priority="19003"/>
    <cfRule type="duplicateValues" dxfId="14398" priority="19004"/>
    <cfRule type="duplicateValues" dxfId="14397" priority="19005"/>
    <cfRule type="duplicateValues" dxfId="14396" priority="19006"/>
    <cfRule type="duplicateValues" dxfId="14395" priority="19007"/>
    <cfRule type="duplicateValues" dxfId="14394" priority="19008"/>
    <cfRule type="duplicateValues" dxfId="14393" priority="19009"/>
    <cfRule type="duplicateValues" dxfId="14392" priority="19010"/>
    <cfRule type="duplicateValues" dxfId="14391" priority="19011"/>
    <cfRule type="duplicateValues" dxfId="14390" priority="19012"/>
    <cfRule type="duplicateValues" dxfId="14389" priority="19013"/>
    <cfRule type="duplicateValues" dxfId="14388" priority="19014"/>
    <cfRule type="duplicateValues" dxfId="14387" priority="19015"/>
    <cfRule type="duplicateValues" dxfId="14386" priority="19016"/>
    <cfRule type="duplicateValues" dxfId="14385" priority="19017"/>
    <cfRule type="duplicateValues" dxfId="14384" priority="19018"/>
    <cfRule type="duplicateValues" dxfId="14383" priority="19019"/>
    <cfRule type="duplicateValues" dxfId="14382" priority="19020"/>
    <cfRule type="duplicateValues" dxfId="14381" priority="19021"/>
    <cfRule type="duplicateValues" dxfId="14380" priority="19022"/>
    <cfRule type="duplicateValues" dxfId="14379" priority="19023"/>
    <cfRule type="duplicateValues" dxfId="14378" priority="19024"/>
    <cfRule type="duplicateValues" dxfId="14377" priority="19025"/>
    <cfRule type="duplicateValues" dxfId="14376" priority="19026"/>
    <cfRule type="duplicateValues" dxfId="14375" priority="19027"/>
    <cfRule type="duplicateValues" dxfId="14374" priority="19028"/>
    <cfRule type="duplicateValues" dxfId="14373" priority="19029"/>
    <cfRule type="duplicateValues" dxfId="14372" priority="19030"/>
    <cfRule type="duplicateValues" dxfId="14371" priority="19031"/>
    <cfRule type="duplicateValues" dxfId="14370" priority="19032"/>
    <cfRule type="duplicateValues" dxfId="14369" priority="19033"/>
    <cfRule type="duplicateValues" dxfId="14368" priority="19034"/>
    <cfRule type="duplicateValues" dxfId="14367" priority="19035"/>
    <cfRule type="duplicateValues" dxfId="14366" priority="19036"/>
    <cfRule type="duplicateValues" dxfId="14365" priority="19037"/>
    <cfRule type="duplicateValues" dxfId="14364" priority="19038"/>
    <cfRule type="duplicateValues" dxfId="14363" priority="19039"/>
    <cfRule type="duplicateValues" dxfId="14362" priority="19040"/>
    <cfRule type="duplicateValues" dxfId="14361" priority="19041"/>
    <cfRule type="duplicateValues" dxfId="14360" priority="19042"/>
    <cfRule type="duplicateValues" dxfId="14359" priority="19043"/>
    <cfRule type="duplicateValues" dxfId="14358" priority="19044"/>
    <cfRule type="duplicateValues" dxfId="14357" priority="19045"/>
    <cfRule type="duplicateValues" dxfId="14356" priority="19046"/>
    <cfRule type="duplicateValues" dxfId="14355" priority="19047"/>
    <cfRule type="duplicateValues" dxfId="14354" priority="19048"/>
    <cfRule type="duplicateValues" dxfId="14353" priority="19049"/>
    <cfRule type="duplicateValues" dxfId="14352" priority="19050"/>
    <cfRule type="duplicateValues" dxfId="14351" priority="19051"/>
    <cfRule type="duplicateValues" dxfId="14350" priority="19052"/>
    <cfRule type="duplicateValues" dxfId="14349" priority="19053"/>
    <cfRule type="duplicateValues" dxfId="14348" priority="19054"/>
    <cfRule type="duplicateValues" dxfId="14347" priority="19055"/>
    <cfRule type="duplicateValues" dxfId="14346" priority="19056"/>
    <cfRule type="duplicateValues" dxfId="14345" priority="19057"/>
    <cfRule type="duplicateValues" dxfId="14344" priority="19058"/>
    <cfRule type="duplicateValues" dxfId="14343" priority="19059"/>
    <cfRule type="duplicateValues" dxfId="14342" priority="19060"/>
    <cfRule type="duplicateValues" dxfId="14341" priority="19061"/>
    <cfRule type="duplicateValues" dxfId="14340" priority="19062"/>
    <cfRule type="duplicateValues" dxfId="14339" priority="19063"/>
    <cfRule type="duplicateValues" dxfId="14338" priority="19064"/>
    <cfRule type="duplicateValues" dxfId="14337" priority="19065"/>
    <cfRule type="duplicateValues" dxfId="14336" priority="19066"/>
    <cfRule type="duplicateValues" dxfId="14335" priority="19067"/>
    <cfRule type="duplicateValues" dxfId="14334" priority="19068"/>
    <cfRule type="duplicateValues" dxfId="14333" priority="19069"/>
    <cfRule type="duplicateValues" dxfId="14332" priority="19070"/>
    <cfRule type="duplicateValues" dxfId="14331" priority="19071"/>
    <cfRule type="duplicateValues" dxfId="14330" priority="19072"/>
    <cfRule type="duplicateValues" dxfId="14329" priority="19073"/>
    <cfRule type="duplicateValues" dxfId="14328" priority="19074"/>
    <cfRule type="duplicateValues" dxfId="14327" priority="19075"/>
    <cfRule type="duplicateValues" dxfId="14326" priority="19076"/>
    <cfRule type="duplicateValues" dxfId="14325" priority="19077"/>
    <cfRule type="duplicateValues" dxfId="14324" priority="19078"/>
    <cfRule type="duplicateValues" dxfId="14323" priority="19079"/>
    <cfRule type="duplicateValues" dxfId="14322" priority="19080"/>
    <cfRule type="duplicateValues" dxfId="14321" priority="19081"/>
    <cfRule type="duplicateValues" dxfId="14320" priority="19082"/>
    <cfRule type="duplicateValues" dxfId="14319" priority="19083"/>
    <cfRule type="duplicateValues" dxfId="14318" priority="19084"/>
    <cfRule type="duplicateValues" dxfId="14317" priority="19085"/>
    <cfRule type="duplicateValues" dxfId="14316" priority="19086"/>
    <cfRule type="duplicateValues" dxfId="14315" priority="19087"/>
    <cfRule type="duplicateValues" dxfId="14314" priority="19088"/>
    <cfRule type="duplicateValues" dxfId="14313" priority="19089"/>
    <cfRule type="duplicateValues" dxfId="14312" priority="19090"/>
    <cfRule type="duplicateValues" dxfId="14311" priority="19091"/>
    <cfRule type="duplicateValues" dxfId="14310" priority="19092"/>
    <cfRule type="duplicateValues" dxfId="14309" priority="19093"/>
    <cfRule type="duplicateValues" dxfId="14308" priority="19094"/>
    <cfRule type="duplicateValues" dxfId="14307" priority="19095"/>
    <cfRule type="duplicateValues" dxfId="14306" priority="19096"/>
    <cfRule type="duplicateValues" dxfId="14305" priority="19097"/>
    <cfRule type="duplicateValues" dxfId="14304" priority="19098"/>
    <cfRule type="duplicateValues" dxfId="14303" priority="19099"/>
    <cfRule type="duplicateValues" dxfId="14302" priority="19100"/>
    <cfRule type="duplicateValues" dxfId="14301" priority="19101"/>
    <cfRule type="duplicateValues" dxfId="14300" priority="19102"/>
    <cfRule type="duplicateValues" dxfId="14299" priority="19103"/>
    <cfRule type="duplicateValues" dxfId="14298" priority="19104"/>
    <cfRule type="duplicateValues" dxfId="14297" priority="19105"/>
    <cfRule type="duplicateValues" dxfId="14296" priority="19106"/>
    <cfRule type="duplicateValues" dxfId="14295" priority="19107"/>
    <cfRule type="duplicateValues" dxfId="14294" priority="19108"/>
    <cfRule type="duplicateValues" dxfId="14293" priority="19109"/>
    <cfRule type="duplicateValues" dxfId="14292" priority="19110"/>
    <cfRule type="duplicateValues" dxfId="14291" priority="19111"/>
    <cfRule type="duplicateValues" dxfId="14290" priority="19112"/>
    <cfRule type="duplicateValues" dxfId="14289" priority="19113"/>
    <cfRule type="duplicateValues" dxfId="14288" priority="19114"/>
    <cfRule type="duplicateValues" dxfId="14287" priority="19115"/>
    <cfRule type="duplicateValues" dxfId="14286" priority="19116"/>
    <cfRule type="duplicateValues" dxfId="14285" priority="19117"/>
    <cfRule type="duplicateValues" dxfId="14284" priority="19118"/>
    <cfRule type="duplicateValues" dxfId="14283" priority="19119"/>
    <cfRule type="duplicateValues" dxfId="14282" priority="19120"/>
    <cfRule type="duplicateValues" dxfId="14281" priority="19121"/>
    <cfRule type="duplicateValues" dxfId="14280" priority="19122"/>
    <cfRule type="duplicateValues" dxfId="14279" priority="19123"/>
    <cfRule type="duplicateValues" dxfId="14278" priority="19124"/>
    <cfRule type="duplicateValues" dxfId="14277" priority="19125"/>
    <cfRule type="duplicateValues" dxfId="14276" priority="19126"/>
    <cfRule type="duplicateValues" dxfId="14275" priority="19127"/>
    <cfRule type="duplicateValues" dxfId="14274" priority="19128"/>
    <cfRule type="duplicateValues" dxfId="14273" priority="19129"/>
    <cfRule type="duplicateValues" dxfId="14272" priority="19130"/>
    <cfRule type="duplicateValues" dxfId="14271" priority="19131"/>
    <cfRule type="duplicateValues" dxfId="14270" priority="19132"/>
    <cfRule type="duplicateValues" dxfId="14269" priority="19133"/>
    <cfRule type="duplicateValues" dxfId="14268" priority="19134"/>
    <cfRule type="duplicateValues" dxfId="14267" priority="19135"/>
    <cfRule type="duplicateValues" dxfId="14266" priority="19136"/>
    <cfRule type="duplicateValues" dxfId="14265" priority="19137"/>
    <cfRule type="duplicateValues" dxfId="14264" priority="19138"/>
    <cfRule type="duplicateValues" dxfId="14263" priority="19139"/>
    <cfRule type="duplicateValues" dxfId="14262" priority="19140"/>
    <cfRule type="duplicateValues" dxfId="14261" priority="19141"/>
    <cfRule type="duplicateValues" dxfId="14260" priority="19142"/>
    <cfRule type="duplicateValues" dxfId="14259" priority="19143"/>
    <cfRule type="duplicateValues" dxfId="14258" priority="19144"/>
    <cfRule type="duplicateValues" dxfId="14257" priority="19145"/>
    <cfRule type="duplicateValues" dxfId="14256" priority="19146"/>
    <cfRule type="duplicateValues" dxfId="14255" priority="19147"/>
    <cfRule type="duplicateValues" dxfId="14254" priority="19148"/>
    <cfRule type="duplicateValues" dxfId="14253" priority="19149"/>
    <cfRule type="duplicateValues" dxfId="14252" priority="19150"/>
    <cfRule type="duplicateValues" dxfId="14251" priority="19151"/>
  </conditionalFormatting>
  <conditionalFormatting sqref="C250">
    <cfRule type="duplicateValues" dxfId="14250" priority="18462"/>
    <cfRule type="duplicateValues" dxfId="14249" priority="18463"/>
    <cfRule type="duplicateValues" dxfId="14248" priority="18464"/>
    <cfRule type="duplicateValues" dxfId="14247" priority="18465"/>
    <cfRule type="duplicateValues" dxfId="14246" priority="18466"/>
    <cfRule type="duplicateValues" dxfId="14245" priority="18467"/>
    <cfRule type="duplicateValues" dxfId="14244" priority="18468"/>
    <cfRule type="duplicateValues" dxfId="14243" priority="18469"/>
    <cfRule type="duplicateValues" dxfId="14242" priority="18470"/>
    <cfRule type="duplicateValues" dxfId="14241" priority="18471"/>
    <cfRule type="duplicateValues" dxfId="14240" priority="18472"/>
    <cfRule type="duplicateValues" dxfId="14239" priority="18473"/>
    <cfRule type="duplicateValues" dxfId="14238" priority="18474"/>
    <cfRule type="duplicateValues" dxfId="14237" priority="18475"/>
    <cfRule type="duplicateValues" dxfId="14236" priority="18476"/>
    <cfRule type="duplicateValues" dxfId="14235" priority="18477"/>
    <cfRule type="duplicateValues" dxfId="14234" priority="18478"/>
    <cfRule type="duplicateValues" dxfId="14233" priority="18479"/>
    <cfRule type="duplicateValues" dxfId="14232" priority="18480"/>
    <cfRule type="duplicateValues" dxfId="14231" priority="18481"/>
    <cfRule type="duplicateValues" dxfId="14230" priority="18482"/>
    <cfRule type="duplicateValues" dxfId="14229" priority="18483"/>
    <cfRule type="duplicateValues" dxfId="14228" priority="18484"/>
    <cfRule type="duplicateValues" dxfId="14227" priority="18485"/>
    <cfRule type="duplicateValues" dxfId="14226" priority="18486"/>
    <cfRule type="duplicateValues" dxfId="14225" priority="18487"/>
    <cfRule type="duplicateValues" dxfId="14224" priority="18488"/>
    <cfRule type="duplicateValues" dxfId="14223" priority="18489"/>
    <cfRule type="duplicateValues" dxfId="14222" priority="18490"/>
    <cfRule type="duplicateValues" dxfId="14221" priority="18491"/>
    <cfRule type="duplicateValues" dxfId="14220" priority="18492"/>
    <cfRule type="duplicateValues" dxfId="14219" priority="18493"/>
    <cfRule type="duplicateValues" dxfId="14218" priority="18494"/>
    <cfRule type="duplicateValues" dxfId="14217" priority="18495"/>
    <cfRule type="duplicateValues" dxfId="14216" priority="18496"/>
    <cfRule type="duplicateValues" dxfId="14215" priority="18497"/>
    <cfRule type="duplicateValues" dxfId="14214" priority="18498"/>
    <cfRule type="duplicateValues" dxfId="14213" priority="18499"/>
    <cfRule type="duplicateValues" dxfId="14212" priority="18500"/>
    <cfRule type="duplicateValues" dxfId="14211" priority="18501"/>
    <cfRule type="duplicateValues" dxfId="14210" priority="18502"/>
    <cfRule type="duplicateValues" dxfId="14209" priority="18503"/>
    <cfRule type="duplicateValues" dxfId="14208" priority="18504"/>
    <cfRule type="duplicateValues" dxfId="14207" priority="18505"/>
    <cfRule type="duplicateValues" dxfId="14206" priority="18506"/>
    <cfRule type="duplicateValues" dxfId="14205" priority="18507"/>
    <cfRule type="duplicateValues" dxfId="14204" priority="18508"/>
    <cfRule type="duplicateValues" dxfId="14203" priority="18509"/>
    <cfRule type="duplicateValues" dxfId="14202" priority="18510"/>
    <cfRule type="duplicateValues" dxfId="14201" priority="18511"/>
    <cfRule type="duplicateValues" dxfId="14200" priority="18512"/>
    <cfRule type="duplicateValues" dxfId="14199" priority="18513"/>
    <cfRule type="duplicateValues" dxfId="14198" priority="18514"/>
    <cfRule type="duplicateValues" dxfId="14197" priority="18515"/>
    <cfRule type="duplicateValues" dxfId="14196" priority="18516"/>
    <cfRule type="duplicateValues" dxfId="14195" priority="18517"/>
    <cfRule type="duplicateValues" dxfId="14194" priority="18518"/>
    <cfRule type="duplicateValues" dxfId="14193" priority="18519"/>
    <cfRule type="duplicateValues" dxfId="14192" priority="18520"/>
    <cfRule type="duplicateValues" dxfId="14191" priority="18521"/>
    <cfRule type="duplicateValues" dxfId="14190" priority="18522"/>
    <cfRule type="duplicateValues" dxfId="14189" priority="18523"/>
    <cfRule type="duplicateValues" dxfId="14188" priority="18524"/>
    <cfRule type="duplicateValues" dxfId="14187" priority="18525"/>
    <cfRule type="duplicateValues" dxfId="14186" priority="18526"/>
    <cfRule type="duplicateValues" dxfId="14185" priority="18527"/>
    <cfRule type="duplicateValues" dxfId="14184" priority="18528"/>
    <cfRule type="duplicateValues" dxfId="14183" priority="18529"/>
    <cfRule type="duplicateValues" dxfId="14182" priority="18530"/>
    <cfRule type="duplicateValues" dxfId="14181" priority="18531"/>
    <cfRule type="duplicateValues" dxfId="14180" priority="18532"/>
    <cfRule type="duplicateValues" dxfId="14179" priority="18533"/>
    <cfRule type="duplicateValues" dxfId="14178" priority="18534"/>
    <cfRule type="duplicateValues" dxfId="14177" priority="18535"/>
    <cfRule type="duplicateValues" dxfId="14176" priority="18536"/>
    <cfRule type="duplicateValues" dxfId="14175" priority="18537"/>
    <cfRule type="duplicateValues" dxfId="14174" priority="18538"/>
    <cfRule type="duplicateValues" dxfId="14173" priority="18539"/>
    <cfRule type="duplicateValues" dxfId="14172" priority="18540"/>
    <cfRule type="duplicateValues" dxfId="14171" priority="18541"/>
    <cfRule type="duplicateValues" dxfId="14170" priority="18542"/>
    <cfRule type="duplicateValues" dxfId="14169" priority="18543"/>
    <cfRule type="duplicateValues" dxfId="14168" priority="18544"/>
    <cfRule type="duplicateValues" dxfId="14167" priority="18545"/>
    <cfRule type="duplicateValues" dxfId="14166" priority="18546"/>
    <cfRule type="duplicateValues" dxfId="14165" priority="18547"/>
    <cfRule type="duplicateValues" dxfId="14164" priority="18548"/>
    <cfRule type="duplicateValues" dxfId="14163" priority="18549"/>
    <cfRule type="duplicateValues" dxfId="14162" priority="18550"/>
    <cfRule type="duplicateValues" dxfId="14161" priority="18551"/>
    <cfRule type="duplicateValues" dxfId="14160" priority="18552"/>
    <cfRule type="duplicateValues" dxfId="14159" priority="18553"/>
    <cfRule type="duplicateValues" dxfId="14158" priority="18554"/>
    <cfRule type="duplicateValues" dxfId="14157" priority="18555"/>
    <cfRule type="duplicateValues" dxfId="14156" priority="18556"/>
    <cfRule type="duplicateValues" dxfId="14155" priority="18557"/>
    <cfRule type="duplicateValues" dxfId="14154" priority="18558"/>
    <cfRule type="duplicateValues" dxfId="14153" priority="18559"/>
    <cfRule type="duplicateValues" dxfId="14152" priority="18560"/>
    <cfRule type="duplicateValues" dxfId="14151" priority="18561"/>
    <cfRule type="duplicateValues" dxfId="14150" priority="18562"/>
    <cfRule type="duplicateValues" dxfId="14149" priority="18563"/>
    <cfRule type="duplicateValues" dxfId="14148" priority="18564"/>
    <cfRule type="duplicateValues" dxfId="14147" priority="18565"/>
    <cfRule type="duplicateValues" dxfId="14146" priority="18566"/>
    <cfRule type="duplicateValues" dxfId="14145" priority="18567"/>
    <cfRule type="duplicateValues" dxfId="14144" priority="18568"/>
    <cfRule type="duplicateValues" dxfId="14143" priority="18569"/>
    <cfRule type="duplicateValues" dxfId="14142" priority="18570"/>
    <cfRule type="duplicateValues" dxfId="14141" priority="18571"/>
    <cfRule type="duplicateValues" dxfId="14140" priority="18572"/>
    <cfRule type="duplicateValues" dxfId="14139" priority="18573"/>
    <cfRule type="duplicateValues" dxfId="14138" priority="18574"/>
    <cfRule type="duplicateValues" dxfId="14137" priority="18575"/>
    <cfRule type="duplicateValues" dxfId="14136" priority="18576"/>
    <cfRule type="duplicateValues" dxfId="14135" priority="18577"/>
    <cfRule type="duplicateValues" dxfId="14134" priority="18578"/>
    <cfRule type="duplicateValues" dxfId="14133" priority="18579"/>
    <cfRule type="duplicateValues" dxfId="14132" priority="18580"/>
    <cfRule type="duplicateValues" dxfId="14131" priority="18581"/>
    <cfRule type="duplicateValues" dxfId="14130" priority="18582"/>
    <cfRule type="duplicateValues" dxfId="14129" priority="18583"/>
    <cfRule type="duplicateValues" dxfId="14128" priority="18584"/>
    <cfRule type="duplicateValues" dxfId="14127" priority="18585"/>
    <cfRule type="duplicateValues" dxfId="14126" priority="18586"/>
    <cfRule type="duplicateValues" dxfId="14125" priority="18587"/>
    <cfRule type="duplicateValues" dxfId="14124" priority="18588"/>
    <cfRule type="duplicateValues" dxfId="14123" priority="18589"/>
    <cfRule type="duplicateValues" dxfId="14122" priority="18590"/>
    <cfRule type="duplicateValues" dxfId="14121" priority="18591"/>
    <cfRule type="duplicateValues" dxfId="14120" priority="18592"/>
    <cfRule type="duplicateValues" dxfId="14119" priority="18593"/>
    <cfRule type="duplicateValues" dxfId="14118" priority="18594"/>
    <cfRule type="duplicateValues" dxfId="14117" priority="18595"/>
    <cfRule type="duplicateValues" dxfId="14116" priority="18596"/>
    <cfRule type="duplicateValues" dxfId="14115" priority="18597"/>
    <cfRule type="duplicateValues" dxfId="14114" priority="18598"/>
    <cfRule type="duplicateValues" dxfId="14113" priority="18599"/>
    <cfRule type="duplicateValues" dxfId="14112" priority="18600"/>
    <cfRule type="duplicateValues" dxfId="14111" priority="18601"/>
    <cfRule type="duplicateValues" dxfId="14110" priority="18602"/>
    <cfRule type="duplicateValues" dxfId="14109" priority="18603"/>
    <cfRule type="duplicateValues" dxfId="14108" priority="18604"/>
    <cfRule type="duplicateValues" dxfId="14107" priority="18605"/>
    <cfRule type="duplicateValues" dxfId="14106" priority="18606"/>
    <cfRule type="duplicateValues" dxfId="14105" priority="18607"/>
    <cfRule type="duplicateValues" dxfId="14104" priority="18608"/>
    <cfRule type="duplicateValues" dxfId="14103" priority="18609"/>
    <cfRule type="duplicateValues" dxfId="14102" priority="18610"/>
    <cfRule type="duplicateValues" dxfId="14101" priority="18611"/>
    <cfRule type="duplicateValues" dxfId="14100" priority="18612"/>
    <cfRule type="duplicateValues" dxfId="14099" priority="18613"/>
    <cfRule type="duplicateValues" dxfId="14098" priority="18614"/>
    <cfRule type="duplicateValues" dxfId="14097" priority="18615"/>
    <cfRule type="duplicateValues" dxfId="14096" priority="18616"/>
    <cfRule type="duplicateValues" dxfId="14095" priority="18617"/>
    <cfRule type="duplicateValues" dxfId="14094" priority="18618"/>
    <cfRule type="duplicateValues" dxfId="14093" priority="18619"/>
    <cfRule type="duplicateValues" dxfId="14092" priority="18620"/>
    <cfRule type="duplicateValues" dxfId="14091" priority="18621"/>
    <cfRule type="duplicateValues" dxfId="14090" priority="18622"/>
    <cfRule type="duplicateValues" dxfId="14089" priority="18623"/>
    <cfRule type="duplicateValues" dxfId="14088" priority="18624"/>
    <cfRule type="duplicateValues" dxfId="14087" priority="18625"/>
    <cfRule type="duplicateValues" dxfId="14086" priority="18626"/>
    <cfRule type="duplicateValues" dxfId="14085" priority="18627"/>
    <cfRule type="duplicateValues" dxfId="14084" priority="18628"/>
    <cfRule type="duplicateValues" dxfId="14083" priority="18629"/>
    <cfRule type="duplicateValues" dxfId="14082" priority="18630"/>
    <cfRule type="duplicateValues" dxfId="14081" priority="18631"/>
    <cfRule type="duplicateValues" dxfId="14080" priority="18632"/>
    <cfRule type="duplicateValues" dxfId="14079" priority="18633"/>
    <cfRule type="duplicateValues" dxfId="14078" priority="18634"/>
    <cfRule type="duplicateValues" dxfId="14077" priority="18635"/>
    <cfRule type="duplicateValues" dxfId="14076" priority="18636"/>
    <cfRule type="duplicateValues" dxfId="14075" priority="18637"/>
    <cfRule type="duplicateValues" dxfId="14074" priority="18638"/>
    <cfRule type="duplicateValues" dxfId="14073" priority="18639"/>
    <cfRule type="duplicateValues" dxfId="14072" priority="18640"/>
    <cfRule type="duplicateValues" dxfId="14071" priority="18641"/>
    <cfRule type="duplicateValues" dxfId="14070" priority="18642"/>
    <cfRule type="duplicateValues" dxfId="14069" priority="18643"/>
    <cfRule type="duplicateValues" dxfId="14068" priority="18644"/>
    <cfRule type="duplicateValues" dxfId="14067" priority="18645"/>
    <cfRule type="duplicateValues" dxfId="14066" priority="18646"/>
    <cfRule type="duplicateValues" dxfId="14065" priority="18647"/>
    <cfRule type="duplicateValues" dxfId="14064" priority="18648"/>
    <cfRule type="duplicateValues" dxfId="14063" priority="18649"/>
    <cfRule type="duplicateValues" dxfId="14062" priority="18650"/>
    <cfRule type="duplicateValues" dxfId="14061" priority="18651"/>
    <cfRule type="duplicateValues" dxfId="14060" priority="18652"/>
    <cfRule type="duplicateValues" dxfId="14059" priority="18653"/>
    <cfRule type="duplicateValues" dxfId="14058" priority="18654"/>
    <cfRule type="duplicateValues" dxfId="14057" priority="18655"/>
    <cfRule type="duplicateValues" dxfId="14056" priority="18656"/>
    <cfRule type="duplicateValues" dxfId="14055" priority="18657"/>
    <cfRule type="duplicateValues" dxfId="14054" priority="18658"/>
    <cfRule type="duplicateValues" dxfId="14053" priority="18659"/>
    <cfRule type="duplicateValues" dxfId="14052" priority="18660"/>
    <cfRule type="duplicateValues" dxfId="14051" priority="18661"/>
    <cfRule type="duplicateValues" dxfId="14050" priority="18662"/>
    <cfRule type="duplicateValues" dxfId="14049" priority="18663"/>
    <cfRule type="duplicateValues" dxfId="14048" priority="18664"/>
    <cfRule type="duplicateValues" dxfId="14047" priority="18665"/>
    <cfRule type="duplicateValues" dxfId="14046" priority="18666"/>
    <cfRule type="duplicateValues" dxfId="14045" priority="18667"/>
    <cfRule type="duplicateValues" dxfId="14044" priority="18668"/>
    <cfRule type="duplicateValues" dxfId="14043" priority="18669"/>
    <cfRule type="duplicateValues" dxfId="14042" priority="18670"/>
    <cfRule type="duplicateValues" dxfId="14041" priority="18671"/>
    <cfRule type="duplicateValues" dxfId="14040" priority="18672"/>
    <cfRule type="duplicateValues" dxfId="14039" priority="18673"/>
    <cfRule type="duplicateValues" dxfId="14038" priority="18674"/>
    <cfRule type="duplicateValues" dxfId="14037" priority="18675"/>
    <cfRule type="duplicateValues" dxfId="14036" priority="18676"/>
    <cfRule type="duplicateValues" dxfId="14035" priority="18677"/>
    <cfRule type="duplicateValues" dxfId="14034" priority="18678"/>
    <cfRule type="duplicateValues" dxfId="14033" priority="18679"/>
    <cfRule type="duplicateValues" dxfId="14032" priority="18680"/>
    <cfRule type="duplicateValues" dxfId="14031" priority="18681"/>
    <cfRule type="duplicateValues" dxfId="14030" priority="18682"/>
    <cfRule type="duplicateValues" dxfId="14029" priority="18683"/>
    <cfRule type="duplicateValues" dxfId="14028" priority="18684"/>
    <cfRule type="duplicateValues" dxfId="14027" priority="18685"/>
    <cfRule type="duplicateValues" dxfId="14026" priority="18686"/>
    <cfRule type="duplicateValues" dxfId="14025" priority="18687"/>
    <cfRule type="duplicateValues" dxfId="14024" priority="18688"/>
    <cfRule type="duplicateValues" dxfId="14023" priority="18689"/>
    <cfRule type="duplicateValues" dxfId="14022" priority="18690"/>
    <cfRule type="duplicateValues" dxfId="14021" priority="18691"/>
    <cfRule type="duplicateValues" dxfId="14020" priority="18692"/>
    <cfRule type="duplicateValues" dxfId="14019" priority="18693"/>
    <cfRule type="duplicateValues" dxfId="14018" priority="18694"/>
    <cfRule type="duplicateValues" dxfId="14017" priority="18695"/>
    <cfRule type="duplicateValues" dxfId="14016" priority="18696"/>
    <cfRule type="duplicateValues" dxfId="14015" priority="18697"/>
    <cfRule type="duplicateValues" dxfId="14014" priority="18698"/>
    <cfRule type="duplicateValues" dxfId="14013" priority="18699"/>
    <cfRule type="duplicateValues" dxfId="14012" priority="18700"/>
    <cfRule type="duplicateValues" dxfId="14011" priority="18701"/>
    <cfRule type="duplicateValues" dxfId="14010" priority="18702"/>
    <cfRule type="duplicateValues" dxfId="14009" priority="18703"/>
    <cfRule type="duplicateValues" dxfId="14008" priority="18704"/>
    <cfRule type="duplicateValues" dxfId="14007" priority="18705"/>
    <cfRule type="duplicateValues" dxfId="14006" priority="18706"/>
    <cfRule type="duplicateValues" dxfId="14005" priority="18707"/>
    <cfRule type="duplicateValues" dxfId="14004" priority="18708"/>
    <cfRule type="duplicateValues" dxfId="14003" priority="18709"/>
    <cfRule type="duplicateValues" dxfId="14002" priority="18710"/>
    <cfRule type="duplicateValues" dxfId="14001" priority="18711"/>
    <cfRule type="duplicateValues" dxfId="14000" priority="18712"/>
    <cfRule type="duplicateValues" dxfId="13999" priority="18713"/>
    <cfRule type="duplicateValues" dxfId="13998" priority="18714"/>
    <cfRule type="duplicateValues" dxfId="13997" priority="18715"/>
    <cfRule type="duplicateValues" dxfId="13996" priority="18716"/>
    <cfRule type="duplicateValues" dxfId="13995" priority="18717"/>
    <cfRule type="duplicateValues" dxfId="13994" priority="18718"/>
    <cfRule type="duplicateValues" dxfId="13993" priority="18719"/>
    <cfRule type="duplicateValues" dxfId="13992" priority="18720"/>
    <cfRule type="duplicateValues" dxfId="13991" priority="18721"/>
    <cfRule type="duplicateValues" dxfId="13990" priority="18722"/>
    <cfRule type="duplicateValues" dxfId="13989" priority="18723"/>
    <cfRule type="duplicateValues" dxfId="13988" priority="18724"/>
    <cfRule type="duplicateValues" dxfId="13987" priority="18725"/>
    <cfRule type="duplicateValues" dxfId="13986" priority="18726"/>
    <cfRule type="duplicateValues" dxfId="13985" priority="18727"/>
    <cfRule type="duplicateValues" dxfId="13984" priority="18728"/>
    <cfRule type="duplicateValues" dxfId="13983" priority="18729"/>
    <cfRule type="duplicateValues" dxfId="13982" priority="18730"/>
    <cfRule type="duplicateValues" dxfId="13981" priority="18731"/>
    <cfRule type="duplicateValues" dxfId="13980" priority="18732"/>
    <cfRule type="duplicateValues" dxfId="13979" priority="18733"/>
    <cfRule type="duplicateValues" dxfId="13978" priority="18734"/>
    <cfRule type="duplicateValues" dxfId="13977" priority="18735"/>
    <cfRule type="duplicateValues" dxfId="13976" priority="18736"/>
    <cfRule type="duplicateValues" dxfId="13975" priority="18737"/>
    <cfRule type="duplicateValues" dxfId="13974" priority="18738"/>
    <cfRule type="duplicateValues" dxfId="13973" priority="18739"/>
    <cfRule type="duplicateValues" dxfId="13972" priority="18740"/>
    <cfRule type="duplicateValues" dxfId="13971" priority="18741"/>
    <cfRule type="duplicateValues" dxfId="13970" priority="18742"/>
    <cfRule type="duplicateValues" dxfId="13969" priority="18743"/>
    <cfRule type="duplicateValues" dxfId="13968" priority="18744"/>
    <cfRule type="duplicateValues" dxfId="13967" priority="18745"/>
    <cfRule type="duplicateValues" dxfId="13966" priority="18746"/>
    <cfRule type="duplicateValues" dxfId="13965" priority="18747"/>
    <cfRule type="duplicateValues" dxfId="13964" priority="18748"/>
    <cfRule type="duplicateValues" dxfId="13963" priority="18749"/>
    <cfRule type="duplicateValues" dxfId="13962" priority="18750"/>
    <cfRule type="duplicateValues" dxfId="13961" priority="18751"/>
    <cfRule type="duplicateValues" dxfId="13960" priority="18752"/>
    <cfRule type="duplicateValues" dxfId="13959" priority="18753"/>
    <cfRule type="duplicateValues" dxfId="13958" priority="18754"/>
    <cfRule type="duplicateValues" dxfId="13957" priority="18755"/>
    <cfRule type="duplicateValues" dxfId="13956" priority="18756"/>
    <cfRule type="duplicateValues" dxfId="13955" priority="18757"/>
    <cfRule type="duplicateValues" dxfId="13954" priority="18758"/>
    <cfRule type="duplicateValues" dxfId="13953" priority="18759"/>
    <cfRule type="duplicateValues" dxfId="13952" priority="18760"/>
    <cfRule type="duplicateValues" dxfId="13951" priority="18761"/>
    <cfRule type="duplicateValues" dxfId="13950" priority="18762"/>
    <cfRule type="duplicateValues" dxfId="13949" priority="18763"/>
    <cfRule type="duplicateValues" dxfId="13948" priority="18764"/>
    <cfRule type="duplicateValues" dxfId="13947" priority="18765"/>
    <cfRule type="duplicateValues" dxfId="13946" priority="18766"/>
    <cfRule type="duplicateValues" dxfId="13945" priority="18767"/>
    <cfRule type="duplicateValues" dxfId="13944" priority="18768"/>
    <cfRule type="duplicateValues" dxfId="13943" priority="18769"/>
    <cfRule type="duplicateValues" dxfId="13942" priority="18770"/>
    <cfRule type="duplicateValues" dxfId="13941" priority="18771"/>
    <cfRule type="duplicateValues" dxfId="13940" priority="18772"/>
    <cfRule type="duplicateValues" dxfId="13939" priority="18773"/>
    <cfRule type="duplicateValues" dxfId="13938" priority="18774"/>
    <cfRule type="duplicateValues" dxfId="13937" priority="18775"/>
    <cfRule type="duplicateValues" dxfId="13936" priority="18776"/>
    <cfRule type="duplicateValues" dxfId="13935" priority="18777"/>
    <cfRule type="duplicateValues" dxfId="13934" priority="18778"/>
    <cfRule type="duplicateValues" dxfId="13933" priority="18779"/>
    <cfRule type="duplicateValues" dxfId="13932" priority="18780"/>
    <cfRule type="duplicateValues" dxfId="13931" priority="18781"/>
    <cfRule type="duplicateValues" dxfId="13930" priority="18782"/>
    <cfRule type="duplicateValues" dxfId="13929" priority="18783"/>
    <cfRule type="duplicateValues" dxfId="13928" priority="18784"/>
    <cfRule type="duplicateValues" dxfId="13927" priority="18785"/>
    <cfRule type="duplicateValues" dxfId="13926" priority="18786"/>
    <cfRule type="duplicateValues" dxfId="13925" priority="18787"/>
    <cfRule type="duplicateValues" dxfId="13924" priority="18788"/>
    <cfRule type="duplicateValues" dxfId="13923" priority="18789"/>
    <cfRule type="duplicateValues" dxfId="13922" priority="18790"/>
    <cfRule type="duplicateValues" dxfId="13921" priority="18791"/>
    <cfRule type="duplicateValues" dxfId="13920" priority="18792"/>
    <cfRule type="duplicateValues" dxfId="13919" priority="18793"/>
    <cfRule type="duplicateValues" dxfId="13918" priority="18794"/>
    <cfRule type="duplicateValues" dxfId="13917" priority="18795"/>
    <cfRule type="duplicateValues" dxfId="13916" priority="18796"/>
    <cfRule type="duplicateValues" dxfId="13915" priority="18797"/>
    <cfRule type="duplicateValues" dxfId="13914" priority="18798"/>
    <cfRule type="duplicateValues" dxfId="13913" priority="18799"/>
    <cfRule type="duplicateValues" dxfId="13912" priority="18800"/>
    <cfRule type="duplicateValues" dxfId="13911" priority="18801"/>
    <cfRule type="duplicateValues" dxfId="13910" priority="18802"/>
    <cfRule type="duplicateValues" dxfId="13909" priority="18803"/>
    <cfRule type="duplicateValues" dxfId="13908" priority="18804"/>
    <cfRule type="duplicateValues" dxfId="13907" priority="18805"/>
    <cfRule type="duplicateValues" dxfId="13906" priority="18806"/>
  </conditionalFormatting>
  <conditionalFormatting sqref="C251">
    <cfRule type="duplicateValues" dxfId="13905" priority="18117"/>
    <cfRule type="duplicateValues" dxfId="13904" priority="18118"/>
    <cfRule type="duplicateValues" dxfId="13903" priority="18119"/>
    <cfRule type="duplicateValues" dxfId="13902" priority="18120"/>
    <cfRule type="duplicateValues" dxfId="13901" priority="18121"/>
    <cfRule type="duplicateValues" dxfId="13900" priority="18122"/>
    <cfRule type="duplicateValues" dxfId="13899" priority="18123"/>
    <cfRule type="duplicateValues" dxfId="13898" priority="18124"/>
    <cfRule type="duplicateValues" dxfId="13897" priority="18125"/>
    <cfRule type="duplicateValues" dxfId="13896" priority="18126"/>
    <cfRule type="duplicateValues" dxfId="13895" priority="18127"/>
    <cfRule type="duplicateValues" dxfId="13894" priority="18128"/>
    <cfRule type="duplicateValues" dxfId="13893" priority="18129"/>
    <cfRule type="duplicateValues" dxfId="13892" priority="18130"/>
    <cfRule type="duplicateValues" dxfId="13891" priority="18131"/>
    <cfRule type="duplicateValues" dxfId="13890" priority="18132"/>
    <cfRule type="duplicateValues" dxfId="13889" priority="18133"/>
    <cfRule type="duplicateValues" dxfId="13888" priority="18134"/>
    <cfRule type="duplicateValues" dxfId="13887" priority="18135"/>
    <cfRule type="duplicateValues" dxfId="13886" priority="18136"/>
    <cfRule type="duplicateValues" dxfId="13885" priority="18137"/>
    <cfRule type="duplicateValues" dxfId="13884" priority="18138"/>
    <cfRule type="duplicateValues" dxfId="13883" priority="18139"/>
    <cfRule type="duplicateValues" dxfId="13882" priority="18140"/>
    <cfRule type="duplicateValues" dxfId="13881" priority="18141"/>
    <cfRule type="duplicateValues" dxfId="13880" priority="18142"/>
    <cfRule type="duplicateValues" dxfId="13879" priority="18143"/>
    <cfRule type="duplicateValues" dxfId="13878" priority="18144"/>
    <cfRule type="duplicateValues" dxfId="13877" priority="18145"/>
    <cfRule type="duplicateValues" dxfId="13876" priority="18146"/>
    <cfRule type="duplicateValues" dxfId="13875" priority="18147"/>
    <cfRule type="duplicateValues" dxfId="13874" priority="18148"/>
    <cfRule type="duplicateValues" dxfId="13873" priority="18149"/>
    <cfRule type="duplicateValues" dxfId="13872" priority="18150"/>
    <cfRule type="duplicateValues" dxfId="13871" priority="18151"/>
    <cfRule type="duplicateValues" dxfId="13870" priority="18152"/>
    <cfRule type="duplicateValues" dxfId="13869" priority="18153"/>
    <cfRule type="duplicateValues" dxfId="13868" priority="18154"/>
    <cfRule type="duplicateValues" dxfId="13867" priority="18155"/>
    <cfRule type="duplicateValues" dxfId="13866" priority="18156"/>
    <cfRule type="duplicateValues" dxfId="13865" priority="18157"/>
    <cfRule type="duplicateValues" dxfId="13864" priority="18158"/>
    <cfRule type="duplicateValues" dxfId="13863" priority="18159"/>
    <cfRule type="duplicateValues" dxfId="13862" priority="18160"/>
    <cfRule type="duplicateValues" dxfId="13861" priority="18161"/>
    <cfRule type="duplicateValues" dxfId="13860" priority="18162"/>
    <cfRule type="duplicateValues" dxfId="13859" priority="18163"/>
    <cfRule type="duplicateValues" dxfId="13858" priority="18164"/>
    <cfRule type="duplicateValues" dxfId="13857" priority="18165"/>
    <cfRule type="duplicateValues" dxfId="13856" priority="18166"/>
    <cfRule type="duplicateValues" dxfId="13855" priority="18167"/>
    <cfRule type="duplicateValues" dxfId="13854" priority="18168"/>
    <cfRule type="duplicateValues" dxfId="13853" priority="18169"/>
    <cfRule type="duplicateValues" dxfId="13852" priority="18170"/>
    <cfRule type="duplicateValues" dxfId="13851" priority="18171"/>
    <cfRule type="duplicateValues" dxfId="13850" priority="18172"/>
    <cfRule type="duplicateValues" dxfId="13849" priority="18173"/>
    <cfRule type="duplicateValues" dxfId="13848" priority="18174"/>
    <cfRule type="duplicateValues" dxfId="13847" priority="18175"/>
    <cfRule type="duplicateValues" dxfId="13846" priority="18176"/>
    <cfRule type="duplicateValues" dxfId="13845" priority="18177"/>
    <cfRule type="duplicateValues" dxfId="13844" priority="18178"/>
    <cfRule type="duplicateValues" dxfId="13843" priority="18179"/>
    <cfRule type="duplicateValues" dxfId="13842" priority="18180"/>
    <cfRule type="duplicateValues" dxfId="13841" priority="18181"/>
    <cfRule type="duplicateValues" dxfId="13840" priority="18182"/>
    <cfRule type="duplicateValues" dxfId="13839" priority="18183"/>
    <cfRule type="duplicateValues" dxfId="13838" priority="18184"/>
    <cfRule type="duplicateValues" dxfId="13837" priority="18185"/>
    <cfRule type="duplicateValues" dxfId="13836" priority="18186"/>
    <cfRule type="duplicateValues" dxfId="13835" priority="18187"/>
    <cfRule type="duplicateValues" dxfId="13834" priority="18188"/>
    <cfRule type="duplicateValues" dxfId="13833" priority="18189"/>
    <cfRule type="duplicateValues" dxfId="13832" priority="18190"/>
    <cfRule type="duplicateValues" dxfId="13831" priority="18191"/>
    <cfRule type="duplicateValues" dxfId="13830" priority="18192"/>
    <cfRule type="duplicateValues" dxfId="13829" priority="18193"/>
    <cfRule type="duplicateValues" dxfId="13828" priority="18194"/>
    <cfRule type="duplicateValues" dxfId="13827" priority="18195"/>
    <cfRule type="duplicateValues" dxfId="13826" priority="18196"/>
    <cfRule type="duplicateValues" dxfId="13825" priority="18197"/>
    <cfRule type="duplicateValues" dxfId="13824" priority="18198"/>
    <cfRule type="duplicateValues" dxfId="13823" priority="18199"/>
    <cfRule type="duplicateValues" dxfId="13822" priority="18200"/>
    <cfRule type="duplicateValues" dxfId="13821" priority="18201"/>
    <cfRule type="duplicateValues" dxfId="13820" priority="18202"/>
    <cfRule type="duplicateValues" dxfId="13819" priority="18203"/>
    <cfRule type="duplicateValues" dxfId="13818" priority="18204"/>
    <cfRule type="duplicateValues" dxfId="13817" priority="18205"/>
    <cfRule type="duplicateValues" dxfId="13816" priority="18206"/>
    <cfRule type="duplicateValues" dxfId="13815" priority="18207"/>
    <cfRule type="duplicateValues" dxfId="13814" priority="18208"/>
    <cfRule type="duplicateValues" dxfId="13813" priority="18209"/>
    <cfRule type="duplicateValues" dxfId="13812" priority="18210"/>
    <cfRule type="duplicateValues" dxfId="13811" priority="18211"/>
    <cfRule type="duplicateValues" dxfId="13810" priority="18212"/>
    <cfRule type="duplicateValues" dxfId="13809" priority="18213"/>
    <cfRule type="duplicateValues" dxfId="13808" priority="18214"/>
    <cfRule type="duplicateValues" dxfId="13807" priority="18215"/>
    <cfRule type="duplicateValues" dxfId="13806" priority="18216"/>
    <cfRule type="duplicateValues" dxfId="13805" priority="18217"/>
    <cfRule type="duplicateValues" dxfId="13804" priority="18218"/>
    <cfRule type="duplicateValues" dxfId="13803" priority="18219"/>
    <cfRule type="duplicateValues" dxfId="13802" priority="18220"/>
    <cfRule type="duplicateValues" dxfId="13801" priority="18221"/>
    <cfRule type="duplicateValues" dxfId="13800" priority="18222"/>
    <cfRule type="duplicateValues" dxfId="13799" priority="18223"/>
    <cfRule type="duplicateValues" dxfId="13798" priority="18224"/>
    <cfRule type="duplicateValues" dxfId="13797" priority="18225"/>
    <cfRule type="duplicateValues" dxfId="13796" priority="18226"/>
    <cfRule type="duplicateValues" dxfId="13795" priority="18227"/>
    <cfRule type="duplicateValues" dxfId="13794" priority="18228"/>
    <cfRule type="duplicateValues" dxfId="13793" priority="18229"/>
    <cfRule type="duplicateValues" dxfId="13792" priority="18230"/>
    <cfRule type="duplicateValues" dxfId="13791" priority="18231"/>
    <cfRule type="duplicateValues" dxfId="13790" priority="18232"/>
    <cfRule type="duplicateValues" dxfId="13789" priority="18233"/>
    <cfRule type="duplicateValues" dxfId="13788" priority="18234"/>
    <cfRule type="duplicateValues" dxfId="13787" priority="18235"/>
    <cfRule type="duplicateValues" dxfId="13786" priority="18236"/>
    <cfRule type="duplicateValues" dxfId="13785" priority="18237"/>
    <cfRule type="duplicateValues" dxfId="13784" priority="18238"/>
    <cfRule type="duplicateValues" dxfId="13783" priority="18239"/>
    <cfRule type="duplicateValues" dxfId="13782" priority="18240"/>
    <cfRule type="duplicateValues" dxfId="13781" priority="18241"/>
    <cfRule type="duplicateValues" dxfId="13780" priority="18242"/>
    <cfRule type="duplicateValues" dxfId="13779" priority="18243"/>
    <cfRule type="duplicateValues" dxfId="13778" priority="18244"/>
    <cfRule type="duplicateValues" dxfId="13777" priority="18245"/>
    <cfRule type="duplicateValues" dxfId="13776" priority="18246"/>
    <cfRule type="duplicateValues" dxfId="13775" priority="18247"/>
    <cfRule type="duplicateValues" dxfId="13774" priority="18248"/>
    <cfRule type="duplicateValues" dxfId="13773" priority="18249"/>
    <cfRule type="duplicateValues" dxfId="13772" priority="18250"/>
    <cfRule type="duplicateValues" dxfId="13771" priority="18251"/>
    <cfRule type="duplicateValues" dxfId="13770" priority="18252"/>
    <cfRule type="duplicateValues" dxfId="13769" priority="18253"/>
    <cfRule type="duplicateValues" dxfId="13768" priority="18254"/>
    <cfRule type="duplicateValues" dxfId="13767" priority="18255"/>
    <cfRule type="duplicateValues" dxfId="13766" priority="18256"/>
    <cfRule type="duplicateValues" dxfId="13765" priority="18257"/>
    <cfRule type="duplicateValues" dxfId="13764" priority="18258"/>
    <cfRule type="duplicateValues" dxfId="13763" priority="18259"/>
    <cfRule type="duplicateValues" dxfId="13762" priority="18260"/>
    <cfRule type="duplicateValues" dxfId="13761" priority="18261"/>
    <cfRule type="duplicateValues" dxfId="13760" priority="18262"/>
    <cfRule type="duplicateValues" dxfId="13759" priority="18263"/>
    <cfRule type="duplicateValues" dxfId="13758" priority="18264"/>
    <cfRule type="duplicateValues" dxfId="13757" priority="18265"/>
    <cfRule type="duplicateValues" dxfId="13756" priority="18266"/>
    <cfRule type="duplicateValues" dxfId="13755" priority="18267"/>
    <cfRule type="duplicateValues" dxfId="13754" priority="18268"/>
    <cfRule type="duplicateValues" dxfId="13753" priority="18269"/>
    <cfRule type="duplicateValues" dxfId="13752" priority="18270"/>
    <cfRule type="duplicateValues" dxfId="13751" priority="18271"/>
    <cfRule type="duplicateValues" dxfId="13750" priority="18272"/>
    <cfRule type="duplicateValues" dxfId="13749" priority="18273"/>
    <cfRule type="duplicateValues" dxfId="13748" priority="18274"/>
    <cfRule type="duplicateValues" dxfId="13747" priority="18275"/>
    <cfRule type="duplicateValues" dxfId="13746" priority="18276"/>
    <cfRule type="duplicateValues" dxfId="13745" priority="18277"/>
    <cfRule type="duplicateValues" dxfId="13744" priority="18278"/>
    <cfRule type="duplicateValues" dxfId="13743" priority="18279"/>
    <cfRule type="duplicateValues" dxfId="13742" priority="18280"/>
    <cfRule type="duplicateValues" dxfId="13741" priority="18281"/>
    <cfRule type="duplicateValues" dxfId="13740" priority="18282"/>
    <cfRule type="duplicateValues" dxfId="13739" priority="18283"/>
    <cfRule type="duplicateValues" dxfId="13738" priority="18284"/>
    <cfRule type="duplicateValues" dxfId="13737" priority="18285"/>
    <cfRule type="duplicateValues" dxfId="13736" priority="18286"/>
    <cfRule type="duplicateValues" dxfId="13735" priority="18287"/>
    <cfRule type="duplicateValues" dxfId="13734" priority="18288"/>
    <cfRule type="duplicateValues" dxfId="13733" priority="18289"/>
    <cfRule type="duplicateValues" dxfId="13732" priority="18290"/>
    <cfRule type="duplicateValues" dxfId="13731" priority="18291"/>
    <cfRule type="duplicateValues" dxfId="13730" priority="18292"/>
    <cfRule type="duplicateValues" dxfId="13729" priority="18293"/>
    <cfRule type="duplicateValues" dxfId="13728" priority="18294"/>
    <cfRule type="duplicateValues" dxfId="13727" priority="18295"/>
    <cfRule type="duplicateValues" dxfId="13726" priority="18296"/>
    <cfRule type="duplicateValues" dxfId="13725" priority="18297"/>
    <cfRule type="duplicateValues" dxfId="13724" priority="18298"/>
    <cfRule type="duplicateValues" dxfId="13723" priority="18299"/>
    <cfRule type="duplicateValues" dxfId="13722" priority="18300"/>
    <cfRule type="duplicateValues" dxfId="13721" priority="18301"/>
    <cfRule type="duplicateValues" dxfId="13720" priority="18302"/>
    <cfRule type="duplicateValues" dxfId="13719" priority="18303"/>
    <cfRule type="duplicateValues" dxfId="13718" priority="18304"/>
    <cfRule type="duplicateValues" dxfId="13717" priority="18305"/>
    <cfRule type="duplicateValues" dxfId="13716" priority="18306"/>
    <cfRule type="duplicateValues" dxfId="13715" priority="18307"/>
    <cfRule type="duplicateValues" dxfId="13714" priority="18308"/>
    <cfRule type="duplicateValues" dxfId="13713" priority="18309"/>
    <cfRule type="duplicateValues" dxfId="13712" priority="18310"/>
    <cfRule type="duplicateValues" dxfId="13711" priority="18311"/>
    <cfRule type="duplicateValues" dxfId="13710" priority="18312"/>
    <cfRule type="duplicateValues" dxfId="13709" priority="18313"/>
    <cfRule type="duplicateValues" dxfId="13708" priority="18314"/>
    <cfRule type="duplicateValues" dxfId="13707" priority="18315"/>
    <cfRule type="duplicateValues" dxfId="13706" priority="18316"/>
    <cfRule type="duplicateValues" dxfId="13705" priority="18317"/>
    <cfRule type="duplicateValues" dxfId="13704" priority="18318"/>
    <cfRule type="duplicateValues" dxfId="13703" priority="18319"/>
    <cfRule type="duplicateValues" dxfId="13702" priority="18320"/>
    <cfRule type="duplicateValues" dxfId="13701" priority="18321"/>
    <cfRule type="duplicateValues" dxfId="13700" priority="18322"/>
    <cfRule type="duplicateValues" dxfId="13699" priority="18323"/>
    <cfRule type="duplicateValues" dxfId="13698" priority="18324"/>
    <cfRule type="duplicateValues" dxfId="13697" priority="18325"/>
    <cfRule type="duplicateValues" dxfId="13696" priority="18326"/>
    <cfRule type="duplicateValues" dxfId="13695" priority="18327"/>
    <cfRule type="duplicateValues" dxfId="13694" priority="18328"/>
    <cfRule type="duplicateValues" dxfId="13693" priority="18329"/>
    <cfRule type="duplicateValues" dxfId="13692" priority="18330"/>
    <cfRule type="duplicateValues" dxfId="13691" priority="18331"/>
    <cfRule type="duplicateValues" dxfId="13690" priority="18332"/>
    <cfRule type="duplicateValues" dxfId="13689" priority="18333"/>
    <cfRule type="duplicateValues" dxfId="13688" priority="18334"/>
    <cfRule type="duplicateValues" dxfId="13687" priority="18335"/>
    <cfRule type="duplicateValues" dxfId="13686" priority="18336"/>
    <cfRule type="duplicateValues" dxfId="13685" priority="18337"/>
    <cfRule type="duplicateValues" dxfId="13684" priority="18338"/>
    <cfRule type="duplicateValues" dxfId="13683" priority="18339"/>
    <cfRule type="duplicateValues" dxfId="13682" priority="18340"/>
    <cfRule type="duplicateValues" dxfId="13681" priority="18341"/>
    <cfRule type="duplicateValues" dxfId="13680" priority="18342"/>
    <cfRule type="duplicateValues" dxfId="13679" priority="18343"/>
    <cfRule type="duplicateValues" dxfId="13678" priority="18344"/>
    <cfRule type="duplicateValues" dxfId="13677" priority="18345"/>
    <cfRule type="duplicateValues" dxfId="13676" priority="18346"/>
    <cfRule type="duplicateValues" dxfId="13675" priority="18347"/>
    <cfRule type="duplicateValues" dxfId="13674" priority="18348"/>
    <cfRule type="duplicateValues" dxfId="13673" priority="18349"/>
    <cfRule type="duplicateValues" dxfId="13672" priority="18350"/>
    <cfRule type="duplicateValues" dxfId="13671" priority="18351"/>
    <cfRule type="duplicateValues" dxfId="13670" priority="18352"/>
    <cfRule type="duplicateValues" dxfId="13669" priority="18353"/>
    <cfRule type="duplicateValues" dxfId="13668" priority="18354"/>
    <cfRule type="duplicateValues" dxfId="13667" priority="18355"/>
    <cfRule type="duplicateValues" dxfId="13666" priority="18356"/>
    <cfRule type="duplicateValues" dxfId="13665" priority="18357"/>
    <cfRule type="duplicateValues" dxfId="13664" priority="18358"/>
    <cfRule type="duplicateValues" dxfId="13663" priority="18359"/>
    <cfRule type="duplicateValues" dxfId="13662" priority="18360"/>
    <cfRule type="duplicateValues" dxfId="13661" priority="18361"/>
    <cfRule type="duplicateValues" dxfId="13660" priority="18362"/>
    <cfRule type="duplicateValues" dxfId="13659" priority="18363"/>
    <cfRule type="duplicateValues" dxfId="13658" priority="18364"/>
    <cfRule type="duplicateValues" dxfId="13657" priority="18365"/>
    <cfRule type="duplicateValues" dxfId="13656" priority="18366"/>
    <cfRule type="duplicateValues" dxfId="13655" priority="18367"/>
    <cfRule type="duplicateValues" dxfId="13654" priority="18368"/>
    <cfRule type="duplicateValues" dxfId="13653" priority="18369"/>
    <cfRule type="duplicateValues" dxfId="13652" priority="18370"/>
    <cfRule type="duplicateValues" dxfId="13651" priority="18371"/>
    <cfRule type="duplicateValues" dxfId="13650" priority="18372"/>
    <cfRule type="duplicateValues" dxfId="13649" priority="18373"/>
    <cfRule type="duplicateValues" dxfId="13648" priority="18374"/>
    <cfRule type="duplicateValues" dxfId="13647" priority="18375"/>
    <cfRule type="duplicateValues" dxfId="13646" priority="18376"/>
    <cfRule type="duplicateValues" dxfId="13645" priority="18377"/>
    <cfRule type="duplicateValues" dxfId="13644" priority="18378"/>
    <cfRule type="duplicateValues" dxfId="13643" priority="18379"/>
    <cfRule type="duplicateValues" dxfId="13642" priority="18380"/>
    <cfRule type="duplicateValues" dxfId="13641" priority="18381"/>
    <cfRule type="duplicateValues" dxfId="13640" priority="18382"/>
    <cfRule type="duplicateValues" dxfId="13639" priority="18383"/>
    <cfRule type="duplicateValues" dxfId="13638" priority="18384"/>
    <cfRule type="duplicateValues" dxfId="13637" priority="18385"/>
    <cfRule type="duplicateValues" dxfId="13636" priority="18386"/>
    <cfRule type="duplicateValues" dxfId="13635" priority="18387"/>
    <cfRule type="duplicateValues" dxfId="13634" priority="18388"/>
    <cfRule type="duplicateValues" dxfId="13633" priority="18389"/>
    <cfRule type="duplicateValues" dxfId="13632" priority="18390"/>
    <cfRule type="duplicateValues" dxfId="13631" priority="18391"/>
    <cfRule type="duplicateValues" dxfId="13630" priority="18392"/>
    <cfRule type="duplicateValues" dxfId="13629" priority="18393"/>
    <cfRule type="duplicateValues" dxfId="13628" priority="18394"/>
    <cfRule type="duplicateValues" dxfId="13627" priority="18395"/>
    <cfRule type="duplicateValues" dxfId="13626" priority="18396"/>
    <cfRule type="duplicateValues" dxfId="13625" priority="18397"/>
    <cfRule type="duplicateValues" dxfId="13624" priority="18398"/>
    <cfRule type="duplicateValues" dxfId="13623" priority="18399"/>
    <cfRule type="duplicateValues" dxfId="13622" priority="18400"/>
    <cfRule type="duplicateValues" dxfId="13621" priority="18401"/>
    <cfRule type="duplicateValues" dxfId="13620" priority="18402"/>
    <cfRule type="duplicateValues" dxfId="13619" priority="18403"/>
    <cfRule type="duplicateValues" dxfId="13618" priority="18404"/>
    <cfRule type="duplicateValues" dxfId="13617" priority="18405"/>
    <cfRule type="duplicateValues" dxfId="13616" priority="18406"/>
    <cfRule type="duplicateValues" dxfId="13615" priority="18407"/>
    <cfRule type="duplicateValues" dxfId="13614" priority="18408"/>
    <cfRule type="duplicateValues" dxfId="13613" priority="18409"/>
    <cfRule type="duplicateValues" dxfId="13612" priority="18410"/>
    <cfRule type="duplicateValues" dxfId="13611" priority="18411"/>
    <cfRule type="duplicateValues" dxfId="13610" priority="18412"/>
    <cfRule type="duplicateValues" dxfId="13609" priority="18413"/>
    <cfRule type="duplicateValues" dxfId="13608" priority="18414"/>
    <cfRule type="duplicateValues" dxfId="13607" priority="18415"/>
    <cfRule type="duplicateValues" dxfId="13606" priority="18416"/>
    <cfRule type="duplicateValues" dxfId="13605" priority="18417"/>
    <cfRule type="duplicateValues" dxfId="13604" priority="18418"/>
    <cfRule type="duplicateValues" dxfId="13603" priority="18419"/>
    <cfRule type="duplicateValues" dxfId="13602" priority="18420"/>
    <cfRule type="duplicateValues" dxfId="13601" priority="18421"/>
    <cfRule type="duplicateValues" dxfId="13600" priority="18422"/>
    <cfRule type="duplicateValues" dxfId="13599" priority="18423"/>
    <cfRule type="duplicateValues" dxfId="13598" priority="18424"/>
    <cfRule type="duplicateValues" dxfId="13597" priority="18425"/>
    <cfRule type="duplicateValues" dxfId="13596" priority="18426"/>
    <cfRule type="duplicateValues" dxfId="13595" priority="18427"/>
    <cfRule type="duplicateValues" dxfId="13594" priority="18428"/>
    <cfRule type="duplicateValues" dxfId="13593" priority="18429"/>
    <cfRule type="duplicateValues" dxfId="13592" priority="18430"/>
    <cfRule type="duplicateValues" dxfId="13591" priority="18431"/>
    <cfRule type="duplicateValues" dxfId="13590" priority="18432"/>
    <cfRule type="duplicateValues" dxfId="13589" priority="18433"/>
    <cfRule type="duplicateValues" dxfId="13588" priority="18434"/>
    <cfRule type="duplicateValues" dxfId="13587" priority="18435"/>
    <cfRule type="duplicateValues" dxfId="13586" priority="18436"/>
    <cfRule type="duplicateValues" dxfId="13585" priority="18437"/>
    <cfRule type="duplicateValues" dxfId="13584" priority="18438"/>
    <cfRule type="duplicateValues" dxfId="13583" priority="18439"/>
    <cfRule type="duplicateValues" dxfId="13582" priority="18440"/>
    <cfRule type="duplicateValues" dxfId="13581" priority="18441"/>
    <cfRule type="duplicateValues" dxfId="13580" priority="18442"/>
    <cfRule type="duplicateValues" dxfId="13579" priority="18443"/>
    <cfRule type="duplicateValues" dxfId="13578" priority="18444"/>
    <cfRule type="duplicateValues" dxfId="13577" priority="18445"/>
    <cfRule type="duplicateValues" dxfId="13576" priority="18446"/>
    <cfRule type="duplicateValues" dxfId="13575" priority="18447"/>
    <cfRule type="duplicateValues" dxfId="13574" priority="18448"/>
    <cfRule type="duplicateValues" dxfId="13573" priority="18449"/>
    <cfRule type="duplicateValues" dxfId="13572" priority="18450"/>
    <cfRule type="duplicateValues" dxfId="13571" priority="18451"/>
    <cfRule type="duplicateValues" dxfId="13570" priority="18452"/>
    <cfRule type="duplicateValues" dxfId="13569" priority="18453"/>
    <cfRule type="duplicateValues" dxfId="13568" priority="18454"/>
    <cfRule type="duplicateValues" dxfId="13567" priority="18455"/>
    <cfRule type="duplicateValues" dxfId="13566" priority="18456"/>
    <cfRule type="duplicateValues" dxfId="13565" priority="18457"/>
    <cfRule type="duplicateValues" dxfId="13564" priority="18458"/>
    <cfRule type="duplicateValues" dxfId="13563" priority="18459"/>
    <cfRule type="duplicateValues" dxfId="13562" priority="18460"/>
    <cfRule type="duplicateValues" dxfId="13561" priority="18461"/>
  </conditionalFormatting>
  <conditionalFormatting sqref="C252">
    <cfRule type="duplicateValues" dxfId="13560" priority="17772"/>
    <cfRule type="duplicateValues" dxfId="13559" priority="17773"/>
    <cfRule type="duplicateValues" dxfId="13558" priority="17774"/>
    <cfRule type="duplicateValues" dxfId="13557" priority="17775"/>
    <cfRule type="duplicateValues" dxfId="13556" priority="17776"/>
    <cfRule type="duplicateValues" dxfId="13555" priority="17777"/>
    <cfRule type="duplicateValues" dxfId="13554" priority="17778"/>
    <cfRule type="duplicateValues" dxfId="13553" priority="17779"/>
    <cfRule type="duplicateValues" dxfId="13552" priority="17780"/>
    <cfRule type="duplicateValues" dxfId="13551" priority="17781"/>
    <cfRule type="duplicateValues" dxfId="13550" priority="17782"/>
    <cfRule type="duplicateValues" dxfId="13549" priority="17783"/>
    <cfRule type="duplicateValues" dxfId="13548" priority="17784"/>
    <cfRule type="duplicateValues" dxfId="13547" priority="17785"/>
    <cfRule type="duplicateValues" dxfId="13546" priority="17786"/>
    <cfRule type="duplicateValues" dxfId="13545" priority="17787"/>
    <cfRule type="duplicateValues" dxfId="13544" priority="17788"/>
    <cfRule type="duplicateValues" dxfId="13543" priority="17789"/>
    <cfRule type="duplicateValues" dxfId="13542" priority="17790"/>
    <cfRule type="duplicateValues" dxfId="13541" priority="17791"/>
    <cfRule type="duplicateValues" dxfId="13540" priority="17792"/>
    <cfRule type="duplicateValues" dxfId="13539" priority="17793"/>
    <cfRule type="duplicateValues" dxfId="13538" priority="17794"/>
    <cfRule type="duplicateValues" dxfId="13537" priority="17795"/>
    <cfRule type="duplicateValues" dxfId="13536" priority="17796"/>
    <cfRule type="duplicateValues" dxfId="13535" priority="17797"/>
    <cfRule type="duplicateValues" dxfId="13534" priority="17798"/>
    <cfRule type="duplicateValues" dxfId="13533" priority="17799"/>
    <cfRule type="duplicateValues" dxfId="13532" priority="17800"/>
    <cfRule type="duplicateValues" dxfId="13531" priority="17801"/>
    <cfRule type="duplicateValues" dxfId="13530" priority="17802"/>
    <cfRule type="duplicateValues" dxfId="13529" priority="17803"/>
    <cfRule type="duplicateValues" dxfId="13528" priority="17804"/>
    <cfRule type="duplicateValues" dxfId="13527" priority="17805"/>
    <cfRule type="duplicateValues" dxfId="13526" priority="17806"/>
    <cfRule type="duplicateValues" dxfId="13525" priority="17807"/>
    <cfRule type="duplicateValues" dxfId="13524" priority="17808"/>
    <cfRule type="duplicateValues" dxfId="13523" priority="17809"/>
    <cfRule type="duplicateValues" dxfId="13522" priority="17810"/>
    <cfRule type="duplicateValues" dxfId="13521" priority="17811"/>
    <cfRule type="duplicateValues" dxfId="13520" priority="17812"/>
    <cfRule type="duplicateValues" dxfId="13519" priority="17813"/>
    <cfRule type="duplicateValues" dxfId="13518" priority="17814"/>
    <cfRule type="duplicateValues" dxfId="13517" priority="17815"/>
    <cfRule type="duplicateValues" dxfId="13516" priority="17816"/>
    <cfRule type="duplicateValues" dxfId="13515" priority="17817"/>
    <cfRule type="duplicateValues" dxfId="13514" priority="17818"/>
    <cfRule type="duplicateValues" dxfId="13513" priority="17819"/>
    <cfRule type="duplicateValues" dxfId="13512" priority="17820"/>
    <cfRule type="duplicateValues" dxfId="13511" priority="17821"/>
    <cfRule type="duplicateValues" dxfId="13510" priority="17822"/>
    <cfRule type="duplicateValues" dxfId="13509" priority="17823"/>
    <cfRule type="duplicateValues" dxfId="13508" priority="17824"/>
    <cfRule type="duplicateValues" dxfId="13507" priority="17825"/>
    <cfRule type="duplicateValues" dxfId="13506" priority="17826"/>
    <cfRule type="duplicateValues" dxfId="13505" priority="17827"/>
    <cfRule type="duplicateValues" dxfId="13504" priority="17828"/>
    <cfRule type="duplicateValues" dxfId="13503" priority="17829"/>
    <cfRule type="duplicateValues" dxfId="13502" priority="17830"/>
    <cfRule type="duplicateValues" dxfId="13501" priority="17831"/>
    <cfRule type="duplicateValues" dxfId="13500" priority="17832"/>
    <cfRule type="duplicateValues" dxfId="13499" priority="17833"/>
    <cfRule type="duplicateValues" dxfId="13498" priority="17834"/>
    <cfRule type="duplicateValues" dxfId="13497" priority="17835"/>
    <cfRule type="duplicateValues" dxfId="13496" priority="17836"/>
    <cfRule type="duplicateValues" dxfId="13495" priority="17837"/>
    <cfRule type="duplicateValues" dxfId="13494" priority="17838"/>
    <cfRule type="duplicateValues" dxfId="13493" priority="17839"/>
    <cfRule type="duplicateValues" dxfId="13492" priority="17840"/>
    <cfRule type="duplicateValues" dxfId="13491" priority="17841"/>
    <cfRule type="duplicateValues" dxfId="13490" priority="17842"/>
    <cfRule type="duplicateValues" dxfId="13489" priority="17843"/>
    <cfRule type="duplicateValues" dxfId="13488" priority="17844"/>
    <cfRule type="duplicateValues" dxfId="13487" priority="17845"/>
    <cfRule type="duplicateValues" dxfId="13486" priority="17846"/>
    <cfRule type="duplicateValues" dxfId="13485" priority="17847"/>
    <cfRule type="duplicateValues" dxfId="13484" priority="17848"/>
    <cfRule type="duplicateValues" dxfId="13483" priority="17849"/>
    <cfRule type="duplicateValues" dxfId="13482" priority="17850"/>
    <cfRule type="duplicateValues" dxfId="13481" priority="17851"/>
    <cfRule type="duplicateValues" dxfId="13480" priority="17852"/>
    <cfRule type="duplicateValues" dxfId="13479" priority="17853"/>
    <cfRule type="duplicateValues" dxfId="13478" priority="17854"/>
    <cfRule type="duplicateValues" dxfId="13477" priority="17855"/>
    <cfRule type="duplicateValues" dxfId="13476" priority="17856"/>
    <cfRule type="duplicateValues" dxfId="13475" priority="17857"/>
    <cfRule type="duplicateValues" dxfId="13474" priority="17858"/>
    <cfRule type="duplicateValues" dxfId="13473" priority="17859"/>
    <cfRule type="duplicateValues" dxfId="13472" priority="17860"/>
    <cfRule type="duplicateValues" dxfId="13471" priority="17861"/>
    <cfRule type="duplicateValues" dxfId="13470" priority="17862"/>
    <cfRule type="duplicateValues" dxfId="13469" priority="17863"/>
    <cfRule type="duplicateValues" dxfId="13468" priority="17864"/>
    <cfRule type="duplicateValues" dxfId="13467" priority="17865"/>
    <cfRule type="duplicateValues" dxfId="13466" priority="17866"/>
    <cfRule type="duplicateValues" dxfId="13465" priority="17867"/>
    <cfRule type="duplicateValues" dxfId="13464" priority="17868"/>
    <cfRule type="duplicateValues" dxfId="13463" priority="17869"/>
    <cfRule type="duplicateValues" dxfId="13462" priority="17870"/>
    <cfRule type="duplicateValues" dxfId="13461" priority="17871"/>
    <cfRule type="duplicateValues" dxfId="13460" priority="17872"/>
    <cfRule type="duplicateValues" dxfId="13459" priority="17873"/>
    <cfRule type="duplicateValues" dxfId="13458" priority="17874"/>
    <cfRule type="duplicateValues" dxfId="13457" priority="17875"/>
    <cfRule type="duplicateValues" dxfId="13456" priority="17876"/>
    <cfRule type="duplicateValues" dxfId="13455" priority="17877"/>
    <cfRule type="duplicateValues" dxfId="13454" priority="17878"/>
    <cfRule type="duplicateValues" dxfId="13453" priority="17879"/>
    <cfRule type="duplicateValues" dxfId="13452" priority="17880"/>
    <cfRule type="duplicateValues" dxfId="13451" priority="17881"/>
    <cfRule type="duplicateValues" dxfId="13450" priority="17882"/>
    <cfRule type="duplicateValues" dxfId="13449" priority="17883"/>
    <cfRule type="duplicateValues" dxfId="13448" priority="17884"/>
    <cfRule type="duplicateValues" dxfId="13447" priority="17885"/>
    <cfRule type="duplicateValues" dxfId="13446" priority="17886"/>
    <cfRule type="duplicateValues" dxfId="13445" priority="17887"/>
    <cfRule type="duplicateValues" dxfId="13444" priority="17888"/>
    <cfRule type="duplicateValues" dxfId="13443" priority="17889"/>
    <cfRule type="duplicateValues" dxfId="13442" priority="17890"/>
    <cfRule type="duplicateValues" dxfId="13441" priority="17891"/>
    <cfRule type="duplicateValues" dxfId="13440" priority="17892"/>
    <cfRule type="duplicateValues" dxfId="13439" priority="17893"/>
    <cfRule type="duplicateValues" dxfId="13438" priority="17894"/>
    <cfRule type="duplicateValues" dxfId="13437" priority="17895"/>
    <cfRule type="duplicateValues" dxfId="13436" priority="17896"/>
    <cfRule type="duplicateValues" dxfId="13435" priority="17897"/>
    <cfRule type="duplicateValues" dxfId="13434" priority="17898"/>
    <cfRule type="duplicateValues" dxfId="13433" priority="17899"/>
    <cfRule type="duplicateValues" dxfId="13432" priority="17900"/>
    <cfRule type="duplicateValues" dxfId="13431" priority="17901"/>
    <cfRule type="duplicateValues" dxfId="13430" priority="17902"/>
    <cfRule type="duplicateValues" dxfId="13429" priority="17903"/>
    <cfRule type="duplicateValues" dxfId="13428" priority="17904"/>
    <cfRule type="duplicateValues" dxfId="13427" priority="17905"/>
    <cfRule type="duplicateValues" dxfId="13426" priority="17906"/>
    <cfRule type="duplicateValues" dxfId="13425" priority="17907"/>
    <cfRule type="duplicateValues" dxfId="13424" priority="17908"/>
    <cfRule type="duplicateValues" dxfId="13423" priority="17909"/>
    <cfRule type="duplicateValues" dxfId="13422" priority="17910"/>
    <cfRule type="duplicateValues" dxfId="13421" priority="17911"/>
    <cfRule type="duplicateValues" dxfId="13420" priority="17912"/>
    <cfRule type="duplicateValues" dxfId="13419" priority="17913"/>
    <cfRule type="duplicateValues" dxfId="13418" priority="17914"/>
    <cfRule type="duplicateValues" dxfId="13417" priority="17915"/>
    <cfRule type="duplicateValues" dxfId="13416" priority="17916"/>
    <cfRule type="duplicateValues" dxfId="13415" priority="17917"/>
    <cfRule type="duplicateValues" dxfId="13414" priority="17918"/>
    <cfRule type="duplicateValues" dxfId="13413" priority="17919"/>
    <cfRule type="duplicateValues" dxfId="13412" priority="17920"/>
    <cfRule type="duplicateValues" dxfId="13411" priority="17921"/>
    <cfRule type="duplicateValues" dxfId="13410" priority="17922"/>
    <cfRule type="duplicateValues" dxfId="13409" priority="17923"/>
    <cfRule type="duplicateValues" dxfId="13408" priority="17924"/>
    <cfRule type="duplicateValues" dxfId="13407" priority="17925"/>
    <cfRule type="duplicateValues" dxfId="13406" priority="17926"/>
    <cfRule type="duplicateValues" dxfId="13405" priority="17927"/>
    <cfRule type="duplicateValues" dxfId="13404" priority="17928"/>
    <cfRule type="duplicateValues" dxfId="13403" priority="17929"/>
    <cfRule type="duplicateValues" dxfId="13402" priority="17930"/>
    <cfRule type="duplicateValues" dxfId="13401" priority="17931"/>
    <cfRule type="duplicateValues" dxfId="13400" priority="17932"/>
    <cfRule type="duplicateValues" dxfId="13399" priority="17933"/>
    <cfRule type="duplicateValues" dxfId="13398" priority="17934"/>
    <cfRule type="duplicateValues" dxfId="13397" priority="17935"/>
    <cfRule type="duplicateValues" dxfId="13396" priority="17936"/>
    <cfRule type="duplicateValues" dxfId="13395" priority="17937"/>
    <cfRule type="duplicateValues" dxfId="13394" priority="17938"/>
    <cfRule type="duplicateValues" dxfId="13393" priority="17939"/>
    <cfRule type="duplicateValues" dxfId="13392" priority="17940"/>
    <cfRule type="duplicateValues" dxfId="13391" priority="17941"/>
    <cfRule type="duplicateValues" dxfId="13390" priority="17942"/>
    <cfRule type="duplicateValues" dxfId="13389" priority="17943"/>
    <cfRule type="duplicateValues" dxfId="13388" priority="17944"/>
    <cfRule type="duplicateValues" dxfId="13387" priority="17945"/>
    <cfRule type="duplicateValues" dxfId="13386" priority="17946"/>
    <cfRule type="duplicateValues" dxfId="13385" priority="17947"/>
    <cfRule type="duplicateValues" dxfId="13384" priority="17948"/>
    <cfRule type="duplicateValues" dxfId="13383" priority="17949"/>
    <cfRule type="duplicateValues" dxfId="13382" priority="17950"/>
    <cfRule type="duplicateValues" dxfId="13381" priority="17951"/>
    <cfRule type="duplicateValues" dxfId="13380" priority="17952"/>
    <cfRule type="duplicateValues" dxfId="13379" priority="17953"/>
    <cfRule type="duplicateValues" dxfId="13378" priority="17954"/>
    <cfRule type="duplicateValues" dxfId="13377" priority="17955"/>
    <cfRule type="duplicateValues" dxfId="13376" priority="17956"/>
    <cfRule type="duplicateValues" dxfId="13375" priority="17957"/>
    <cfRule type="duplicateValues" dxfId="13374" priority="17958"/>
    <cfRule type="duplicateValues" dxfId="13373" priority="17959"/>
    <cfRule type="duplicateValues" dxfId="13372" priority="17960"/>
    <cfRule type="duplicateValues" dxfId="13371" priority="17961"/>
    <cfRule type="duplicateValues" dxfId="13370" priority="17962"/>
    <cfRule type="duplicateValues" dxfId="13369" priority="17963"/>
    <cfRule type="duplicateValues" dxfId="13368" priority="17964"/>
    <cfRule type="duplicateValues" dxfId="13367" priority="17965"/>
    <cfRule type="duplicateValues" dxfId="13366" priority="17966"/>
    <cfRule type="duplicateValues" dxfId="13365" priority="17967"/>
    <cfRule type="duplicateValues" dxfId="13364" priority="17968"/>
    <cfRule type="duplicateValues" dxfId="13363" priority="17969"/>
    <cfRule type="duplicateValues" dxfId="13362" priority="17970"/>
    <cfRule type="duplicateValues" dxfId="13361" priority="17971"/>
    <cfRule type="duplicateValues" dxfId="13360" priority="17972"/>
    <cfRule type="duplicateValues" dxfId="13359" priority="17973"/>
    <cfRule type="duplicateValues" dxfId="13358" priority="17974"/>
    <cfRule type="duplicateValues" dxfId="13357" priority="17975"/>
    <cfRule type="duplicateValues" dxfId="13356" priority="17976"/>
    <cfRule type="duplicateValues" dxfId="13355" priority="17977"/>
    <cfRule type="duplicateValues" dxfId="13354" priority="17978"/>
    <cfRule type="duplicateValues" dxfId="13353" priority="17979"/>
    <cfRule type="duplicateValues" dxfId="13352" priority="17980"/>
    <cfRule type="duplicateValues" dxfId="13351" priority="17981"/>
    <cfRule type="duplicateValues" dxfId="13350" priority="17982"/>
    <cfRule type="duplicateValues" dxfId="13349" priority="17983"/>
    <cfRule type="duplicateValues" dxfId="13348" priority="17984"/>
    <cfRule type="duplicateValues" dxfId="13347" priority="17985"/>
    <cfRule type="duplicateValues" dxfId="13346" priority="17986"/>
    <cfRule type="duplicateValues" dxfId="13345" priority="17987"/>
    <cfRule type="duplicateValues" dxfId="13344" priority="17988"/>
    <cfRule type="duplicateValues" dxfId="13343" priority="17989"/>
    <cfRule type="duplicateValues" dxfId="13342" priority="17990"/>
    <cfRule type="duplicateValues" dxfId="13341" priority="17991"/>
    <cfRule type="duplicateValues" dxfId="13340" priority="17992"/>
    <cfRule type="duplicateValues" dxfId="13339" priority="17993"/>
    <cfRule type="duplicateValues" dxfId="13338" priority="17994"/>
    <cfRule type="duplicateValues" dxfId="13337" priority="17995"/>
    <cfRule type="duplicateValues" dxfId="13336" priority="17996"/>
    <cfRule type="duplicateValues" dxfId="13335" priority="17997"/>
    <cfRule type="duplicateValues" dxfId="13334" priority="17998"/>
    <cfRule type="duplicateValues" dxfId="13333" priority="17999"/>
    <cfRule type="duplicateValues" dxfId="13332" priority="18000"/>
    <cfRule type="duplicateValues" dxfId="13331" priority="18001"/>
    <cfRule type="duplicateValues" dxfId="13330" priority="18002"/>
    <cfRule type="duplicateValues" dxfId="13329" priority="18003"/>
    <cfRule type="duplicateValues" dxfId="13328" priority="18004"/>
    <cfRule type="duplicateValues" dxfId="13327" priority="18005"/>
    <cfRule type="duplicateValues" dxfId="13326" priority="18006"/>
    <cfRule type="duplicateValues" dxfId="13325" priority="18007"/>
    <cfRule type="duplicateValues" dxfId="13324" priority="18008"/>
    <cfRule type="duplicateValues" dxfId="13323" priority="18009"/>
    <cfRule type="duplicateValues" dxfId="13322" priority="18010"/>
    <cfRule type="duplicateValues" dxfId="13321" priority="18011"/>
    <cfRule type="duplicateValues" dxfId="13320" priority="18012"/>
    <cfRule type="duplicateValues" dxfId="13319" priority="18013"/>
    <cfRule type="duplicateValues" dxfId="13318" priority="18014"/>
    <cfRule type="duplicateValues" dxfId="13317" priority="18015"/>
    <cfRule type="duplicateValues" dxfId="13316" priority="18016"/>
    <cfRule type="duplicateValues" dxfId="13315" priority="18017"/>
    <cfRule type="duplicateValues" dxfId="13314" priority="18018"/>
    <cfRule type="duplicateValues" dxfId="13313" priority="18019"/>
    <cfRule type="duplicateValues" dxfId="13312" priority="18020"/>
    <cfRule type="duplicateValues" dxfId="13311" priority="18021"/>
    <cfRule type="duplicateValues" dxfId="13310" priority="18022"/>
    <cfRule type="duplicateValues" dxfId="13309" priority="18023"/>
    <cfRule type="duplicateValues" dxfId="13308" priority="18024"/>
    <cfRule type="duplicateValues" dxfId="13307" priority="18025"/>
    <cfRule type="duplicateValues" dxfId="13306" priority="18026"/>
    <cfRule type="duplicateValues" dxfId="13305" priority="18027"/>
    <cfRule type="duplicateValues" dxfId="13304" priority="18028"/>
    <cfRule type="duplicateValues" dxfId="13303" priority="18029"/>
    <cfRule type="duplicateValues" dxfId="13302" priority="18030"/>
    <cfRule type="duplicateValues" dxfId="13301" priority="18031"/>
    <cfRule type="duplicateValues" dxfId="13300" priority="18032"/>
    <cfRule type="duplicateValues" dxfId="13299" priority="18033"/>
    <cfRule type="duplicateValues" dxfId="13298" priority="18034"/>
    <cfRule type="duplicateValues" dxfId="13297" priority="18035"/>
    <cfRule type="duplicateValues" dxfId="13296" priority="18036"/>
    <cfRule type="duplicateValues" dxfId="13295" priority="18037"/>
    <cfRule type="duplicateValues" dxfId="13294" priority="18038"/>
    <cfRule type="duplicateValues" dxfId="13293" priority="18039"/>
    <cfRule type="duplicateValues" dxfId="13292" priority="18040"/>
    <cfRule type="duplicateValues" dxfId="13291" priority="18041"/>
    <cfRule type="duplicateValues" dxfId="13290" priority="18042"/>
    <cfRule type="duplicateValues" dxfId="13289" priority="18043"/>
    <cfRule type="duplicateValues" dxfId="13288" priority="18044"/>
    <cfRule type="duplicateValues" dxfId="13287" priority="18045"/>
    <cfRule type="duplicateValues" dxfId="13286" priority="18046"/>
    <cfRule type="duplicateValues" dxfId="13285" priority="18047"/>
    <cfRule type="duplicateValues" dxfId="13284" priority="18048"/>
    <cfRule type="duplicateValues" dxfId="13283" priority="18049"/>
    <cfRule type="duplicateValues" dxfId="13282" priority="18050"/>
    <cfRule type="duplicateValues" dxfId="13281" priority="18051"/>
    <cfRule type="duplicateValues" dxfId="13280" priority="18052"/>
    <cfRule type="duplicateValues" dxfId="13279" priority="18053"/>
    <cfRule type="duplicateValues" dxfId="13278" priority="18054"/>
    <cfRule type="duplicateValues" dxfId="13277" priority="18055"/>
    <cfRule type="duplicateValues" dxfId="13276" priority="18056"/>
    <cfRule type="duplicateValues" dxfId="13275" priority="18057"/>
    <cfRule type="duplicateValues" dxfId="13274" priority="18058"/>
    <cfRule type="duplicateValues" dxfId="13273" priority="18059"/>
    <cfRule type="duplicateValues" dxfId="13272" priority="18060"/>
    <cfRule type="duplicateValues" dxfId="13271" priority="18061"/>
    <cfRule type="duplicateValues" dxfId="13270" priority="18062"/>
    <cfRule type="duplicateValues" dxfId="13269" priority="18063"/>
    <cfRule type="duplicateValues" dxfId="13268" priority="18064"/>
    <cfRule type="duplicateValues" dxfId="13267" priority="18065"/>
    <cfRule type="duplicateValues" dxfId="13266" priority="18066"/>
    <cfRule type="duplicateValues" dxfId="13265" priority="18067"/>
    <cfRule type="duplicateValues" dxfId="13264" priority="18068"/>
    <cfRule type="duplicateValues" dxfId="13263" priority="18069"/>
    <cfRule type="duplicateValues" dxfId="13262" priority="18070"/>
    <cfRule type="duplicateValues" dxfId="13261" priority="18071"/>
    <cfRule type="duplicateValues" dxfId="13260" priority="18072"/>
    <cfRule type="duplicateValues" dxfId="13259" priority="18073"/>
    <cfRule type="duplicateValues" dxfId="13258" priority="18074"/>
    <cfRule type="duplicateValues" dxfId="13257" priority="18075"/>
    <cfRule type="duplicateValues" dxfId="13256" priority="18076"/>
    <cfRule type="duplicateValues" dxfId="13255" priority="18077"/>
    <cfRule type="duplicateValues" dxfId="13254" priority="18078"/>
    <cfRule type="duplicateValues" dxfId="13253" priority="18079"/>
    <cfRule type="duplicateValues" dxfId="13252" priority="18080"/>
    <cfRule type="duplicateValues" dxfId="13251" priority="18081"/>
    <cfRule type="duplicateValues" dxfId="13250" priority="18082"/>
    <cfRule type="duplicateValues" dxfId="13249" priority="18083"/>
    <cfRule type="duplicateValues" dxfId="13248" priority="18084"/>
    <cfRule type="duplicateValues" dxfId="13247" priority="18085"/>
    <cfRule type="duplicateValues" dxfId="13246" priority="18086"/>
    <cfRule type="duplicateValues" dxfId="13245" priority="18087"/>
    <cfRule type="duplicateValues" dxfId="13244" priority="18088"/>
    <cfRule type="duplicateValues" dxfId="13243" priority="18089"/>
    <cfRule type="duplicateValues" dxfId="13242" priority="18090"/>
    <cfRule type="duplicateValues" dxfId="13241" priority="18091"/>
    <cfRule type="duplicateValues" dxfId="13240" priority="18092"/>
    <cfRule type="duplicateValues" dxfId="13239" priority="18093"/>
    <cfRule type="duplicateValues" dxfId="13238" priority="18094"/>
    <cfRule type="duplicateValues" dxfId="13237" priority="18095"/>
    <cfRule type="duplicateValues" dxfId="13236" priority="18096"/>
    <cfRule type="duplicateValues" dxfId="13235" priority="18097"/>
    <cfRule type="duplicateValues" dxfId="13234" priority="18098"/>
    <cfRule type="duplicateValues" dxfId="13233" priority="18099"/>
    <cfRule type="duplicateValues" dxfId="13232" priority="18100"/>
    <cfRule type="duplicateValues" dxfId="13231" priority="18101"/>
    <cfRule type="duplicateValues" dxfId="13230" priority="18102"/>
    <cfRule type="duplicateValues" dxfId="13229" priority="18103"/>
    <cfRule type="duplicateValues" dxfId="13228" priority="18104"/>
    <cfRule type="duplicateValues" dxfId="13227" priority="18105"/>
    <cfRule type="duplicateValues" dxfId="13226" priority="18106"/>
    <cfRule type="duplicateValues" dxfId="13225" priority="18107"/>
    <cfRule type="duplicateValues" dxfId="13224" priority="18108"/>
    <cfRule type="duplicateValues" dxfId="13223" priority="18109"/>
    <cfRule type="duplicateValues" dxfId="13222" priority="18110"/>
    <cfRule type="duplicateValues" dxfId="13221" priority="18111"/>
    <cfRule type="duplicateValues" dxfId="13220" priority="18112"/>
    <cfRule type="duplicateValues" dxfId="13219" priority="18113"/>
    <cfRule type="duplicateValues" dxfId="13218" priority="18114"/>
    <cfRule type="duplicateValues" dxfId="13217" priority="18115"/>
    <cfRule type="duplicateValues" dxfId="13216" priority="18116"/>
  </conditionalFormatting>
  <conditionalFormatting sqref="C253:C254">
    <cfRule type="duplicateValues" dxfId="13215" priority="5758"/>
    <cfRule type="duplicateValues" dxfId="13214" priority="5759"/>
    <cfRule type="duplicateValues" dxfId="13213" priority="5760"/>
    <cfRule type="duplicateValues" dxfId="13212" priority="5761"/>
    <cfRule type="duplicateValues" dxfId="13211" priority="5762"/>
    <cfRule type="duplicateValues" dxfId="13210" priority="5763"/>
    <cfRule type="duplicateValues" dxfId="13209" priority="5764"/>
    <cfRule type="duplicateValues" dxfId="13208" priority="5765"/>
    <cfRule type="duplicateValues" dxfId="13207" priority="5766"/>
    <cfRule type="duplicateValues" dxfId="13206" priority="5767"/>
    <cfRule type="duplicateValues" dxfId="13205" priority="5768"/>
    <cfRule type="duplicateValues" dxfId="13204" priority="5769"/>
    <cfRule type="duplicateValues" dxfId="13203" priority="5770"/>
    <cfRule type="duplicateValues" dxfId="13202" priority="5771"/>
    <cfRule type="duplicateValues" dxfId="13201" priority="5772"/>
    <cfRule type="duplicateValues" dxfId="13200" priority="5773"/>
    <cfRule type="duplicateValues" dxfId="13199" priority="5774"/>
    <cfRule type="duplicateValues" dxfId="13198" priority="5775"/>
    <cfRule type="duplicateValues" dxfId="13197" priority="5776"/>
    <cfRule type="duplicateValues" dxfId="13196" priority="5777"/>
    <cfRule type="duplicateValues" dxfId="13195" priority="5778"/>
    <cfRule type="duplicateValues" dxfId="13194" priority="5779"/>
    <cfRule type="duplicateValues" dxfId="13193" priority="5780"/>
    <cfRule type="duplicateValues" dxfId="13192" priority="5781"/>
    <cfRule type="duplicateValues" dxfId="13191" priority="5782"/>
    <cfRule type="duplicateValues" dxfId="13190" priority="5783"/>
    <cfRule type="duplicateValues" dxfId="13189" priority="5784"/>
    <cfRule type="duplicateValues" dxfId="13188" priority="5785"/>
    <cfRule type="duplicateValues" dxfId="13187" priority="5786"/>
    <cfRule type="duplicateValues" dxfId="13186" priority="5787"/>
    <cfRule type="duplicateValues" dxfId="13185" priority="5788"/>
    <cfRule type="duplicateValues" dxfId="13184" priority="5789"/>
    <cfRule type="duplicateValues" dxfId="13183" priority="5790"/>
    <cfRule type="duplicateValues" dxfId="13182" priority="5791"/>
    <cfRule type="duplicateValues" dxfId="13181" priority="5792"/>
    <cfRule type="duplicateValues" dxfId="13180" priority="5793"/>
    <cfRule type="duplicateValues" dxfId="13179" priority="5794"/>
    <cfRule type="duplicateValues" dxfId="13178" priority="5795"/>
    <cfRule type="duplicateValues" dxfId="13177" priority="5796"/>
    <cfRule type="duplicateValues" dxfId="13176" priority="5797"/>
    <cfRule type="duplicateValues" dxfId="13175" priority="5798"/>
    <cfRule type="duplicateValues" dxfId="13174" priority="5799"/>
    <cfRule type="duplicateValues" dxfId="13173" priority="5800"/>
    <cfRule type="duplicateValues" dxfId="13172" priority="5801"/>
    <cfRule type="duplicateValues" dxfId="13171" priority="5802"/>
    <cfRule type="duplicateValues" dxfId="13170" priority="5803"/>
    <cfRule type="duplicateValues" dxfId="13169" priority="5804"/>
    <cfRule type="duplicateValues" dxfId="13168" priority="5805"/>
    <cfRule type="duplicateValues" dxfId="13167" priority="5806"/>
    <cfRule type="duplicateValues" dxfId="13166" priority="5807"/>
    <cfRule type="duplicateValues" dxfId="13165" priority="5808"/>
    <cfRule type="duplicateValues" dxfId="13164" priority="5809"/>
    <cfRule type="duplicateValues" dxfId="13163" priority="5810"/>
    <cfRule type="duplicateValues" dxfId="13162" priority="5811"/>
    <cfRule type="duplicateValues" dxfId="13161" priority="5812"/>
    <cfRule type="duplicateValues" dxfId="13160" priority="5813"/>
    <cfRule type="duplicateValues" dxfId="13159" priority="5814"/>
    <cfRule type="duplicateValues" dxfId="13158" priority="5815"/>
    <cfRule type="duplicateValues" dxfId="13157" priority="5816"/>
    <cfRule type="duplicateValues" dxfId="13156" priority="5817"/>
    <cfRule type="duplicateValues" dxfId="13155" priority="5818"/>
    <cfRule type="duplicateValues" dxfId="13154" priority="5819"/>
    <cfRule type="duplicateValues" dxfId="13153" priority="5820"/>
    <cfRule type="duplicateValues" dxfId="13152" priority="5821"/>
    <cfRule type="duplicateValues" dxfId="13151" priority="5822"/>
    <cfRule type="duplicateValues" dxfId="13150" priority="5823"/>
    <cfRule type="duplicateValues" dxfId="13149" priority="5824"/>
    <cfRule type="duplicateValues" dxfId="13148" priority="5825"/>
    <cfRule type="duplicateValues" dxfId="13147" priority="5826"/>
    <cfRule type="duplicateValues" dxfId="13146" priority="5827"/>
    <cfRule type="duplicateValues" dxfId="13145" priority="5828"/>
    <cfRule type="duplicateValues" dxfId="13144" priority="5829"/>
    <cfRule type="duplicateValues" dxfId="13143" priority="5830"/>
    <cfRule type="duplicateValues" dxfId="13142" priority="5831"/>
    <cfRule type="duplicateValues" dxfId="13141" priority="5832"/>
    <cfRule type="duplicateValues" dxfId="13140" priority="5833"/>
    <cfRule type="duplicateValues" dxfId="13139" priority="5834"/>
    <cfRule type="duplicateValues" dxfId="13138" priority="5835"/>
    <cfRule type="duplicateValues" dxfId="13137" priority="5836"/>
    <cfRule type="duplicateValues" dxfId="13136" priority="5837"/>
    <cfRule type="duplicateValues" dxfId="13135" priority="5838"/>
    <cfRule type="duplicateValues" dxfId="13134" priority="5839"/>
    <cfRule type="duplicateValues" dxfId="13133" priority="5840"/>
    <cfRule type="duplicateValues" dxfId="13132" priority="5841"/>
    <cfRule type="duplicateValues" dxfId="13131" priority="5842"/>
    <cfRule type="duplicateValues" dxfId="13130" priority="5843"/>
    <cfRule type="duplicateValues" dxfId="13129" priority="5844"/>
    <cfRule type="duplicateValues" dxfId="13128" priority="5845"/>
    <cfRule type="duplicateValues" dxfId="13127" priority="5846"/>
    <cfRule type="duplicateValues" dxfId="13126" priority="5847"/>
    <cfRule type="duplicateValues" dxfId="13125" priority="5848"/>
    <cfRule type="duplicateValues" dxfId="13124" priority="5849"/>
    <cfRule type="duplicateValues" dxfId="13123" priority="5850"/>
    <cfRule type="duplicateValues" dxfId="13122" priority="5851"/>
    <cfRule type="duplicateValues" dxfId="13121" priority="5852"/>
    <cfRule type="duplicateValues" dxfId="13120" priority="5853"/>
    <cfRule type="duplicateValues" dxfId="13119" priority="5854"/>
    <cfRule type="duplicateValues" dxfId="13118" priority="5855"/>
    <cfRule type="duplicateValues" dxfId="13117" priority="5856"/>
    <cfRule type="duplicateValues" dxfId="13116" priority="5857"/>
    <cfRule type="duplicateValues" dxfId="13115" priority="5858"/>
    <cfRule type="duplicateValues" dxfId="13114" priority="5859"/>
    <cfRule type="duplicateValues" dxfId="13113" priority="5860"/>
    <cfRule type="duplicateValues" dxfId="13112" priority="5861"/>
    <cfRule type="duplicateValues" dxfId="13111" priority="5862"/>
    <cfRule type="duplicateValues" dxfId="13110" priority="5863"/>
    <cfRule type="duplicateValues" dxfId="13109" priority="5864"/>
    <cfRule type="duplicateValues" dxfId="13108" priority="5865"/>
    <cfRule type="duplicateValues" dxfId="13107" priority="5866"/>
    <cfRule type="duplicateValues" dxfId="13106" priority="5867"/>
    <cfRule type="duplicateValues" dxfId="13105" priority="5868"/>
    <cfRule type="duplicateValues" dxfId="13104" priority="5869"/>
    <cfRule type="duplicateValues" dxfId="13103" priority="5870"/>
    <cfRule type="duplicateValues" dxfId="13102" priority="5871"/>
    <cfRule type="duplicateValues" dxfId="13101" priority="5872"/>
    <cfRule type="duplicateValues" dxfId="13100" priority="5873"/>
    <cfRule type="duplicateValues" dxfId="13099" priority="5874"/>
    <cfRule type="duplicateValues" dxfId="13098" priority="5875"/>
    <cfRule type="duplicateValues" dxfId="13097" priority="5876"/>
    <cfRule type="duplicateValues" dxfId="13096" priority="5877"/>
    <cfRule type="duplicateValues" dxfId="13095" priority="5878"/>
    <cfRule type="duplicateValues" dxfId="13094" priority="5879"/>
    <cfRule type="duplicateValues" dxfId="13093" priority="5880"/>
    <cfRule type="duplicateValues" dxfId="13092" priority="5881"/>
    <cfRule type="duplicateValues" dxfId="13091" priority="5882"/>
    <cfRule type="duplicateValues" dxfId="13090" priority="5883"/>
    <cfRule type="duplicateValues" dxfId="13089" priority="5884"/>
    <cfRule type="duplicateValues" dxfId="13088" priority="5885"/>
    <cfRule type="duplicateValues" dxfId="13087" priority="5886"/>
    <cfRule type="duplicateValues" dxfId="13086" priority="5887"/>
    <cfRule type="duplicateValues" dxfId="13085" priority="5888"/>
    <cfRule type="duplicateValues" dxfId="13084" priority="5889"/>
    <cfRule type="duplicateValues" dxfId="13083" priority="5890"/>
    <cfRule type="duplicateValues" dxfId="13082" priority="5891"/>
    <cfRule type="duplicateValues" dxfId="13081" priority="5892"/>
    <cfRule type="duplicateValues" dxfId="13080" priority="5893"/>
    <cfRule type="duplicateValues" dxfId="13079" priority="5894"/>
    <cfRule type="duplicateValues" dxfId="13078" priority="5895"/>
    <cfRule type="duplicateValues" dxfId="13077" priority="5896"/>
    <cfRule type="duplicateValues" dxfId="13076" priority="5897"/>
    <cfRule type="duplicateValues" dxfId="13075" priority="5898"/>
    <cfRule type="duplicateValues" dxfId="13074" priority="5899"/>
    <cfRule type="duplicateValues" dxfId="13073" priority="5900"/>
    <cfRule type="duplicateValues" dxfId="13072" priority="5901"/>
    <cfRule type="duplicateValues" dxfId="13071" priority="5902"/>
    <cfRule type="duplicateValues" dxfId="13070" priority="5903"/>
    <cfRule type="duplicateValues" dxfId="13069" priority="5904"/>
    <cfRule type="duplicateValues" dxfId="13068" priority="5905"/>
    <cfRule type="duplicateValues" dxfId="13067" priority="5906"/>
    <cfRule type="duplicateValues" dxfId="13066" priority="5907"/>
    <cfRule type="duplicateValues" dxfId="13065" priority="5908"/>
    <cfRule type="duplicateValues" dxfId="13064" priority="5909"/>
    <cfRule type="duplicateValues" dxfId="13063" priority="5910"/>
    <cfRule type="duplicateValues" dxfId="13062" priority="5911"/>
    <cfRule type="duplicateValues" dxfId="13061" priority="5912"/>
    <cfRule type="duplicateValues" dxfId="13060" priority="5913"/>
    <cfRule type="duplicateValues" dxfId="13059" priority="5914"/>
    <cfRule type="duplicateValues" dxfId="13058" priority="5915"/>
    <cfRule type="duplicateValues" dxfId="13057" priority="5916"/>
    <cfRule type="duplicateValues" dxfId="13056" priority="5917"/>
    <cfRule type="duplicateValues" dxfId="13055" priority="5918"/>
    <cfRule type="duplicateValues" dxfId="13054" priority="5919"/>
    <cfRule type="duplicateValues" dxfId="13053" priority="5920"/>
    <cfRule type="duplicateValues" dxfId="13052" priority="5921"/>
    <cfRule type="duplicateValues" dxfId="13051" priority="5922"/>
    <cfRule type="duplicateValues" dxfId="13050" priority="5923"/>
    <cfRule type="duplicateValues" dxfId="13049" priority="5924"/>
    <cfRule type="duplicateValues" dxfId="13048" priority="5925"/>
    <cfRule type="duplicateValues" dxfId="13047" priority="5926"/>
    <cfRule type="duplicateValues" dxfId="13046" priority="5927"/>
    <cfRule type="duplicateValues" dxfId="13045" priority="5928"/>
    <cfRule type="duplicateValues" dxfId="13044" priority="5929"/>
    <cfRule type="duplicateValues" dxfId="13043" priority="5930"/>
    <cfRule type="duplicateValues" dxfId="13042" priority="5931"/>
    <cfRule type="duplicateValues" dxfId="13041" priority="5932"/>
    <cfRule type="duplicateValues" dxfId="13040" priority="5933"/>
    <cfRule type="duplicateValues" dxfId="13039" priority="5934"/>
    <cfRule type="duplicateValues" dxfId="13038" priority="5935"/>
    <cfRule type="duplicateValues" dxfId="13037" priority="5936"/>
    <cfRule type="duplicateValues" dxfId="13036" priority="5937"/>
    <cfRule type="duplicateValues" dxfId="13035" priority="5938"/>
    <cfRule type="duplicateValues" dxfId="13034" priority="5939"/>
    <cfRule type="duplicateValues" dxfId="13033" priority="5940"/>
    <cfRule type="duplicateValues" dxfId="13032" priority="5941"/>
    <cfRule type="duplicateValues" dxfId="13031" priority="5942"/>
    <cfRule type="duplicateValues" dxfId="13030" priority="5943"/>
    <cfRule type="duplicateValues" dxfId="13029" priority="5944"/>
    <cfRule type="duplicateValues" dxfId="13028" priority="5945"/>
    <cfRule type="duplicateValues" dxfId="13027" priority="5946"/>
    <cfRule type="duplicateValues" dxfId="13026" priority="5947"/>
    <cfRule type="duplicateValues" dxfId="13025" priority="5948"/>
    <cfRule type="duplicateValues" dxfId="13024" priority="5949"/>
    <cfRule type="duplicateValues" dxfId="13023" priority="5950"/>
    <cfRule type="duplicateValues" dxfId="13022" priority="5951"/>
    <cfRule type="duplicateValues" dxfId="13021" priority="5952"/>
    <cfRule type="duplicateValues" dxfId="13020" priority="5953"/>
    <cfRule type="duplicateValues" dxfId="13019" priority="5954"/>
    <cfRule type="duplicateValues" dxfId="13018" priority="5955"/>
    <cfRule type="duplicateValues" dxfId="13017" priority="5956"/>
    <cfRule type="duplicateValues" dxfId="13016" priority="5957"/>
    <cfRule type="duplicateValues" dxfId="13015" priority="5958"/>
    <cfRule type="duplicateValues" dxfId="13014" priority="5959"/>
    <cfRule type="duplicateValues" dxfId="13013" priority="5960"/>
    <cfRule type="duplicateValues" dxfId="13012" priority="5961"/>
    <cfRule type="duplicateValues" dxfId="13011" priority="5962"/>
    <cfRule type="duplicateValues" dxfId="13010" priority="5963"/>
    <cfRule type="duplicateValues" dxfId="13009" priority="5964"/>
    <cfRule type="duplicateValues" dxfId="13008" priority="5965"/>
    <cfRule type="duplicateValues" dxfId="13007" priority="5966"/>
    <cfRule type="duplicateValues" dxfId="13006" priority="5967"/>
    <cfRule type="duplicateValues" dxfId="13005" priority="5968"/>
    <cfRule type="duplicateValues" dxfId="13004" priority="5969"/>
    <cfRule type="duplicateValues" dxfId="13003" priority="5970"/>
    <cfRule type="duplicateValues" dxfId="13002" priority="5971"/>
    <cfRule type="duplicateValues" dxfId="13001" priority="5972"/>
    <cfRule type="duplicateValues" dxfId="13000" priority="5973"/>
    <cfRule type="duplicateValues" dxfId="12999" priority="5974"/>
    <cfRule type="duplicateValues" dxfId="12998" priority="5975"/>
    <cfRule type="duplicateValues" dxfId="12997" priority="5976"/>
    <cfRule type="duplicateValues" dxfId="12996" priority="5977"/>
    <cfRule type="duplicateValues" dxfId="12995" priority="5978"/>
    <cfRule type="duplicateValues" dxfId="12994" priority="5979"/>
    <cfRule type="duplicateValues" dxfId="12993" priority="5980"/>
    <cfRule type="duplicateValues" dxfId="12992" priority="5981"/>
    <cfRule type="duplicateValues" dxfId="12991" priority="5982"/>
    <cfRule type="duplicateValues" dxfId="12990" priority="5983"/>
    <cfRule type="duplicateValues" dxfId="12989" priority="5984"/>
    <cfRule type="duplicateValues" dxfId="12988" priority="5985"/>
    <cfRule type="duplicateValues" dxfId="12987" priority="5986"/>
    <cfRule type="duplicateValues" dxfId="12986" priority="5987"/>
    <cfRule type="duplicateValues" dxfId="12985" priority="5988"/>
    <cfRule type="duplicateValues" dxfId="12984" priority="5989"/>
    <cfRule type="duplicateValues" dxfId="12983" priority="5990"/>
    <cfRule type="duplicateValues" dxfId="12982" priority="5991"/>
    <cfRule type="duplicateValues" dxfId="12981" priority="5992"/>
    <cfRule type="duplicateValues" dxfId="12980" priority="5993"/>
    <cfRule type="duplicateValues" dxfId="12979" priority="5994"/>
    <cfRule type="duplicateValues" dxfId="12978" priority="5995"/>
    <cfRule type="duplicateValues" dxfId="12977" priority="5996"/>
    <cfRule type="duplicateValues" dxfId="12976" priority="5997"/>
    <cfRule type="duplicateValues" dxfId="12975" priority="5998"/>
    <cfRule type="duplicateValues" dxfId="12974" priority="5999"/>
    <cfRule type="duplicateValues" dxfId="12973" priority="6000"/>
    <cfRule type="duplicateValues" dxfId="12972" priority="6001"/>
    <cfRule type="duplicateValues" dxfId="12971" priority="6002"/>
    <cfRule type="duplicateValues" dxfId="12970" priority="6003"/>
    <cfRule type="duplicateValues" dxfId="12969" priority="6004"/>
    <cfRule type="duplicateValues" dxfId="12968" priority="6005"/>
    <cfRule type="duplicateValues" dxfId="12967" priority="6006"/>
    <cfRule type="duplicateValues" dxfId="12966" priority="6007"/>
    <cfRule type="duplicateValues" dxfId="12965" priority="6008"/>
    <cfRule type="duplicateValues" dxfId="12964" priority="6009"/>
    <cfRule type="duplicateValues" dxfId="12963" priority="6010"/>
    <cfRule type="duplicateValues" dxfId="12962" priority="6011"/>
    <cfRule type="duplicateValues" dxfId="12961" priority="6012"/>
    <cfRule type="duplicateValues" dxfId="12960" priority="6013"/>
    <cfRule type="duplicateValues" dxfId="12959" priority="6014"/>
    <cfRule type="duplicateValues" dxfId="12958" priority="6015"/>
    <cfRule type="duplicateValues" dxfId="12957" priority="6016"/>
    <cfRule type="duplicateValues" dxfId="12956" priority="6017"/>
    <cfRule type="duplicateValues" dxfId="12955" priority="6018"/>
    <cfRule type="duplicateValues" dxfId="12954" priority="6019"/>
    <cfRule type="duplicateValues" dxfId="12953" priority="6020"/>
    <cfRule type="duplicateValues" dxfId="12952" priority="6021"/>
    <cfRule type="duplicateValues" dxfId="12951" priority="6022"/>
    <cfRule type="duplicateValues" dxfId="12950" priority="6023"/>
    <cfRule type="duplicateValues" dxfId="12949" priority="6024"/>
    <cfRule type="duplicateValues" dxfId="12948" priority="6025"/>
    <cfRule type="duplicateValues" dxfId="12947" priority="6026"/>
    <cfRule type="duplicateValues" dxfId="12946" priority="6027"/>
    <cfRule type="duplicateValues" dxfId="12945" priority="6028"/>
    <cfRule type="duplicateValues" dxfId="12944" priority="6029"/>
    <cfRule type="duplicateValues" dxfId="12943" priority="6030"/>
    <cfRule type="duplicateValues" dxfId="12942" priority="6031"/>
    <cfRule type="duplicateValues" dxfId="12941" priority="6032"/>
    <cfRule type="duplicateValues" dxfId="12940" priority="6033"/>
    <cfRule type="duplicateValues" dxfId="12939" priority="6034"/>
    <cfRule type="duplicateValues" dxfId="12938" priority="6035"/>
    <cfRule type="duplicateValues" dxfId="12937" priority="6036"/>
    <cfRule type="duplicateValues" dxfId="12936" priority="6037"/>
    <cfRule type="duplicateValues" dxfId="12935" priority="6038"/>
    <cfRule type="duplicateValues" dxfId="12934" priority="6039"/>
    <cfRule type="duplicateValues" dxfId="12933" priority="6040"/>
    <cfRule type="duplicateValues" dxfId="12932" priority="6041"/>
    <cfRule type="duplicateValues" dxfId="12931" priority="6042"/>
    <cfRule type="duplicateValues" dxfId="12930" priority="6043"/>
    <cfRule type="duplicateValues" dxfId="12929" priority="6044"/>
    <cfRule type="duplicateValues" dxfId="12928" priority="6045"/>
    <cfRule type="duplicateValues" dxfId="12927" priority="6046"/>
    <cfRule type="duplicateValues" dxfId="12926" priority="6047"/>
    <cfRule type="duplicateValues" dxfId="12925" priority="6048"/>
    <cfRule type="duplicateValues" dxfId="12924" priority="6049"/>
    <cfRule type="duplicateValues" dxfId="12923" priority="6050"/>
    <cfRule type="duplicateValues" dxfId="12922" priority="6051"/>
    <cfRule type="duplicateValues" dxfId="12921" priority="6052"/>
    <cfRule type="duplicateValues" dxfId="12920" priority="6053"/>
    <cfRule type="duplicateValues" dxfId="12919" priority="6054"/>
    <cfRule type="duplicateValues" dxfId="12918" priority="6055"/>
    <cfRule type="duplicateValues" dxfId="12917" priority="6056"/>
    <cfRule type="duplicateValues" dxfId="12916" priority="6057"/>
    <cfRule type="duplicateValues" dxfId="12915" priority="6058"/>
    <cfRule type="duplicateValues" dxfId="12914" priority="6059"/>
    <cfRule type="duplicateValues" dxfId="12913" priority="6060"/>
    <cfRule type="duplicateValues" dxfId="12912" priority="6061"/>
    <cfRule type="duplicateValues" dxfId="12911" priority="6062"/>
    <cfRule type="duplicateValues" dxfId="12910" priority="6063"/>
    <cfRule type="duplicateValues" dxfId="12909" priority="6064"/>
    <cfRule type="duplicateValues" dxfId="12908" priority="6065"/>
    <cfRule type="duplicateValues" dxfId="12907" priority="6066"/>
    <cfRule type="duplicateValues" dxfId="12906" priority="6067"/>
    <cfRule type="duplicateValues" dxfId="12905" priority="6068"/>
    <cfRule type="duplicateValues" dxfId="12904" priority="6069"/>
    <cfRule type="duplicateValues" dxfId="12903" priority="6070"/>
    <cfRule type="duplicateValues" dxfId="12902" priority="6071"/>
    <cfRule type="duplicateValues" dxfId="12901" priority="6072"/>
    <cfRule type="duplicateValues" dxfId="12900" priority="6073"/>
    <cfRule type="duplicateValues" dxfId="12899" priority="6074"/>
    <cfRule type="duplicateValues" dxfId="12898" priority="6075"/>
    <cfRule type="duplicateValues" dxfId="12897" priority="6076"/>
    <cfRule type="duplicateValues" dxfId="12896" priority="6077"/>
    <cfRule type="duplicateValues" dxfId="12895" priority="6078"/>
    <cfRule type="duplicateValues" dxfId="12894" priority="6079"/>
    <cfRule type="duplicateValues" dxfId="12893" priority="6080"/>
    <cfRule type="duplicateValues" dxfId="12892" priority="6081"/>
    <cfRule type="duplicateValues" dxfId="12891" priority="6082"/>
    <cfRule type="duplicateValues" dxfId="12890" priority="6083"/>
    <cfRule type="duplicateValues" dxfId="12889" priority="6084"/>
    <cfRule type="duplicateValues" dxfId="12888" priority="6085"/>
    <cfRule type="duplicateValues" dxfId="12887" priority="6086"/>
    <cfRule type="duplicateValues" dxfId="12886" priority="6087"/>
    <cfRule type="duplicateValues" dxfId="12885" priority="6088"/>
    <cfRule type="duplicateValues" dxfId="12884" priority="6089"/>
    <cfRule type="duplicateValues" dxfId="12883" priority="6090"/>
    <cfRule type="duplicateValues" dxfId="12882" priority="6091"/>
    <cfRule type="duplicateValues" dxfId="12881" priority="6092"/>
    <cfRule type="duplicateValues" dxfId="12880" priority="6093"/>
    <cfRule type="duplicateValues" dxfId="12879" priority="6094"/>
    <cfRule type="duplicateValues" dxfId="12878" priority="6095"/>
    <cfRule type="duplicateValues" dxfId="12877" priority="6096"/>
    <cfRule type="duplicateValues" dxfId="12876" priority="6097"/>
    <cfRule type="duplicateValues" dxfId="12875" priority="6098"/>
    <cfRule type="duplicateValues" dxfId="12874" priority="6099"/>
    <cfRule type="duplicateValues" dxfId="12873" priority="6100"/>
    <cfRule type="duplicateValues" dxfId="12872" priority="6101"/>
    <cfRule type="duplicateValues" dxfId="12871" priority="6102"/>
  </conditionalFormatting>
  <conditionalFormatting sqref="C255">
    <cfRule type="duplicateValues" dxfId="12870" priority="17427"/>
    <cfRule type="duplicateValues" dxfId="12869" priority="17428"/>
    <cfRule type="duplicateValues" dxfId="12868" priority="17429"/>
    <cfRule type="duplicateValues" dxfId="12867" priority="17430"/>
    <cfRule type="duplicateValues" dxfId="12866" priority="17431"/>
    <cfRule type="duplicateValues" dxfId="12865" priority="17432"/>
    <cfRule type="duplicateValues" dxfId="12864" priority="17433"/>
    <cfRule type="duplicateValues" dxfId="12863" priority="17434"/>
    <cfRule type="duplicateValues" dxfId="12862" priority="17435"/>
    <cfRule type="duplicateValues" dxfId="12861" priority="17436"/>
    <cfRule type="duplicateValues" dxfId="12860" priority="17437"/>
    <cfRule type="duplicateValues" dxfId="12859" priority="17438"/>
    <cfRule type="duplicateValues" dxfId="12858" priority="17439"/>
    <cfRule type="duplicateValues" dxfId="12857" priority="17440"/>
    <cfRule type="duplicateValues" dxfId="12856" priority="17441"/>
    <cfRule type="duplicateValues" dxfId="12855" priority="17442"/>
    <cfRule type="duplicateValues" dxfId="12854" priority="17443"/>
    <cfRule type="duplicateValues" dxfId="12853" priority="17444"/>
    <cfRule type="duplicateValues" dxfId="12852" priority="17445"/>
    <cfRule type="duplicateValues" dxfId="12851" priority="17446"/>
    <cfRule type="duplicateValues" dxfId="12850" priority="17447"/>
    <cfRule type="duplicateValues" dxfId="12849" priority="17448"/>
    <cfRule type="duplicateValues" dxfId="12848" priority="17449"/>
    <cfRule type="duplicateValues" dxfId="12847" priority="17450"/>
    <cfRule type="duplicateValues" dxfId="12846" priority="17451"/>
    <cfRule type="duplicateValues" dxfId="12845" priority="17452"/>
    <cfRule type="duplicateValues" dxfId="12844" priority="17453"/>
    <cfRule type="duplicateValues" dxfId="12843" priority="17454"/>
    <cfRule type="duplicateValues" dxfId="12842" priority="17455"/>
    <cfRule type="duplicateValues" dxfId="12841" priority="17456"/>
    <cfRule type="duplicateValues" dxfId="12840" priority="17457"/>
    <cfRule type="duplicateValues" dxfId="12839" priority="17458"/>
    <cfRule type="duplicateValues" dxfId="12838" priority="17459"/>
    <cfRule type="duplicateValues" dxfId="12837" priority="17460"/>
    <cfRule type="duplicateValues" dxfId="12836" priority="17461"/>
    <cfRule type="duplicateValues" dxfId="12835" priority="17462"/>
    <cfRule type="duplicateValues" dxfId="12834" priority="17463"/>
    <cfRule type="duplicateValues" dxfId="12833" priority="17464"/>
    <cfRule type="duplicateValues" dxfId="12832" priority="17465"/>
    <cfRule type="duplicateValues" dxfId="12831" priority="17466"/>
    <cfRule type="duplicateValues" dxfId="12830" priority="17467"/>
    <cfRule type="duplicateValues" dxfId="12829" priority="17468"/>
    <cfRule type="duplicateValues" dxfId="12828" priority="17469"/>
    <cfRule type="duplicateValues" dxfId="12827" priority="17470"/>
    <cfRule type="duplicateValues" dxfId="12826" priority="17471"/>
    <cfRule type="duplicateValues" dxfId="12825" priority="17472"/>
    <cfRule type="duplicateValues" dxfId="12824" priority="17473"/>
    <cfRule type="duplicateValues" dxfId="12823" priority="17474"/>
    <cfRule type="duplicateValues" dxfId="12822" priority="17475"/>
    <cfRule type="duplicateValues" dxfId="12821" priority="17476"/>
    <cfRule type="duplicateValues" dxfId="12820" priority="17477"/>
    <cfRule type="duplicateValues" dxfId="12819" priority="17478"/>
    <cfRule type="duplicateValues" dxfId="12818" priority="17479"/>
    <cfRule type="duplicateValues" dxfId="12817" priority="17480"/>
    <cfRule type="duplicateValues" dxfId="12816" priority="17481"/>
    <cfRule type="duplicateValues" dxfId="12815" priority="17482"/>
    <cfRule type="duplicateValues" dxfId="12814" priority="17483"/>
    <cfRule type="duplicateValues" dxfId="12813" priority="17484"/>
    <cfRule type="duplicateValues" dxfId="12812" priority="17485"/>
    <cfRule type="duplicateValues" dxfId="12811" priority="17486"/>
    <cfRule type="duplicateValues" dxfId="12810" priority="17487"/>
    <cfRule type="duplicateValues" dxfId="12809" priority="17488"/>
    <cfRule type="duplicateValues" dxfId="12808" priority="17489"/>
    <cfRule type="duplicateValues" dxfId="12807" priority="17490"/>
    <cfRule type="duplicateValues" dxfId="12806" priority="17491"/>
    <cfRule type="duplicateValues" dxfId="12805" priority="17492"/>
    <cfRule type="duplicateValues" dxfId="12804" priority="17493"/>
    <cfRule type="duplicateValues" dxfId="12803" priority="17494"/>
    <cfRule type="duplicateValues" dxfId="12802" priority="17495"/>
    <cfRule type="duplicateValues" dxfId="12801" priority="17496"/>
    <cfRule type="duplicateValues" dxfId="12800" priority="17497"/>
    <cfRule type="duplicateValues" dxfId="12799" priority="17498"/>
    <cfRule type="duplicateValues" dxfId="12798" priority="17499"/>
    <cfRule type="duplicateValues" dxfId="12797" priority="17500"/>
    <cfRule type="duplicateValues" dxfId="12796" priority="17501"/>
    <cfRule type="duplicateValues" dxfId="12795" priority="17502"/>
    <cfRule type="duplicateValues" dxfId="12794" priority="17503"/>
    <cfRule type="duplicateValues" dxfId="12793" priority="17504"/>
    <cfRule type="duplicateValues" dxfId="12792" priority="17505"/>
    <cfRule type="duplicateValues" dxfId="12791" priority="17506"/>
    <cfRule type="duplicateValues" dxfId="12790" priority="17507"/>
    <cfRule type="duplicateValues" dxfId="12789" priority="17508"/>
    <cfRule type="duplicateValues" dxfId="12788" priority="17509"/>
    <cfRule type="duplicateValues" dxfId="12787" priority="17510"/>
    <cfRule type="duplicateValues" dxfId="12786" priority="17511"/>
    <cfRule type="duplicateValues" dxfId="12785" priority="17512"/>
    <cfRule type="duplicateValues" dxfId="12784" priority="17513"/>
    <cfRule type="duplicateValues" dxfId="12783" priority="17514"/>
    <cfRule type="duplicateValues" dxfId="12782" priority="17515"/>
    <cfRule type="duplicateValues" dxfId="12781" priority="17516"/>
    <cfRule type="duplicateValues" dxfId="12780" priority="17517"/>
    <cfRule type="duplicateValues" dxfId="12779" priority="17518"/>
    <cfRule type="duplicateValues" dxfId="12778" priority="17519"/>
    <cfRule type="duplicateValues" dxfId="12777" priority="17520"/>
    <cfRule type="duplicateValues" dxfId="12776" priority="17521"/>
    <cfRule type="duplicateValues" dxfId="12775" priority="17522"/>
    <cfRule type="duplicateValues" dxfId="12774" priority="17523"/>
    <cfRule type="duplicateValues" dxfId="12773" priority="17524"/>
    <cfRule type="duplicateValues" dxfId="12772" priority="17525"/>
    <cfRule type="duplicateValues" dxfId="12771" priority="17526"/>
    <cfRule type="duplicateValues" dxfId="12770" priority="17527"/>
    <cfRule type="duplicateValues" dxfId="12769" priority="17528"/>
    <cfRule type="duplicateValues" dxfId="12768" priority="17529"/>
    <cfRule type="duplicateValues" dxfId="12767" priority="17530"/>
    <cfRule type="duplicateValues" dxfId="12766" priority="17531"/>
    <cfRule type="duplicateValues" dxfId="12765" priority="17532"/>
    <cfRule type="duplicateValues" dxfId="12764" priority="17533"/>
    <cfRule type="duplicateValues" dxfId="12763" priority="17534"/>
    <cfRule type="duplicateValues" dxfId="12762" priority="17535"/>
    <cfRule type="duplicateValues" dxfId="12761" priority="17536"/>
    <cfRule type="duplicateValues" dxfId="12760" priority="17537"/>
    <cfRule type="duplicateValues" dxfId="12759" priority="17538"/>
    <cfRule type="duplicateValues" dxfId="12758" priority="17539"/>
    <cfRule type="duplicateValues" dxfId="12757" priority="17540"/>
    <cfRule type="duplicateValues" dxfId="12756" priority="17541"/>
    <cfRule type="duplicateValues" dxfId="12755" priority="17542"/>
    <cfRule type="duplicateValues" dxfId="12754" priority="17543"/>
    <cfRule type="duplicateValues" dxfId="12753" priority="17544"/>
    <cfRule type="duplicateValues" dxfId="12752" priority="17545"/>
    <cfRule type="duplicateValues" dxfId="12751" priority="17546"/>
    <cfRule type="duplicateValues" dxfId="12750" priority="17547"/>
    <cfRule type="duplicateValues" dxfId="12749" priority="17548"/>
    <cfRule type="duplicateValues" dxfId="12748" priority="17549"/>
    <cfRule type="duplicateValues" dxfId="12747" priority="17550"/>
    <cfRule type="duplicateValues" dxfId="12746" priority="17551"/>
    <cfRule type="duplicateValues" dxfId="12745" priority="17552"/>
    <cfRule type="duplicateValues" dxfId="12744" priority="17553"/>
    <cfRule type="duplicateValues" dxfId="12743" priority="17554"/>
    <cfRule type="duplicateValues" dxfId="12742" priority="17555"/>
    <cfRule type="duplicateValues" dxfId="12741" priority="17556"/>
    <cfRule type="duplicateValues" dxfId="12740" priority="17557"/>
    <cfRule type="duplicateValues" dxfId="12739" priority="17558"/>
    <cfRule type="duplicateValues" dxfId="12738" priority="17559"/>
    <cfRule type="duplicateValues" dxfId="12737" priority="17560"/>
    <cfRule type="duplicateValues" dxfId="12736" priority="17561"/>
    <cfRule type="duplicateValues" dxfId="12735" priority="17562"/>
    <cfRule type="duplicateValues" dxfId="12734" priority="17563"/>
    <cfRule type="duplicateValues" dxfId="12733" priority="17564"/>
    <cfRule type="duplicateValues" dxfId="12732" priority="17565"/>
    <cfRule type="duplicateValues" dxfId="12731" priority="17566"/>
    <cfRule type="duplicateValues" dxfId="12730" priority="17567"/>
    <cfRule type="duplicateValues" dxfId="12729" priority="17568"/>
    <cfRule type="duplicateValues" dxfId="12728" priority="17569"/>
    <cfRule type="duplicateValues" dxfId="12727" priority="17570"/>
    <cfRule type="duplicateValues" dxfId="12726" priority="17571"/>
    <cfRule type="duplicateValues" dxfId="12725" priority="17572"/>
    <cfRule type="duplicateValues" dxfId="12724" priority="17573"/>
    <cfRule type="duplicateValues" dxfId="12723" priority="17574"/>
    <cfRule type="duplicateValues" dxfId="12722" priority="17575"/>
    <cfRule type="duplicateValues" dxfId="12721" priority="17576"/>
    <cfRule type="duplicateValues" dxfId="12720" priority="17577"/>
    <cfRule type="duplicateValues" dxfId="12719" priority="17578"/>
    <cfRule type="duplicateValues" dxfId="12718" priority="17579"/>
    <cfRule type="duplicateValues" dxfId="12717" priority="17580"/>
    <cfRule type="duplicateValues" dxfId="12716" priority="17581"/>
    <cfRule type="duplicateValues" dxfId="12715" priority="17582"/>
    <cfRule type="duplicateValues" dxfId="12714" priority="17583"/>
    <cfRule type="duplicateValues" dxfId="12713" priority="17584"/>
    <cfRule type="duplicateValues" dxfId="12712" priority="17585"/>
    <cfRule type="duplicateValues" dxfId="12711" priority="17586"/>
    <cfRule type="duplicateValues" dxfId="12710" priority="17587"/>
    <cfRule type="duplicateValues" dxfId="12709" priority="17588"/>
    <cfRule type="duplicateValues" dxfId="12708" priority="17589"/>
    <cfRule type="duplicateValues" dxfId="12707" priority="17590"/>
    <cfRule type="duplicateValues" dxfId="12706" priority="17591"/>
    <cfRule type="duplicateValues" dxfId="12705" priority="17592"/>
    <cfRule type="duplicateValues" dxfId="12704" priority="17593"/>
    <cfRule type="duplicateValues" dxfId="12703" priority="17594"/>
    <cfRule type="duplicateValues" dxfId="12702" priority="17595"/>
    <cfRule type="duplicateValues" dxfId="12701" priority="17596"/>
    <cfRule type="duplicateValues" dxfId="12700" priority="17597"/>
    <cfRule type="duplicateValues" dxfId="12699" priority="17598"/>
    <cfRule type="duplicateValues" dxfId="12698" priority="17599"/>
    <cfRule type="duplicateValues" dxfId="12697" priority="17600"/>
    <cfRule type="duplicateValues" dxfId="12696" priority="17601"/>
    <cfRule type="duplicateValues" dxfId="12695" priority="17602"/>
    <cfRule type="duplicateValues" dxfId="12694" priority="17603"/>
    <cfRule type="duplicateValues" dxfId="12693" priority="17604"/>
    <cfRule type="duplicateValues" dxfId="12692" priority="17605"/>
    <cfRule type="duplicateValues" dxfId="12691" priority="17606"/>
    <cfRule type="duplicateValues" dxfId="12690" priority="17607"/>
    <cfRule type="duplicateValues" dxfId="12689" priority="17608"/>
    <cfRule type="duplicateValues" dxfId="12688" priority="17609"/>
    <cfRule type="duplicateValues" dxfId="12687" priority="17610"/>
    <cfRule type="duplicateValues" dxfId="12686" priority="17611"/>
    <cfRule type="duplicateValues" dxfId="12685" priority="17612"/>
    <cfRule type="duplicateValues" dxfId="12684" priority="17613"/>
    <cfRule type="duplicateValues" dxfId="12683" priority="17614"/>
    <cfRule type="duplicateValues" dxfId="12682" priority="17615"/>
    <cfRule type="duplicateValues" dxfId="12681" priority="17616"/>
    <cfRule type="duplicateValues" dxfId="12680" priority="17617"/>
    <cfRule type="duplicateValues" dxfId="12679" priority="17618"/>
    <cfRule type="duplicateValues" dxfId="12678" priority="17619"/>
    <cfRule type="duplicateValues" dxfId="12677" priority="17620"/>
    <cfRule type="duplicateValues" dxfId="12676" priority="17621"/>
    <cfRule type="duplicateValues" dxfId="12675" priority="17622"/>
    <cfRule type="duplicateValues" dxfId="12674" priority="17623"/>
    <cfRule type="duplicateValues" dxfId="12673" priority="17624"/>
    <cfRule type="duplicateValues" dxfId="12672" priority="17625"/>
    <cfRule type="duplicateValues" dxfId="12671" priority="17626"/>
    <cfRule type="duplicateValues" dxfId="12670" priority="17627"/>
    <cfRule type="duplicateValues" dxfId="12669" priority="17628"/>
    <cfRule type="duplicateValues" dxfId="12668" priority="17629"/>
    <cfRule type="duplicateValues" dxfId="12667" priority="17630"/>
    <cfRule type="duplicateValues" dxfId="12666" priority="17631"/>
    <cfRule type="duplicateValues" dxfId="12665" priority="17632"/>
    <cfRule type="duplicateValues" dxfId="12664" priority="17633"/>
    <cfRule type="duplicateValues" dxfId="12663" priority="17634"/>
    <cfRule type="duplicateValues" dxfId="12662" priority="17635"/>
    <cfRule type="duplicateValues" dxfId="12661" priority="17636"/>
    <cfRule type="duplicateValues" dxfId="12660" priority="17637"/>
    <cfRule type="duplicateValues" dxfId="12659" priority="17638"/>
    <cfRule type="duplicateValues" dxfId="12658" priority="17639"/>
    <cfRule type="duplicateValues" dxfId="12657" priority="17640"/>
    <cfRule type="duplicateValues" dxfId="12656" priority="17641"/>
    <cfRule type="duplicateValues" dxfId="12655" priority="17642"/>
    <cfRule type="duplicateValues" dxfId="12654" priority="17643"/>
    <cfRule type="duplicateValues" dxfId="12653" priority="17644"/>
    <cfRule type="duplicateValues" dxfId="12652" priority="17645"/>
    <cfRule type="duplicateValues" dxfId="12651" priority="17646"/>
    <cfRule type="duplicateValues" dxfId="12650" priority="17647"/>
    <cfRule type="duplicateValues" dxfId="12649" priority="17648"/>
    <cfRule type="duplicateValues" dxfId="12648" priority="17649"/>
    <cfRule type="duplicateValues" dxfId="12647" priority="17650"/>
    <cfRule type="duplicateValues" dxfId="12646" priority="17651"/>
    <cfRule type="duplicateValues" dxfId="12645" priority="17652"/>
    <cfRule type="duplicateValues" dxfId="12644" priority="17653"/>
    <cfRule type="duplicateValues" dxfId="12643" priority="17654"/>
    <cfRule type="duplicateValues" dxfId="12642" priority="17655"/>
    <cfRule type="duplicateValues" dxfId="12641" priority="17656"/>
    <cfRule type="duplicateValues" dxfId="12640" priority="17657"/>
    <cfRule type="duplicateValues" dxfId="12639" priority="17658"/>
    <cfRule type="duplicateValues" dxfId="12638" priority="17659"/>
    <cfRule type="duplicateValues" dxfId="12637" priority="17660"/>
    <cfRule type="duplicateValues" dxfId="12636" priority="17661"/>
    <cfRule type="duplicateValues" dxfId="12635" priority="17662"/>
    <cfRule type="duplicateValues" dxfId="12634" priority="17663"/>
    <cfRule type="duplicateValues" dxfId="12633" priority="17664"/>
    <cfRule type="duplicateValues" dxfId="12632" priority="17665"/>
    <cfRule type="duplicateValues" dxfId="12631" priority="17666"/>
    <cfRule type="duplicateValues" dxfId="12630" priority="17667"/>
    <cfRule type="duplicateValues" dxfId="12629" priority="17668"/>
    <cfRule type="duplicateValues" dxfId="12628" priority="17669"/>
    <cfRule type="duplicateValues" dxfId="12627" priority="17670"/>
    <cfRule type="duplicateValues" dxfId="12626" priority="17671"/>
    <cfRule type="duplicateValues" dxfId="12625" priority="17672"/>
    <cfRule type="duplicateValues" dxfId="12624" priority="17673"/>
    <cfRule type="duplicateValues" dxfId="12623" priority="17674"/>
    <cfRule type="duplicateValues" dxfId="12622" priority="17675"/>
    <cfRule type="duplicateValues" dxfId="12621" priority="17676"/>
    <cfRule type="duplicateValues" dxfId="12620" priority="17677"/>
    <cfRule type="duplicateValues" dxfId="12619" priority="17678"/>
    <cfRule type="duplicateValues" dxfId="12618" priority="17679"/>
    <cfRule type="duplicateValues" dxfId="12617" priority="17680"/>
    <cfRule type="duplicateValues" dxfId="12616" priority="17681"/>
    <cfRule type="duplicateValues" dxfId="12615" priority="17682"/>
    <cfRule type="duplicateValues" dxfId="12614" priority="17683"/>
    <cfRule type="duplicateValues" dxfId="12613" priority="17684"/>
    <cfRule type="duplicateValues" dxfId="12612" priority="17685"/>
    <cfRule type="duplicateValues" dxfId="12611" priority="17686"/>
    <cfRule type="duplicateValues" dxfId="12610" priority="17687"/>
    <cfRule type="duplicateValues" dxfId="12609" priority="17688"/>
    <cfRule type="duplicateValues" dxfId="12608" priority="17689"/>
    <cfRule type="duplicateValues" dxfId="12607" priority="17690"/>
    <cfRule type="duplicateValues" dxfId="12606" priority="17691"/>
    <cfRule type="duplicateValues" dxfId="12605" priority="17692"/>
    <cfRule type="duplicateValues" dxfId="12604" priority="17693"/>
    <cfRule type="duplicateValues" dxfId="12603" priority="17694"/>
    <cfRule type="duplicateValues" dxfId="12602" priority="17695"/>
    <cfRule type="duplicateValues" dxfId="12601" priority="17696"/>
    <cfRule type="duplicateValues" dxfId="12600" priority="17697"/>
    <cfRule type="duplicateValues" dxfId="12599" priority="17698"/>
    <cfRule type="duplicateValues" dxfId="12598" priority="17699"/>
    <cfRule type="duplicateValues" dxfId="12597" priority="17700"/>
    <cfRule type="duplicateValues" dxfId="12596" priority="17701"/>
    <cfRule type="duplicateValues" dxfId="12595" priority="17702"/>
    <cfRule type="duplicateValues" dxfId="12594" priority="17703"/>
    <cfRule type="duplicateValues" dxfId="12593" priority="17704"/>
    <cfRule type="duplicateValues" dxfId="12592" priority="17705"/>
    <cfRule type="duplicateValues" dxfId="12591" priority="17706"/>
    <cfRule type="duplicateValues" dxfId="12590" priority="17707"/>
    <cfRule type="duplicateValues" dxfId="12589" priority="17708"/>
    <cfRule type="duplicateValues" dxfId="12588" priority="17709"/>
    <cfRule type="duplicateValues" dxfId="12587" priority="17710"/>
    <cfRule type="duplicateValues" dxfId="12586" priority="17711"/>
    <cfRule type="duplicateValues" dxfId="12585" priority="17712"/>
    <cfRule type="duplicateValues" dxfId="12584" priority="17713"/>
    <cfRule type="duplicateValues" dxfId="12583" priority="17714"/>
    <cfRule type="duplicateValues" dxfId="12582" priority="17715"/>
    <cfRule type="duplicateValues" dxfId="12581" priority="17716"/>
    <cfRule type="duplicateValues" dxfId="12580" priority="17717"/>
    <cfRule type="duplicateValues" dxfId="12579" priority="17718"/>
    <cfRule type="duplicateValues" dxfId="12578" priority="17719"/>
    <cfRule type="duplicateValues" dxfId="12577" priority="17720"/>
    <cfRule type="duplicateValues" dxfId="12576" priority="17721"/>
    <cfRule type="duplicateValues" dxfId="12575" priority="17722"/>
    <cfRule type="duplicateValues" dxfId="12574" priority="17723"/>
    <cfRule type="duplicateValues" dxfId="12573" priority="17724"/>
    <cfRule type="duplicateValues" dxfId="12572" priority="17725"/>
    <cfRule type="duplicateValues" dxfId="12571" priority="17726"/>
    <cfRule type="duplicateValues" dxfId="12570" priority="17727"/>
    <cfRule type="duplicateValues" dxfId="12569" priority="17728"/>
    <cfRule type="duplicateValues" dxfId="12568" priority="17729"/>
    <cfRule type="duplicateValues" dxfId="12567" priority="17730"/>
    <cfRule type="duplicateValues" dxfId="12566" priority="17731"/>
    <cfRule type="duplicateValues" dxfId="12565" priority="17732"/>
    <cfRule type="duplicateValues" dxfId="12564" priority="17733"/>
    <cfRule type="duplicateValues" dxfId="12563" priority="17734"/>
    <cfRule type="duplicateValues" dxfId="12562" priority="17735"/>
    <cfRule type="duplicateValues" dxfId="12561" priority="17736"/>
    <cfRule type="duplicateValues" dxfId="12560" priority="17737"/>
    <cfRule type="duplicateValues" dxfId="12559" priority="17738"/>
    <cfRule type="duplicateValues" dxfId="12558" priority="17739"/>
    <cfRule type="duplicateValues" dxfId="12557" priority="17740"/>
    <cfRule type="duplicateValues" dxfId="12556" priority="17741"/>
    <cfRule type="duplicateValues" dxfId="12555" priority="17742"/>
    <cfRule type="duplicateValues" dxfId="12554" priority="17743"/>
    <cfRule type="duplicateValues" dxfId="12553" priority="17744"/>
    <cfRule type="duplicateValues" dxfId="12552" priority="17745"/>
    <cfRule type="duplicateValues" dxfId="12551" priority="17746"/>
    <cfRule type="duplicateValues" dxfId="12550" priority="17747"/>
    <cfRule type="duplicateValues" dxfId="12549" priority="17748"/>
    <cfRule type="duplicateValues" dxfId="12548" priority="17749"/>
    <cfRule type="duplicateValues" dxfId="12547" priority="17750"/>
    <cfRule type="duplicateValues" dxfId="12546" priority="17751"/>
    <cfRule type="duplicateValues" dxfId="12545" priority="17752"/>
    <cfRule type="duplicateValues" dxfId="12544" priority="17753"/>
    <cfRule type="duplicateValues" dxfId="12543" priority="17754"/>
    <cfRule type="duplicateValues" dxfId="12542" priority="17755"/>
    <cfRule type="duplicateValues" dxfId="12541" priority="17756"/>
    <cfRule type="duplicateValues" dxfId="12540" priority="17757"/>
    <cfRule type="duplicateValues" dxfId="12539" priority="17758"/>
    <cfRule type="duplicateValues" dxfId="12538" priority="17759"/>
    <cfRule type="duplicateValues" dxfId="12537" priority="17760"/>
    <cfRule type="duplicateValues" dxfId="12536" priority="17761"/>
    <cfRule type="duplicateValues" dxfId="12535" priority="17762"/>
    <cfRule type="duplicateValues" dxfId="12534" priority="17763"/>
    <cfRule type="duplicateValues" dxfId="12533" priority="17764"/>
    <cfRule type="duplicateValues" dxfId="12532" priority="17765"/>
    <cfRule type="duplicateValues" dxfId="12531" priority="17766"/>
    <cfRule type="duplicateValues" dxfId="12530" priority="17767"/>
    <cfRule type="duplicateValues" dxfId="12529" priority="17768"/>
    <cfRule type="duplicateValues" dxfId="12528" priority="17769"/>
    <cfRule type="duplicateValues" dxfId="12527" priority="17770"/>
    <cfRule type="duplicateValues" dxfId="12526" priority="17771"/>
  </conditionalFormatting>
  <conditionalFormatting sqref="C256">
    <cfRule type="duplicateValues" dxfId="12525" priority="17082"/>
    <cfRule type="duplicateValues" dxfId="12524" priority="17083"/>
    <cfRule type="duplicateValues" dxfId="12523" priority="17084"/>
    <cfRule type="duplicateValues" dxfId="12522" priority="17085"/>
    <cfRule type="duplicateValues" dxfId="12521" priority="17086"/>
    <cfRule type="duplicateValues" dxfId="12520" priority="17087"/>
    <cfRule type="duplicateValues" dxfId="12519" priority="17088"/>
    <cfRule type="duplicateValues" dxfId="12518" priority="17089"/>
    <cfRule type="duplicateValues" dxfId="12517" priority="17090"/>
    <cfRule type="duplicateValues" dxfId="12516" priority="17091"/>
    <cfRule type="duplicateValues" dxfId="12515" priority="17092"/>
    <cfRule type="duplicateValues" dxfId="12514" priority="17093"/>
    <cfRule type="duplicateValues" dxfId="12513" priority="17094"/>
    <cfRule type="duplicateValues" dxfId="12512" priority="17095"/>
    <cfRule type="duplicateValues" dxfId="12511" priority="17096"/>
    <cfRule type="duplicateValues" dxfId="12510" priority="17097"/>
    <cfRule type="duplicateValues" dxfId="12509" priority="17098"/>
    <cfRule type="duplicateValues" dxfId="12508" priority="17099"/>
    <cfRule type="duplicateValues" dxfId="12507" priority="17100"/>
    <cfRule type="duplicateValues" dxfId="12506" priority="17101"/>
    <cfRule type="duplicateValues" dxfId="12505" priority="17102"/>
    <cfRule type="duplicateValues" dxfId="12504" priority="17103"/>
    <cfRule type="duplicateValues" dxfId="12503" priority="17104"/>
    <cfRule type="duplicateValues" dxfId="12502" priority="17105"/>
    <cfRule type="duplicateValues" dxfId="12501" priority="17106"/>
    <cfRule type="duplicateValues" dxfId="12500" priority="17107"/>
    <cfRule type="duplicateValues" dxfId="12499" priority="17108"/>
    <cfRule type="duplicateValues" dxfId="12498" priority="17109"/>
    <cfRule type="duplicateValues" dxfId="12497" priority="17110"/>
    <cfRule type="duplicateValues" dxfId="12496" priority="17111"/>
    <cfRule type="duplicateValues" dxfId="12495" priority="17112"/>
    <cfRule type="duplicateValues" dxfId="12494" priority="17113"/>
    <cfRule type="duplicateValues" dxfId="12493" priority="17114"/>
    <cfRule type="duplicateValues" dxfId="12492" priority="17115"/>
    <cfRule type="duplicateValues" dxfId="12491" priority="17116"/>
    <cfRule type="duplicateValues" dxfId="12490" priority="17117"/>
    <cfRule type="duplicateValues" dxfId="12489" priority="17118"/>
    <cfRule type="duplicateValues" dxfId="12488" priority="17119"/>
    <cfRule type="duplicateValues" dxfId="12487" priority="17120"/>
    <cfRule type="duplicateValues" dxfId="12486" priority="17121"/>
    <cfRule type="duplicateValues" dxfId="12485" priority="17122"/>
    <cfRule type="duplicateValues" dxfId="12484" priority="17123"/>
    <cfRule type="duplicateValues" dxfId="12483" priority="17124"/>
    <cfRule type="duplicateValues" dxfId="12482" priority="17125"/>
    <cfRule type="duplicateValues" dxfId="12481" priority="17126"/>
    <cfRule type="duplicateValues" dxfId="12480" priority="17127"/>
    <cfRule type="duplicateValues" dxfId="12479" priority="17128"/>
    <cfRule type="duplicateValues" dxfId="12478" priority="17129"/>
    <cfRule type="duplicateValues" dxfId="12477" priority="17130"/>
    <cfRule type="duplicateValues" dxfId="12476" priority="17131"/>
    <cfRule type="duplicateValues" dxfId="12475" priority="17132"/>
    <cfRule type="duplicateValues" dxfId="12474" priority="17133"/>
    <cfRule type="duplicateValues" dxfId="12473" priority="17134"/>
    <cfRule type="duplicateValues" dxfId="12472" priority="17135"/>
    <cfRule type="duplicateValues" dxfId="12471" priority="17136"/>
    <cfRule type="duplicateValues" dxfId="12470" priority="17137"/>
    <cfRule type="duplicateValues" dxfId="12469" priority="17138"/>
    <cfRule type="duplicateValues" dxfId="12468" priority="17139"/>
    <cfRule type="duplicateValues" dxfId="12467" priority="17140"/>
    <cfRule type="duplicateValues" dxfId="12466" priority="17141"/>
    <cfRule type="duplicateValues" dxfId="12465" priority="17142"/>
    <cfRule type="duplicateValues" dxfId="12464" priority="17143"/>
    <cfRule type="duplicateValues" dxfId="12463" priority="17144"/>
    <cfRule type="duplicateValues" dxfId="12462" priority="17145"/>
    <cfRule type="duplicateValues" dxfId="12461" priority="17146"/>
    <cfRule type="duplicateValues" dxfId="12460" priority="17147"/>
    <cfRule type="duplicateValues" dxfId="12459" priority="17148"/>
    <cfRule type="duplicateValues" dxfId="12458" priority="17149"/>
    <cfRule type="duplicateValues" dxfId="12457" priority="17150"/>
    <cfRule type="duplicateValues" dxfId="12456" priority="17151"/>
    <cfRule type="duplicateValues" dxfId="12455" priority="17152"/>
    <cfRule type="duplicateValues" dxfId="12454" priority="17153"/>
    <cfRule type="duplicateValues" dxfId="12453" priority="17154"/>
    <cfRule type="duplicateValues" dxfId="12452" priority="17155"/>
    <cfRule type="duplicateValues" dxfId="12451" priority="17156"/>
    <cfRule type="duplicateValues" dxfId="12450" priority="17157"/>
    <cfRule type="duplicateValues" dxfId="12449" priority="17158"/>
    <cfRule type="duplicateValues" dxfId="12448" priority="17159"/>
    <cfRule type="duplicateValues" dxfId="12447" priority="17160"/>
    <cfRule type="duplicateValues" dxfId="12446" priority="17161"/>
    <cfRule type="duplicateValues" dxfId="12445" priority="17162"/>
    <cfRule type="duplicateValues" dxfId="12444" priority="17163"/>
    <cfRule type="duplicateValues" dxfId="12443" priority="17164"/>
    <cfRule type="duplicateValues" dxfId="12442" priority="17165"/>
    <cfRule type="duplicateValues" dxfId="12441" priority="17166"/>
    <cfRule type="duplicateValues" dxfId="12440" priority="17167"/>
    <cfRule type="duplicateValues" dxfId="12439" priority="17168"/>
    <cfRule type="duplicateValues" dxfId="12438" priority="17169"/>
    <cfRule type="duplicateValues" dxfId="12437" priority="17170"/>
    <cfRule type="duplicateValues" dxfId="12436" priority="17171"/>
    <cfRule type="duplicateValues" dxfId="12435" priority="17172"/>
    <cfRule type="duplicateValues" dxfId="12434" priority="17173"/>
    <cfRule type="duplicateValues" dxfId="12433" priority="17174"/>
    <cfRule type="duplicateValues" dxfId="12432" priority="17175"/>
    <cfRule type="duplicateValues" dxfId="12431" priority="17176"/>
    <cfRule type="duplicateValues" dxfId="12430" priority="17177"/>
    <cfRule type="duplicateValues" dxfId="12429" priority="17178"/>
    <cfRule type="duplicateValues" dxfId="12428" priority="17179"/>
    <cfRule type="duplicateValues" dxfId="12427" priority="17180"/>
    <cfRule type="duplicateValues" dxfId="12426" priority="17181"/>
    <cfRule type="duplicateValues" dxfId="12425" priority="17182"/>
    <cfRule type="duplicateValues" dxfId="12424" priority="17183"/>
    <cfRule type="duplicateValues" dxfId="12423" priority="17184"/>
    <cfRule type="duplicateValues" dxfId="12422" priority="17185"/>
    <cfRule type="duplicateValues" dxfId="12421" priority="17186"/>
    <cfRule type="duplicateValues" dxfId="12420" priority="17187"/>
    <cfRule type="duplicateValues" dxfId="12419" priority="17188"/>
    <cfRule type="duplicateValues" dxfId="12418" priority="17189"/>
    <cfRule type="duplicateValues" dxfId="12417" priority="17190"/>
    <cfRule type="duplicateValues" dxfId="12416" priority="17191"/>
    <cfRule type="duplicateValues" dxfId="12415" priority="17192"/>
    <cfRule type="duplicateValues" dxfId="12414" priority="17193"/>
    <cfRule type="duplicateValues" dxfId="12413" priority="17194"/>
    <cfRule type="duplicateValues" dxfId="12412" priority="17195"/>
    <cfRule type="duplicateValues" dxfId="12411" priority="17196"/>
    <cfRule type="duplicateValues" dxfId="12410" priority="17197"/>
    <cfRule type="duplicateValues" dxfId="12409" priority="17198"/>
    <cfRule type="duplicateValues" dxfId="12408" priority="17199"/>
    <cfRule type="duplicateValues" dxfId="12407" priority="17200"/>
    <cfRule type="duplicateValues" dxfId="12406" priority="17201"/>
    <cfRule type="duplicateValues" dxfId="12405" priority="17202"/>
    <cfRule type="duplicateValues" dxfId="12404" priority="17203"/>
    <cfRule type="duplicateValues" dxfId="12403" priority="17204"/>
    <cfRule type="duplicateValues" dxfId="12402" priority="17205"/>
    <cfRule type="duplicateValues" dxfId="12401" priority="17206"/>
    <cfRule type="duplicateValues" dxfId="12400" priority="17207"/>
    <cfRule type="duplicateValues" dxfId="12399" priority="17208"/>
    <cfRule type="duplicateValues" dxfId="12398" priority="17209"/>
    <cfRule type="duplicateValues" dxfId="12397" priority="17210"/>
    <cfRule type="duplicateValues" dxfId="12396" priority="17211"/>
    <cfRule type="duplicateValues" dxfId="12395" priority="17212"/>
    <cfRule type="duplicateValues" dxfId="12394" priority="17213"/>
    <cfRule type="duplicateValues" dxfId="12393" priority="17214"/>
    <cfRule type="duplicateValues" dxfId="12392" priority="17215"/>
    <cfRule type="duplicateValues" dxfId="12391" priority="17216"/>
    <cfRule type="duplicateValues" dxfId="12390" priority="17217"/>
    <cfRule type="duplicateValues" dxfId="12389" priority="17218"/>
    <cfRule type="duplicateValues" dxfId="12388" priority="17219"/>
    <cfRule type="duplicateValues" dxfId="12387" priority="17220"/>
    <cfRule type="duplicateValues" dxfId="12386" priority="17221"/>
    <cfRule type="duplicateValues" dxfId="12385" priority="17222"/>
    <cfRule type="duplicateValues" dxfId="12384" priority="17223"/>
    <cfRule type="duplicateValues" dxfId="12383" priority="17224"/>
    <cfRule type="duplicateValues" dxfId="12382" priority="17225"/>
    <cfRule type="duplicateValues" dxfId="12381" priority="17226"/>
    <cfRule type="duplicateValues" dxfId="12380" priority="17227"/>
    <cfRule type="duplicateValues" dxfId="12379" priority="17228"/>
    <cfRule type="duplicateValues" dxfId="12378" priority="17229"/>
    <cfRule type="duplicateValues" dxfId="12377" priority="17230"/>
    <cfRule type="duplicateValues" dxfId="12376" priority="17231"/>
    <cfRule type="duplicateValues" dxfId="12375" priority="17232"/>
    <cfRule type="duplicateValues" dxfId="12374" priority="17233"/>
    <cfRule type="duplicateValues" dxfId="12373" priority="17234"/>
    <cfRule type="duplicateValues" dxfId="12372" priority="17235"/>
    <cfRule type="duplicateValues" dxfId="12371" priority="17236"/>
    <cfRule type="duplicateValues" dxfId="12370" priority="17237"/>
    <cfRule type="duplicateValues" dxfId="12369" priority="17238"/>
    <cfRule type="duplicateValues" dxfId="12368" priority="17239"/>
    <cfRule type="duplicateValues" dxfId="12367" priority="17240"/>
    <cfRule type="duplicateValues" dxfId="12366" priority="17241"/>
    <cfRule type="duplicateValues" dxfId="12365" priority="17242"/>
    <cfRule type="duplicateValues" dxfId="12364" priority="17243"/>
    <cfRule type="duplicateValues" dxfId="12363" priority="17244"/>
    <cfRule type="duplicateValues" dxfId="12362" priority="17245"/>
    <cfRule type="duplicateValues" dxfId="12361" priority="17246"/>
    <cfRule type="duplicateValues" dxfId="12360" priority="17247"/>
    <cfRule type="duplicateValues" dxfId="12359" priority="17248"/>
    <cfRule type="duplicateValues" dxfId="12358" priority="17249"/>
    <cfRule type="duplicateValues" dxfId="12357" priority="17250"/>
    <cfRule type="duplicateValues" dxfId="12356" priority="17251"/>
    <cfRule type="duplicateValues" dxfId="12355" priority="17252"/>
    <cfRule type="duplicateValues" dxfId="12354" priority="17253"/>
    <cfRule type="duplicateValues" dxfId="12353" priority="17254"/>
    <cfRule type="duplicateValues" dxfId="12352" priority="17255"/>
    <cfRule type="duplicateValues" dxfId="12351" priority="17256"/>
    <cfRule type="duplicateValues" dxfId="12350" priority="17257"/>
    <cfRule type="duplicateValues" dxfId="12349" priority="17258"/>
    <cfRule type="duplicateValues" dxfId="12348" priority="17259"/>
    <cfRule type="duplicateValues" dxfId="12347" priority="17260"/>
    <cfRule type="duplicateValues" dxfId="12346" priority="17261"/>
    <cfRule type="duplicateValues" dxfId="12345" priority="17262"/>
    <cfRule type="duplicateValues" dxfId="12344" priority="17263"/>
    <cfRule type="duplicateValues" dxfId="12343" priority="17264"/>
    <cfRule type="duplicateValues" dxfId="12342" priority="17265"/>
    <cfRule type="duplicateValues" dxfId="12341" priority="17266"/>
    <cfRule type="duplicateValues" dxfId="12340" priority="17267"/>
    <cfRule type="duplicateValues" dxfId="12339" priority="17268"/>
    <cfRule type="duplicateValues" dxfId="12338" priority="17269"/>
    <cfRule type="duplicateValues" dxfId="12337" priority="17270"/>
    <cfRule type="duplicateValues" dxfId="12336" priority="17271"/>
    <cfRule type="duplicateValues" dxfId="12335" priority="17272"/>
    <cfRule type="duplicateValues" dxfId="12334" priority="17273"/>
    <cfRule type="duplicateValues" dxfId="12333" priority="17274"/>
    <cfRule type="duplicateValues" dxfId="12332" priority="17275"/>
    <cfRule type="duplicateValues" dxfId="12331" priority="17276"/>
    <cfRule type="duplicateValues" dxfId="12330" priority="17277"/>
    <cfRule type="duplicateValues" dxfId="12329" priority="17278"/>
    <cfRule type="duplicateValues" dxfId="12328" priority="17279"/>
    <cfRule type="duplicateValues" dxfId="12327" priority="17280"/>
    <cfRule type="duplicateValues" dxfId="12326" priority="17281"/>
    <cfRule type="duplicateValues" dxfId="12325" priority="17282"/>
    <cfRule type="duplicateValues" dxfId="12324" priority="17283"/>
    <cfRule type="duplicateValues" dxfId="12323" priority="17284"/>
    <cfRule type="duplicateValues" dxfId="12322" priority="17285"/>
    <cfRule type="duplicateValues" dxfId="12321" priority="17286"/>
    <cfRule type="duplicateValues" dxfId="12320" priority="17287"/>
    <cfRule type="duplicateValues" dxfId="12319" priority="17288"/>
    <cfRule type="duplicateValues" dxfId="12318" priority="17289"/>
    <cfRule type="duplicateValues" dxfId="12317" priority="17290"/>
    <cfRule type="duplicateValues" dxfId="12316" priority="17291"/>
    <cfRule type="duplicateValues" dxfId="12315" priority="17292"/>
    <cfRule type="duplicateValues" dxfId="12314" priority="17293"/>
    <cfRule type="duplicateValues" dxfId="12313" priority="17294"/>
    <cfRule type="duplicateValues" dxfId="12312" priority="17295"/>
    <cfRule type="duplicateValues" dxfId="12311" priority="17296"/>
    <cfRule type="duplicateValues" dxfId="12310" priority="17297"/>
    <cfRule type="duplicateValues" dxfId="12309" priority="17298"/>
    <cfRule type="duplicateValues" dxfId="12308" priority="17299"/>
    <cfRule type="duplicateValues" dxfId="12307" priority="17300"/>
    <cfRule type="duplicateValues" dxfId="12306" priority="17301"/>
    <cfRule type="duplicateValues" dxfId="12305" priority="17302"/>
    <cfRule type="duplicateValues" dxfId="12304" priority="17303"/>
    <cfRule type="duplicateValues" dxfId="12303" priority="17304"/>
    <cfRule type="duplicateValues" dxfId="12302" priority="17305"/>
    <cfRule type="duplicateValues" dxfId="12301" priority="17306"/>
    <cfRule type="duplicateValues" dxfId="12300" priority="17307"/>
    <cfRule type="duplicateValues" dxfId="12299" priority="17308"/>
    <cfRule type="duplicateValues" dxfId="12298" priority="17309"/>
    <cfRule type="duplicateValues" dxfId="12297" priority="17310"/>
    <cfRule type="duplicateValues" dxfId="12296" priority="17311"/>
    <cfRule type="duplicateValues" dxfId="12295" priority="17312"/>
    <cfRule type="duplicateValues" dxfId="12294" priority="17313"/>
    <cfRule type="duplicateValues" dxfId="12293" priority="17314"/>
    <cfRule type="duplicateValues" dxfId="12292" priority="17315"/>
    <cfRule type="duplicateValues" dxfId="12291" priority="17316"/>
    <cfRule type="duplicateValues" dxfId="12290" priority="17317"/>
    <cfRule type="duplicateValues" dxfId="12289" priority="17318"/>
    <cfRule type="duplicateValues" dxfId="12288" priority="17319"/>
    <cfRule type="duplicateValues" dxfId="12287" priority="17320"/>
    <cfRule type="duplicateValues" dxfId="12286" priority="17321"/>
    <cfRule type="duplicateValues" dxfId="12285" priority="17322"/>
    <cfRule type="duplicateValues" dxfId="12284" priority="17323"/>
    <cfRule type="duplicateValues" dxfId="12283" priority="17324"/>
    <cfRule type="duplicateValues" dxfId="12282" priority="17325"/>
    <cfRule type="duplicateValues" dxfId="12281" priority="17326"/>
    <cfRule type="duplicateValues" dxfId="12280" priority="17327"/>
    <cfRule type="duplicateValues" dxfId="12279" priority="17328"/>
    <cfRule type="duplicateValues" dxfId="12278" priority="17329"/>
    <cfRule type="duplicateValues" dxfId="12277" priority="17330"/>
    <cfRule type="duplicateValues" dxfId="12276" priority="17331"/>
    <cfRule type="duplicateValues" dxfId="12275" priority="17332"/>
    <cfRule type="duplicateValues" dxfId="12274" priority="17333"/>
    <cfRule type="duplicateValues" dxfId="12273" priority="17334"/>
    <cfRule type="duplicateValues" dxfId="12272" priority="17335"/>
    <cfRule type="duplicateValues" dxfId="12271" priority="17336"/>
    <cfRule type="duplicateValues" dxfId="12270" priority="17337"/>
    <cfRule type="duplicateValues" dxfId="12269" priority="17338"/>
    <cfRule type="duplicateValues" dxfId="12268" priority="17339"/>
    <cfRule type="duplicateValues" dxfId="12267" priority="17340"/>
    <cfRule type="duplicateValues" dxfId="12266" priority="17341"/>
    <cfRule type="duplicateValues" dxfId="12265" priority="17342"/>
    <cfRule type="duplicateValues" dxfId="12264" priority="17343"/>
    <cfRule type="duplicateValues" dxfId="12263" priority="17344"/>
    <cfRule type="duplicateValues" dxfId="12262" priority="17345"/>
    <cfRule type="duplicateValues" dxfId="12261" priority="17346"/>
    <cfRule type="duplicateValues" dxfId="12260" priority="17347"/>
    <cfRule type="duplicateValues" dxfId="12259" priority="17348"/>
    <cfRule type="duplicateValues" dxfId="12258" priority="17349"/>
    <cfRule type="duplicateValues" dxfId="12257" priority="17350"/>
    <cfRule type="duplicateValues" dxfId="12256" priority="17351"/>
    <cfRule type="duplicateValues" dxfId="12255" priority="17352"/>
    <cfRule type="duplicateValues" dxfId="12254" priority="17353"/>
    <cfRule type="duplicateValues" dxfId="12253" priority="17354"/>
    <cfRule type="duplicateValues" dxfId="12252" priority="17355"/>
    <cfRule type="duplicateValues" dxfId="12251" priority="17356"/>
    <cfRule type="duplicateValues" dxfId="12250" priority="17357"/>
    <cfRule type="duplicateValues" dxfId="12249" priority="17358"/>
    <cfRule type="duplicateValues" dxfId="12248" priority="17359"/>
    <cfRule type="duplicateValues" dxfId="12247" priority="17360"/>
    <cfRule type="duplicateValues" dxfId="12246" priority="17361"/>
    <cfRule type="duplicateValues" dxfId="12245" priority="17362"/>
    <cfRule type="duplicateValues" dxfId="12244" priority="17363"/>
    <cfRule type="duplicateValues" dxfId="12243" priority="17364"/>
    <cfRule type="duplicateValues" dxfId="12242" priority="17365"/>
    <cfRule type="duplicateValues" dxfId="12241" priority="17366"/>
    <cfRule type="duplicateValues" dxfId="12240" priority="17367"/>
    <cfRule type="duplicateValues" dxfId="12239" priority="17368"/>
    <cfRule type="duplicateValues" dxfId="12238" priority="17369"/>
    <cfRule type="duplicateValues" dxfId="12237" priority="17370"/>
    <cfRule type="duplicateValues" dxfId="12236" priority="17371"/>
    <cfRule type="duplicateValues" dxfId="12235" priority="17372"/>
    <cfRule type="duplicateValues" dxfId="12234" priority="17373"/>
    <cfRule type="duplicateValues" dxfId="12233" priority="17374"/>
    <cfRule type="duplicateValues" dxfId="12232" priority="17375"/>
    <cfRule type="duplicateValues" dxfId="12231" priority="17376"/>
    <cfRule type="duplicateValues" dxfId="12230" priority="17377"/>
    <cfRule type="duplicateValues" dxfId="12229" priority="17378"/>
    <cfRule type="duplicateValues" dxfId="12228" priority="17379"/>
    <cfRule type="duplicateValues" dxfId="12227" priority="17380"/>
    <cfRule type="duplicateValues" dxfId="12226" priority="17381"/>
    <cfRule type="duplicateValues" dxfId="12225" priority="17382"/>
    <cfRule type="duplicateValues" dxfId="12224" priority="17383"/>
    <cfRule type="duplicateValues" dxfId="12223" priority="17384"/>
    <cfRule type="duplicateValues" dxfId="12222" priority="17385"/>
    <cfRule type="duplicateValues" dxfId="12221" priority="17386"/>
    <cfRule type="duplicateValues" dxfId="12220" priority="17387"/>
    <cfRule type="duplicateValues" dxfId="12219" priority="17388"/>
    <cfRule type="duplicateValues" dxfId="12218" priority="17389"/>
    <cfRule type="duplicateValues" dxfId="12217" priority="17390"/>
    <cfRule type="duplicateValues" dxfId="12216" priority="17391"/>
    <cfRule type="duplicateValues" dxfId="12215" priority="17392"/>
    <cfRule type="duplicateValues" dxfId="12214" priority="17393"/>
    <cfRule type="duplicateValues" dxfId="12213" priority="17394"/>
    <cfRule type="duplicateValues" dxfId="12212" priority="17395"/>
    <cfRule type="duplicateValues" dxfId="12211" priority="17396"/>
    <cfRule type="duplicateValues" dxfId="12210" priority="17397"/>
    <cfRule type="duplicateValues" dxfId="12209" priority="17398"/>
    <cfRule type="duplicateValues" dxfId="12208" priority="17399"/>
    <cfRule type="duplicateValues" dxfId="12207" priority="17400"/>
    <cfRule type="duplicateValues" dxfId="12206" priority="17401"/>
    <cfRule type="duplicateValues" dxfId="12205" priority="17402"/>
    <cfRule type="duplicateValues" dxfId="12204" priority="17403"/>
    <cfRule type="duplicateValues" dxfId="12203" priority="17404"/>
    <cfRule type="duplicateValues" dxfId="12202" priority="17405"/>
    <cfRule type="duplicateValues" dxfId="12201" priority="17406"/>
    <cfRule type="duplicateValues" dxfId="12200" priority="17407"/>
    <cfRule type="duplicateValues" dxfId="12199" priority="17408"/>
    <cfRule type="duplicateValues" dxfId="12198" priority="17409"/>
    <cfRule type="duplicateValues" dxfId="12197" priority="17410"/>
    <cfRule type="duplicateValues" dxfId="12196" priority="17411"/>
    <cfRule type="duplicateValues" dxfId="12195" priority="17412"/>
    <cfRule type="duplicateValues" dxfId="12194" priority="17413"/>
    <cfRule type="duplicateValues" dxfId="12193" priority="17414"/>
    <cfRule type="duplicateValues" dxfId="12192" priority="17415"/>
    <cfRule type="duplicateValues" dxfId="12191" priority="17416"/>
    <cfRule type="duplicateValues" dxfId="12190" priority="17417"/>
    <cfRule type="duplicateValues" dxfId="12189" priority="17418"/>
    <cfRule type="duplicateValues" dxfId="12188" priority="17419"/>
    <cfRule type="duplicateValues" dxfId="12187" priority="17420"/>
    <cfRule type="duplicateValues" dxfId="12186" priority="17421"/>
    <cfRule type="duplicateValues" dxfId="12185" priority="17422"/>
    <cfRule type="duplicateValues" dxfId="12184" priority="17423"/>
    <cfRule type="duplicateValues" dxfId="12183" priority="17424"/>
    <cfRule type="duplicateValues" dxfId="12182" priority="17425"/>
    <cfRule type="duplicateValues" dxfId="12181" priority="17426"/>
  </conditionalFormatting>
  <conditionalFormatting sqref="C257">
    <cfRule type="duplicateValues" dxfId="12180" priority="16737"/>
    <cfRule type="duplicateValues" dxfId="12179" priority="16738"/>
    <cfRule type="duplicateValues" dxfId="12178" priority="16739"/>
    <cfRule type="duplicateValues" dxfId="12177" priority="16740"/>
    <cfRule type="duplicateValues" dxfId="12176" priority="16741"/>
    <cfRule type="duplicateValues" dxfId="12175" priority="16742"/>
    <cfRule type="duplicateValues" dxfId="12174" priority="16743"/>
    <cfRule type="duplicateValues" dxfId="12173" priority="16744"/>
    <cfRule type="duplicateValues" dxfId="12172" priority="16745"/>
    <cfRule type="duplicateValues" dxfId="12171" priority="16746"/>
    <cfRule type="duplicateValues" dxfId="12170" priority="16747"/>
    <cfRule type="duplicateValues" dxfId="12169" priority="16748"/>
    <cfRule type="duplicateValues" dxfId="12168" priority="16749"/>
    <cfRule type="duplicateValues" dxfId="12167" priority="16750"/>
    <cfRule type="duplicateValues" dxfId="12166" priority="16751"/>
    <cfRule type="duplicateValues" dxfId="12165" priority="16752"/>
    <cfRule type="duplicateValues" dxfId="12164" priority="16753"/>
    <cfRule type="duplicateValues" dxfId="12163" priority="16754"/>
    <cfRule type="duplicateValues" dxfId="12162" priority="16755"/>
    <cfRule type="duplicateValues" dxfId="12161" priority="16756"/>
    <cfRule type="duplicateValues" dxfId="12160" priority="16757"/>
    <cfRule type="duplicateValues" dxfId="12159" priority="16758"/>
    <cfRule type="duplicateValues" dxfId="12158" priority="16759"/>
    <cfRule type="duplicateValues" dxfId="12157" priority="16760"/>
    <cfRule type="duplicateValues" dxfId="12156" priority="16761"/>
    <cfRule type="duplicateValues" dxfId="12155" priority="16762"/>
    <cfRule type="duplicateValues" dxfId="12154" priority="16763"/>
    <cfRule type="duplicateValues" dxfId="12153" priority="16764"/>
    <cfRule type="duplicateValues" dxfId="12152" priority="16765"/>
    <cfRule type="duplicateValues" dxfId="12151" priority="16766"/>
    <cfRule type="duplicateValues" dxfId="12150" priority="16767"/>
    <cfRule type="duplicateValues" dxfId="12149" priority="16768"/>
    <cfRule type="duplicateValues" dxfId="12148" priority="16769"/>
    <cfRule type="duplicateValues" dxfId="12147" priority="16770"/>
    <cfRule type="duplicateValues" dxfId="12146" priority="16771"/>
    <cfRule type="duplicateValues" dxfId="12145" priority="16772"/>
    <cfRule type="duplicateValues" dxfId="12144" priority="16773"/>
    <cfRule type="duplicateValues" dxfId="12143" priority="16774"/>
    <cfRule type="duplicateValues" dxfId="12142" priority="16775"/>
    <cfRule type="duplicateValues" dxfId="12141" priority="16776"/>
    <cfRule type="duplicateValues" dxfId="12140" priority="16777"/>
    <cfRule type="duplicateValues" dxfId="12139" priority="16778"/>
    <cfRule type="duplicateValues" dxfId="12138" priority="16779"/>
    <cfRule type="duplicateValues" dxfId="12137" priority="16780"/>
    <cfRule type="duplicateValues" dxfId="12136" priority="16781"/>
    <cfRule type="duplicateValues" dxfId="12135" priority="16782"/>
    <cfRule type="duplicateValues" dxfId="12134" priority="16783"/>
    <cfRule type="duplicateValues" dxfId="12133" priority="16784"/>
    <cfRule type="duplicateValues" dxfId="12132" priority="16785"/>
    <cfRule type="duplicateValues" dxfId="12131" priority="16786"/>
    <cfRule type="duplicateValues" dxfId="12130" priority="16787"/>
    <cfRule type="duplicateValues" dxfId="12129" priority="16788"/>
    <cfRule type="duplicateValues" dxfId="12128" priority="16789"/>
    <cfRule type="duplicateValues" dxfId="12127" priority="16790"/>
    <cfRule type="duplicateValues" dxfId="12126" priority="16791"/>
    <cfRule type="duplicateValues" dxfId="12125" priority="16792"/>
    <cfRule type="duplicateValues" dxfId="12124" priority="16793"/>
    <cfRule type="duplicateValues" dxfId="12123" priority="16794"/>
    <cfRule type="duplicateValues" dxfId="12122" priority="16795"/>
    <cfRule type="duplicateValues" dxfId="12121" priority="16796"/>
    <cfRule type="duplicateValues" dxfId="12120" priority="16797"/>
    <cfRule type="duplicateValues" dxfId="12119" priority="16798"/>
    <cfRule type="duplicateValues" dxfId="12118" priority="16799"/>
    <cfRule type="duplicateValues" dxfId="12117" priority="16800"/>
    <cfRule type="duplicateValues" dxfId="12116" priority="16801"/>
    <cfRule type="duplicateValues" dxfId="12115" priority="16802"/>
    <cfRule type="duplicateValues" dxfId="12114" priority="16803"/>
    <cfRule type="duplicateValues" dxfId="12113" priority="16804"/>
    <cfRule type="duplicateValues" dxfId="12112" priority="16805"/>
    <cfRule type="duplicateValues" dxfId="12111" priority="16806"/>
    <cfRule type="duplicateValues" dxfId="12110" priority="16807"/>
    <cfRule type="duplicateValues" dxfId="12109" priority="16808"/>
    <cfRule type="duplicateValues" dxfId="12108" priority="16809"/>
    <cfRule type="duplicateValues" dxfId="12107" priority="16810"/>
    <cfRule type="duplicateValues" dxfId="12106" priority="16811"/>
    <cfRule type="duplicateValues" dxfId="12105" priority="16812"/>
    <cfRule type="duplicateValues" dxfId="12104" priority="16813"/>
    <cfRule type="duplicateValues" dxfId="12103" priority="16814"/>
    <cfRule type="duplicateValues" dxfId="12102" priority="16815"/>
    <cfRule type="duplicateValues" dxfId="12101" priority="16816"/>
    <cfRule type="duplicateValues" dxfId="12100" priority="16817"/>
    <cfRule type="duplicateValues" dxfId="12099" priority="16818"/>
    <cfRule type="duplicateValues" dxfId="12098" priority="16819"/>
    <cfRule type="duplicateValues" dxfId="12097" priority="16820"/>
    <cfRule type="duplicateValues" dxfId="12096" priority="16821"/>
    <cfRule type="duplicateValues" dxfId="12095" priority="16822"/>
    <cfRule type="duplicateValues" dxfId="12094" priority="16823"/>
    <cfRule type="duplicateValues" dxfId="12093" priority="16824"/>
    <cfRule type="duplicateValues" dxfId="12092" priority="16825"/>
    <cfRule type="duplicateValues" dxfId="12091" priority="16826"/>
    <cfRule type="duplicateValues" dxfId="12090" priority="16827"/>
    <cfRule type="duplicateValues" dxfId="12089" priority="16828"/>
    <cfRule type="duplicateValues" dxfId="12088" priority="16829"/>
    <cfRule type="duplicateValues" dxfId="12087" priority="16830"/>
    <cfRule type="duplicateValues" dxfId="12086" priority="16831"/>
    <cfRule type="duplicateValues" dxfId="12085" priority="16832"/>
    <cfRule type="duplicateValues" dxfId="12084" priority="16833"/>
    <cfRule type="duplicateValues" dxfId="12083" priority="16834"/>
    <cfRule type="duplicateValues" dxfId="12082" priority="16835"/>
    <cfRule type="duplicateValues" dxfId="12081" priority="16836"/>
    <cfRule type="duplicateValues" dxfId="12080" priority="16837"/>
    <cfRule type="duplicateValues" dxfId="12079" priority="16838"/>
    <cfRule type="duplicateValues" dxfId="12078" priority="16839"/>
    <cfRule type="duplicateValues" dxfId="12077" priority="16840"/>
    <cfRule type="duplicateValues" dxfId="12076" priority="16841"/>
    <cfRule type="duplicateValues" dxfId="12075" priority="16842"/>
    <cfRule type="duplicateValues" dxfId="12074" priority="16843"/>
    <cfRule type="duplicateValues" dxfId="12073" priority="16844"/>
    <cfRule type="duplicateValues" dxfId="12072" priority="16845"/>
    <cfRule type="duplicateValues" dxfId="12071" priority="16846"/>
    <cfRule type="duplicateValues" dxfId="12070" priority="16847"/>
    <cfRule type="duplicateValues" dxfId="12069" priority="16848"/>
    <cfRule type="duplicateValues" dxfId="12068" priority="16849"/>
    <cfRule type="duplicateValues" dxfId="12067" priority="16850"/>
    <cfRule type="duplicateValues" dxfId="12066" priority="16851"/>
    <cfRule type="duplicateValues" dxfId="12065" priority="16852"/>
    <cfRule type="duplicateValues" dxfId="12064" priority="16853"/>
    <cfRule type="duplicateValues" dxfId="12063" priority="16854"/>
    <cfRule type="duplicateValues" dxfId="12062" priority="16855"/>
    <cfRule type="duplicateValues" dxfId="12061" priority="16856"/>
    <cfRule type="duplicateValues" dxfId="12060" priority="16857"/>
    <cfRule type="duplicateValues" dxfId="12059" priority="16858"/>
    <cfRule type="duplicateValues" dxfId="12058" priority="16859"/>
    <cfRule type="duplicateValues" dxfId="12057" priority="16860"/>
    <cfRule type="duplicateValues" dxfId="12056" priority="16861"/>
    <cfRule type="duplicateValues" dxfId="12055" priority="16862"/>
    <cfRule type="duplicateValues" dxfId="12054" priority="16863"/>
    <cfRule type="duplicateValues" dxfId="12053" priority="16864"/>
    <cfRule type="duplicateValues" dxfId="12052" priority="16865"/>
    <cfRule type="duplicateValues" dxfId="12051" priority="16866"/>
    <cfRule type="duplicateValues" dxfId="12050" priority="16867"/>
    <cfRule type="duplicateValues" dxfId="12049" priority="16868"/>
    <cfRule type="duplicateValues" dxfId="12048" priority="16869"/>
    <cfRule type="duplicateValues" dxfId="12047" priority="16870"/>
    <cfRule type="duplicateValues" dxfId="12046" priority="16871"/>
    <cfRule type="duplicateValues" dxfId="12045" priority="16872"/>
    <cfRule type="duplicateValues" dxfId="12044" priority="16873"/>
    <cfRule type="duplicateValues" dxfId="12043" priority="16874"/>
    <cfRule type="duplicateValues" dxfId="12042" priority="16875"/>
    <cfRule type="duplicateValues" dxfId="12041" priority="16876"/>
    <cfRule type="duplicateValues" dxfId="12040" priority="16877"/>
    <cfRule type="duplicateValues" dxfId="12039" priority="16878"/>
    <cfRule type="duplicateValues" dxfId="12038" priority="16879"/>
    <cfRule type="duplicateValues" dxfId="12037" priority="16880"/>
    <cfRule type="duplicateValues" dxfId="12036" priority="16881"/>
    <cfRule type="duplicateValues" dxfId="12035" priority="16882"/>
    <cfRule type="duplicateValues" dxfId="12034" priority="16883"/>
    <cfRule type="duplicateValues" dxfId="12033" priority="16884"/>
    <cfRule type="duplicateValues" dxfId="12032" priority="16885"/>
    <cfRule type="duplicateValues" dxfId="12031" priority="16886"/>
    <cfRule type="duplicateValues" dxfId="12030" priority="16887"/>
    <cfRule type="duplicateValues" dxfId="12029" priority="16888"/>
    <cfRule type="duplicateValues" dxfId="12028" priority="16889"/>
    <cfRule type="duplicateValues" dxfId="12027" priority="16890"/>
    <cfRule type="duplicateValues" dxfId="12026" priority="16891"/>
    <cfRule type="duplicateValues" dxfId="12025" priority="16892"/>
    <cfRule type="duplicateValues" dxfId="12024" priority="16893"/>
    <cfRule type="duplicateValues" dxfId="12023" priority="16894"/>
    <cfRule type="duplicateValues" dxfId="12022" priority="16895"/>
    <cfRule type="duplicateValues" dxfId="12021" priority="16896"/>
    <cfRule type="duplicateValues" dxfId="12020" priority="16897"/>
    <cfRule type="duplicateValues" dxfId="12019" priority="16898"/>
    <cfRule type="duplicateValues" dxfId="12018" priority="16899"/>
    <cfRule type="duplicateValues" dxfId="12017" priority="16900"/>
    <cfRule type="duplicateValues" dxfId="12016" priority="16901"/>
    <cfRule type="duplicateValues" dxfId="12015" priority="16902"/>
    <cfRule type="duplicateValues" dxfId="12014" priority="16903"/>
    <cfRule type="duplicateValues" dxfId="12013" priority="16904"/>
    <cfRule type="duplicateValues" dxfId="12012" priority="16905"/>
    <cfRule type="duplicateValues" dxfId="12011" priority="16906"/>
    <cfRule type="duplicateValues" dxfId="12010" priority="16907"/>
    <cfRule type="duplicateValues" dxfId="12009" priority="16908"/>
    <cfRule type="duplicateValues" dxfId="12008" priority="16909"/>
    <cfRule type="duplicateValues" dxfId="12007" priority="16910"/>
    <cfRule type="duplicateValues" dxfId="12006" priority="16911"/>
    <cfRule type="duplicateValues" dxfId="12005" priority="16912"/>
    <cfRule type="duplicateValues" dxfId="12004" priority="16913"/>
    <cfRule type="duplicateValues" dxfId="12003" priority="16914"/>
    <cfRule type="duplicateValues" dxfId="12002" priority="16915"/>
    <cfRule type="duplicateValues" dxfId="12001" priority="16916"/>
    <cfRule type="duplicateValues" dxfId="12000" priority="16917"/>
    <cfRule type="duplicateValues" dxfId="11999" priority="16918"/>
    <cfRule type="duplicateValues" dxfId="11998" priority="16919"/>
    <cfRule type="duplicateValues" dxfId="11997" priority="16920"/>
    <cfRule type="duplicateValues" dxfId="11996" priority="16921"/>
    <cfRule type="duplicateValues" dxfId="11995" priority="16922"/>
    <cfRule type="duplicateValues" dxfId="11994" priority="16923"/>
    <cfRule type="duplicateValues" dxfId="11993" priority="16924"/>
    <cfRule type="duplicateValues" dxfId="11992" priority="16925"/>
    <cfRule type="duplicateValues" dxfId="11991" priority="16926"/>
    <cfRule type="duplicateValues" dxfId="11990" priority="16927"/>
    <cfRule type="duplicateValues" dxfId="11989" priority="16928"/>
    <cfRule type="duplicateValues" dxfId="11988" priority="16929"/>
    <cfRule type="duplicateValues" dxfId="11987" priority="16930"/>
    <cfRule type="duplicateValues" dxfId="11986" priority="16931"/>
    <cfRule type="duplicateValues" dxfId="11985" priority="16932"/>
    <cfRule type="duplicateValues" dxfId="11984" priority="16933"/>
    <cfRule type="duplicateValues" dxfId="11983" priority="16934"/>
    <cfRule type="duplicateValues" dxfId="11982" priority="16935"/>
    <cfRule type="duplicateValues" dxfId="11981" priority="16936"/>
    <cfRule type="duplicateValues" dxfId="11980" priority="16937"/>
    <cfRule type="duplicateValues" dxfId="11979" priority="16938"/>
    <cfRule type="duplicateValues" dxfId="11978" priority="16939"/>
    <cfRule type="duplicateValues" dxfId="11977" priority="16940"/>
    <cfRule type="duplicateValues" dxfId="11976" priority="16941"/>
    <cfRule type="duplicateValues" dxfId="11975" priority="16942"/>
    <cfRule type="duplicateValues" dxfId="11974" priority="16943"/>
    <cfRule type="duplicateValues" dxfId="11973" priority="16944"/>
    <cfRule type="duplicateValues" dxfId="11972" priority="16945"/>
    <cfRule type="duplicateValues" dxfId="11971" priority="16946"/>
    <cfRule type="duplicateValues" dxfId="11970" priority="16947"/>
    <cfRule type="duplicateValues" dxfId="11969" priority="16948"/>
    <cfRule type="duplicateValues" dxfId="11968" priority="16949"/>
    <cfRule type="duplicateValues" dxfId="11967" priority="16950"/>
    <cfRule type="duplicateValues" dxfId="11966" priority="16951"/>
    <cfRule type="duplicateValues" dxfId="11965" priority="16952"/>
    <cfRule type="duplicateValues" dxfId="11964" priority="16953"/>
    <cfRule type="duplicateValues" dxfId="11963" priority="16954"/>
    <cfRule type="duplicateValues" dxfId="11962" priority="16955"/>
    <cfRule type="duplicateValues" dxfId="11961" priority="16956"/>
    <cfRule type="duplicateValues" dxfId="11960" priority="16957"/>
    <cfRule type="duplicateValues" dxfId="11959" priority="16958"/>
    <cfRule type="duplicateValues" dxfId="11958" priority="16959"/>
    <cfRule type="duplicateValues" dxfId="11957" priority="16960"/>
    <cfRule type="duplicateValues" dxfId="11956" priority="16961"/>
    <cfRule type="duplicateValues" dxfId="11955" priority="16962"/>
    <cfRule type="duplicateValues" dxfId="11954" priority="16963"/>
    <cfRule type="duplicateValues" dxfId="11953" priority="16964"/>
    <cfRule type="duplicateValues" dxfId="11952" priority="16965"/>
    <cfRule type="duplicateValues" dxfId="11951" priority="16966"/>
    <cfRule type="duplicateValues" dxfId="11950" priority="16967"/>
    <cfRule type="duplicateValues" dxfId="11949" priority="16968"/>
    <cfRule type="duplicateValues" dxfId="11948" priority="16969"/>
    <cfRule type="duplicateValues" dxfId="11947" priority="16970"/>
    <cfRule type="duplicateValues" dxfId="11946" priority="16971"/>
    <cfRule type="duplicateValues" dxfId="11945" priority="16972"/>
    <cfRule type="duplicateValues" dxfId="11944" priority="16973"/>
    <cfRule type="duplicateValues" dxfId="11943" priority="16974"/>
    <cfRule type="duplicateValues" dxfId="11942" priority="16975"/>
    <cfRule type="duplicateValues" dxfId="11941" priority="16976"/>
    <cfRule type="duplicateValues" dxfId="11940" priority="16977"/>
    <cfRule type="duplicateValues" dxfId="11939" priority="16978"/>
    <cfRule type="duplicateValues" dxfId="11938" priority="16979"/>
    <cfRule type="duplicateValues" dxfId="11937" priority="16980"/>
    <cfRule type="duplicateValues" dxfId="11936" priority="16981"/>
    <cfRule type="duplicateValues" dxfId="11935" priority="16982"/>
    <cfRule type="duplicateValues" dxfId="11934" priority="16983"/>
    <cfRule type="duplicateValues" dxfId="11933" priority="16984"/>
    <cfRule type="duplicateValues" dxfId="11932" priority="16985"/>
    <cfRule type="duplicateValues" dxfId="11931" priority="16986"/>
    <cfRule type="duplicateValues" dxfId="11930" priority="16987"/>
    <cfRule type="duplicateValues" dxfId="11929" priority="16988"/>
    <cfRule type="duplicateValues" dxfId="11928" priority="16989"/>
    <cfRule type="duplicateValues" dxfId="11927" priority="16990"/>
    <cfRule type="duplicateValues" dxfId="11926" priority="16991"/>
    <cfRule type="duplicateValues" dxfId="11925" priority="16992"/>
    <cfRule type="duplicateValues" dxfId="11924" priority="16993"/>
    <cfRule type="duplicateValues" dxfId="11923" priority="16994"/>
    <cfRule type="duplicateValues" dxfId="11922" priority="16995"/>
    <cfRule type="duplicateValues" dxfId="11921" priority="16996"/>
    <cfRule type="duplicateValues" dxfId="11920" priority="16997"/>
    <cfRule type="duplicateValues" dxfId="11919" priority="16998"/>
    <cfRule type="duplicateValues" dxfId="11918" priority="16999"/>
    <cfRule type="duplicateValues" dxfId="11917" priority="17000"/>
    <cfRule type="duplicateValues" dxfId="11916" priority="17001"/>
    <cfRule type="duplicateValues" dxfId="11915" priority="17002"/>
    <cfRule type="duplicateValues" dxfId="11914" priority="17003"/>
    <cfRule type="duplicateValues" dxfId="11913" priority="17004"/>
    <cfRule type="duplicateValues" dxfId="11912" priority="17005"/>
    <cfRule type="duplicateValues" dxfId="11911" priority="17006"/>
    <cfRule type="duplicateValues" dxfId="11910" priority="17007"/>
    <cfRule type="duplicateValues" dxfId="11909" priority="17008"/>
    <cfRule type="duplicateValues" dxfId="11908" priority="17009"/>
    <cfRule type="duplicateValues" dxfId="11907" priority="17010"/>
    <cfRule type="duplicateValues" dxfId="11906" priority="17011"/>
    <cfRule type="duplicateValues" dxfId="11905" priority="17012"/>
    <cfRule type="duplicateValues" dxfId="11904" priority="17013"/>
    <cfRule type="duplicateValues" dxfId="11903" priority="17014"/>
    <cfRule type="duplicateValues" dxfId="11902" priority="17015"/>
    <cfRule type="duplicateValues" dxfId="11901" priority="17016"/>
    <cfRule type="duplicateValues" dxfId="11900" priority="17017"/>
    <cfRule type="duplicateValues" dxfId="11899" priority="17018"/>
    <cfRule type="duplicateValues" dxfId="11898" priority="17019"/>
    <cfRule type="duplicateValues" dxfId="11897" priority="17020"/>
    <cfRule type="duplicateValues" dxfId="11896" priority="17021"/>
    <cfRule type="duplicateValues" dxfId="11895" priority="17022"/>
    <cfRule type="duplicateValues" dxfId="11894" priority="17023"/>
    <cfRule type="duplicateValues" dxfId="11893" priority="17024"/>
    <cfRule type="duplicateValues" dxfId="11892" priority="17025"/>
    <cfRule type="duplicateValues" dxfId="11891" priority="17026"/>
    <cfRule type="duplicateValues" dxfId="11890" priority="17027"/>
    <cfRule type="duplicateValues" dxfId="11889" priority="17028"/>
    <cfRule type="duplicateValues" dxfId="11888" priority="17029"/>
    <cfRule type="duplicateValues" dxfId="11887" priority="17030"/>
    <cfRule type="duplicateValues" dxfId="11886" priority="17031"/>
    <cfRule type="duplicateValues" dxfId="11885" priority="17032"/>
    <cfRule type="duplicateValues" dxfId="11884" priority="17033"/>
    <cfRule type="duplicateValues" dxfId="11883" priority="17034"/>
    <cfRule type="duplicateValues" dxfId="11882" priority="17035"/>
    <cfRule type="duplicateValues" dxfId="11881" priority="17036"/>
    <cfRule type="duplicateValues" dxfId="11880" priority="17037"/>
    <cfRule type="duplicateValues" dxfId="11879" priority="17038"/>
    <cfRule type="duplicateValues" dxfId="11878" priority="17039"/>
    <cfRule type="duplicateValues" dxfId="11877" priority="17040"/>
    <cfRule type="duplicateValues" dxfId="11876" priority="17041"/>
    <cfRule type="duplicateValues" dxfId="11875" priority="17042"/>
    <cfRule type="duplicateValues" dxfId="11874" priority="17043"/>
    <cfRule type="duplicateValues" dxfId="11873" priority="17044"/>
    <cfRule type="duplicateValues" dxfId="11872" priority="17045"/>
    <cfRule type="duplicateValues" dxfId="11871" priority="17046"/>
    <cfRule type="duplicateValues" dxfId="11870" priority="17047"/>
    <cfRule type="duplicateValues" dxfId="11869" priority="17048"/>
    <cfRule type="duplicateValues" dxfId="11868" priority="17049"/>
    <cfRule type="duplicateValues" dxfId="11867" priority="17050"/>
    <cfRule type="duplicateValues" dxfId="11866" priority="17051"/>
    <cfRule type="duplicateValues" dxfId="11865" priority="17052"/>
    <cfRule type="duplicateValues" dxfId="11864" priority="17053"/>
    <cfRule type="duplicateValues" dxfId="11863" priority="17054"/>
    <cfRule type="duplicateValues" dxfId="11862" priority="17055"/>
    <cfRule type="duplicateValues" dxfId="11861" priority="17056"/>
    <cfRule type="duplicateValues" dxfId="11860" priority="17057"/>
    <cfRule type="duplicateValues" dxfId="11859" priority="17058"/>
    <cfRule type="duplicateValues" dxfId="11858" priority="17059"/>
    <cfRule type="duplicateValues" dxfId="11857" priority="17060"/>
    <cfRule type="duplicateValues" dxfId="11856" priority="17061"/>
    <cfRule type="duplicateValues" dxfId="11855" priority="17062"/>
    <cfRule type="duplicateValues" dxfId="11854" priority="17063"/>
    <cfRule type="duplicateValues" dxfId="11853" priority="17064"/>
    <cfRule type="duplicateValues" dxfId="11852" priority="17065"/>
    <cfRule type="duplicateValues" dxfId="11851" priority="17066"/>
    <cfRule type="duplicateValues" dxfId="11850" priority="17067"/>
    <cfRule type="duplicateValues" dxfId="11849" priority="17068"/>
    <cfRule type="duplicateValues" dxfId="11848" priority="17069"/>
    <cfRule type="duplicateValues" dxfId="11847" priority="17070"/>
    <cfRule type="duplicateValues" dxfId="11846" priority="17071"/>
    <cfRule type="duplicateValues" dxfId="11845" priority="17072"/>
    <cfRule type="duplicateValues" dxfId="11844" priority="17073"/>
    <cfRule type="duplicateValues" dxfId="11843" priority="17074"/>
    <cfRule type="duplicateValues" dxfId="11842" priority="17075"/>
    <cfRule type="duplicateValues" dxfId="11841" priority="17076"/>
    <cfRule type="duplicateValues" dxfId="11840" priority="17077"/>
    <cfRule type="duplicateValues" dxfId="11839" priority="17078"/>
    <cfRule type="duplicateValues" dxfId="11838" priority="17079"/>
    <cfRule type="duplicateValues" dxfId="11837" priority="17080"/>
    <cfRule type="duplicateValues" dxfId="11836" priority="17081"/>
  </conditionalFormatting>
  <conditionalFormatting sqref="C258">
    <cfRule type="duplicateValues" dxfId="11835" priority="16392"/>
    <cfRule type="duplicateValues" dxfId="11834" priority="16393"/>
    <cfRule type="duplicateValues" dxfId="11833" priority="16394"/>
    <cfRule type="duplicateValues" dxfId="11832" priority="16395"/>
    <cfRule type="duplicateValues" dxfId="11831" priority="16396"/>
    <cfRule type="duplicateValues" dxfId="11830" priority="16397"/>
    <cfRule type="duplicateValues" dxfId="11829" priority="16398"/>
    <cfRule type="duplicateValues" dxfId="11828" priority="16399"/>
    <cfRule type="duplicateValues" dxfId="11827" priority="16400"/>
    <cfRule type="duplicateValues" dxfId="11826" priority="16401"/>
    <cfRule type="duplicateValues" dxfId="11825" priority="16402"/>
    <cfRule type="duplicateValues" dxfId="11824" priority="16403"/>
    <cfRule type="duplicateValues" dxfId="11823" priority="16404"/>
    <cfRule type="duplicateValues" dxfId="11822" priority="16405"/>
    <cfRule type="duplicateValues" dxfId="11821" priority="16406"/>
    <cfRule type="duplicateValues" dxfId="11820" priority="16407"/>
    <cfRule type="duplicateValues" dxfId="11819" priority="16408"/>
    <cfRule type="duplicateValues" dxfId="11818" priority="16409"/>
    <cfRule type="duplicateValues" dxfId="11817" priority="16410"/>
    <cfRule type="duplicateValues" dxfId="11816" priority="16411"/>
    <cfRule type="duplicateValues" dxfId="11815" priority="16412"/>
    <cfRule type="duplicateValues" dxfId="11814" priority="16413"/>
    <cfRule type="duplicateValues" dxfId="11813" priority="16414"/>
    <cfRule type="duplicateValues" dxfId="11812" priority="16415"/>
    <cfRule type="duplicateValues" dxfId="11811" priority="16416"/>
    <cfRule type="duplicateValues" dxfId="11810" priority="16417"/>
    <cfRule type="duplicateValues" dxfId="11809" priority="16418"/>
    <cfRule type="duplicateValues" dxfId="11808" priority="16419"/>
    <cfRule type="duplicateValues" dxfId="11807" priority="16420"/>
    <cfRule type="duplicateValues" dxfId="11806" priority="16421"/>
    <cfRule type="duplicateValues" dxfId="11805" priority="16422"/>
    <cfRule type="duplicateValues" dxfId="11804" priority="16423"/>
    <cfRule type="duplicateValues" dxfId="11803" priority="16424"/>
    <cfRule type="duplicateValues" dxfId="11802" priority="16425"/>
    <cfRule type="duplicateValues" dxfId="11801" priority="16426"/>
    <cfRule type="duplicateValues" dxfId="11800" priority="16427"/>
    <cfRule type="duplicateValues" dxfId="11799" priority="16428"/>
    <cfRule type="duplicateValues" dxfId="11798" priority="16429"/>
    <cfRule type="duplicateValues" dxfId="11797" priority="16430"/>
    <cfRule type="duplicateValues" dxfId="11796" priority="16431"/>
    <cfRule type="duplicateValues" dxfId="11795" priority="16432"/>
    <cfRule type="duplicateValues" dxfId="11794" priority="16433"/>
    <cfRule type="duplicateValues" dxfId="11793" priority="16434"/>
    <cfRule type="duplicateValues" dxfId="11792" priority="16435"/>
    <cfRule type="duplicateValues" dxfId="11791" priority="16436"/>
    <cfRule type="duplicateValues" dxfId="11790" priority="16437"/>
    <cfRule type="duplicateValues" dxfId="11789" priority="16438"/>
    <cfRule type="duplicateValues" dxfId="11788" priority="16439"/>
    <cfRule type="duplicateValues" dxfId="11787" priority="16440"/>
    <cfRule type="duplicateValues" dxfId="11786" priority="16441"/>
    <cfRule type="duplicateValues" dxfId="11785" priority="16442"/>
    <cfRule type="duplicateValues" dxfId="11784" priority="16443"/>
    <cfRule type="duplicateValues" dxfId="11783" priority="16444"/>
    <cfRule type="duplicateValues" dxfId="11782" priority="16445"/>
    <cfRule type="duplicateValues" dxfId="11781" priority="16446"/>
    <cfRule type="duplicateValues" dxfId="11780" priority="16447"/>
    <cfRule type="duplicateValues" dxfId="11779" priority="16448"/>
    <cfRule type="duplicateValues" dxfId="11778" priority="16449"/>
    <cfRule type="duplicateValues" dxfId="11777" priority="16450"/>
    <cfRule type="duplicateValues" dxfId="11776" priority="16451"/>
    <cfRule type="duplicateValues" dxfId="11775" priority="16452"/>
    <cfRule type="duplicateValues" dxfId="11774" priority="16453"/>
    <cfRule type="duplicateValues" dxfId="11773" priority="16454"/>
    <cfRule type="duplicateValues" dxfId="11772" priority="16455"/>
    <cfRule type="duplicateValues" dxfId="11771" priority="16456"/>
    <cfRule type="duplicateValues" dxfId="11770" priority="16457"/>
    <cfRule type="duplicateValues" dxfId="11769" priority="16458"/>
    <cfRule type="duplicateValues" dxfId="11768" priority="16459"/>
    <cfRule type="duplicateValues" dxfId="11767" priority="16460"/>
    <cfRule type="duplicateValues" dxfId="11766" priority="16461"/>
    <cfRule type="duplicateValues" dxfId="11765" priority="16462"/>
    <cfRule type="duplicateValues" dxfId="11764" priority="16463"/>
    <cfRule type="duplicateValues" dxfId="11763" priority="16464"/>
    <cfRule type="duplicateValues" dxfId="11762" priority="16465"/>
    <cfRule type="duplicateValues" dxfId="11761" priority="16466"/>
    <cfRule type="duplicateValues" dxfId="11760" priority="16467"/>
    <cfRule type="duplicateValues" dxfId="11759" priority="16468"/>
    <cfRule type="duplicateValues" dxfId="11758" priority="16469"/>
    <cfRule type="duplicateValues" dxfId="11757" priority="16470"/>
    <cfRule type="duplicateValues" dxfId="11756" priority="16471"/>
    <cfRule type="duplicateValues" dxfId="11755" priority="16472"/>
    <cfRule type="duplicateValues" dxfId="11754" priority="16473"/>
    <cfRule type="duplicateValues" dxfId="11753" priority="16474"/>
    <cfRule type="duplicateValues" dxfId="11752" priority="16475"/>
    <cfRule type="duplicateValues" dxfId="11751" priority="16476"/>
    <cfRule type="duplicateValues" dxfId="11750" priority="16477"/>
    <cfRule type="duplicateValues" dxfId="11749" priority="16478"/>
    <cfRule type="duplicateValues" dxfId="11748" priority="16479"/>
    <cfRule type="duplicateValues" dxfId="11747" priority="16480"/>
    <cfRule type="duplicateValues" dxfId="11746" priority="16481"/>
    <cfRule type="duplicateValues" dxfId="11745" priority="16482"/>
    <cfRule type="duplicateValues" dxfId="11744" priority="16483"/>
    <cfRule type="duplicateValues" dxfId="11743" priority="16484"/>
    <cfRule type="duplicateValues" dxfId="11742" priority="16485"/>
    <cfRule type="duplicateValues" dxfId="11741" priority="16486"/>
    <cfRule type="duplicateValues" dxfId="11740" priority="16487"/>
    <cfRule type="duplicateValues" dxfId="11739" priority="16488"/>
    <cfRule type="duplicateValues" dxfId="11738" priority="16489"/>
    <cfRule type="duplicateValues" dxfId="11737" priority="16490"/>
    <cfRule type="duplicateValues" dxfId="11736" priority="16491"/>
    <cfRule type="duplicateValues" dxfId="11735" priority="16492"/>
    <cfRule type="duplicateValues" dxfId="11734" priority="16493"/>
    <cfRule type="duplicateValues" dxfId="11733" priority="16494"/>
    <cfRule type="duplicateValues" dxfId="11732" priority="16495"/>
    <cfRule type="duplicateValues" dxfId="11731" priority="16496"/>
    <cfRule type="duplicateValues" dxfId="11730" priority="16497"/>
    <cfRule type="duplicateValues" dxfId="11729" priority="16498"/>
    <cfRule type="duplicateValues" dxfId="11728" priority="16499"/>
    <cfRule type="duplicateValues" dxfId="11727" priority="16500"/>
    <cfRule type="duplicateValues" dxfId="11726" priority="16501"/>
    <cfRule type="duplicateValues" dxfId="11725" priority="16502"/>
    <cfRule type="duplicateValues" dxfId="11724" priority="16503"/>
    <cfRule type="duplicateValues" dxfId="11723" priority="16504"/>
    <cfRule type="duplicateValues" dxfId="11722" priority="16505"/>
    <cfRule type="duplicateValues" dxfId="11721" priority="16506"/>
    <cfRule type="duplicateValues" dxfId="11720" priority="16507"/>
    <cfRule type="duplicateValues" dxfId="11719" priority="16508"/>
    <cfRule type="duplicateValues" dxfId="11718" priority="16509"/>
    <cfRule type="duplicateValues" dxfId="11717" priority="16510"/>
    <cfRule type="duplicateValues" dxfId="11716" priority="16511"/>
    <cfRule type="duplicateValues" dxfId="11715" priority="16512"/>
    <cfRule type="duplicateValues" dxfId="11714" priority="16513"/>
    <cfRule type="duplicateValues" dxfId="11713" priority="16514"/>
    <cfRule type="duplicateValues" dxfId="11712" priority="16515"/>
    <cfRule type="duplicateValues" dxfId="11711" priority="16516"/>
    <cfRule type="duplicateValues" dxfId="11710" priority="16517"/>
    <cfRule type="duplicateValues" dxfId="11709" priority="16518"/>
    <cfRule type="duplicateValues" dxfId="11708" priority="16519"/>
    <cfRule type="duplicateValues" dxfId="11707" priority="16520"/>
    <cfRule type="duplicateValues" dxfId="11706" priority="16521"/>
    <cfRule type="duplicateValues" dxfId="11705" priority="16522"/>
    <cfRule type="duplicateValues" dxfId="11704" priority="16523"/>
    <cfRule type="duplicateValues" dxfId="11703" priority="16524"/>
    <cfRule type="duplicateValues" dxfId="11702" priority="16525"/>
    <cfRule type="duplicateValues" dxfId="11701" priority="16526"/>
    <cfRule type="duplicateValues" dxfId="11700" priority="16527"/>
    <cfRule type="duplicateValues" dxfId="11699" priority="16528"/>
    <cfRule type="duplicateValues" dxfId="11698" priority="16529"/>
    <cfRule type="duplicateValues" dxfId="11697" priority="16530"/>
    <cfRule type="duplicateValues" dxfId="11696" priority="16531"/>
    <cfRule type="duplicateValues" dxfId="11695" priority="16532"/>
    <cfRule type="duplicateValues" dxfId="11694" priority="16533"/>
    <cfRule type="duplicateValues" dxfId="11693" priority="16534"/>
    <cfRule type="duplicateValues" dxfId="11692" priority="16535"/>
    <cfRule type="duplicateValues" dxfId="11691" priority="16536"/>
    <cfRule type="duplicateValues" dxfId="11690" priority="16537"/>
    <cfRule type="duplicateValues" dxfId="11689" priority="16538"/>
    <cfRule type="duplicateValues" dxfId="11688" priority="16539"/>
    <cfRule type="duplicateValues" dxfId="11687" priority="16540"/>
    <cfRule type="duplicateValues" dxfId="11686" priority="16541"/>
    <cfRule type="duplicateValues" dxfId="11685" priority="16542"/>
    <cfRule type="duplicateValues" dxfId="11684" priority="16543"/>
    <cfRule type="duplicateValues" dxfId="11683" priority="16544"/>
    <cfRule type="duplicateValues" dxfId="11682" priority="16545"/>
    <cfRule type="duplicateValues" dxfId="11681" priority="16546"/>
    <cfRule type="duplicateValues" dxfId="11680" priority="16547"/>
    <cfRule type="duplicateValues" dxfId="11679" priority="16548"/>
    <cfRule type="duplicateValues" dxfId="11678" priority="16549"/>
    <cfRule type="duplicateValues" dxfId="11677" priority="16550"/>
    <cfRule type="duplicateValues" dxfId="11676" priority="16551"/>
    <cfRule type="duplicateValues" dxfId="11675" priority="16552"/>
    <cfRule type="duplicateValues" dxfId="11674" priority="16553"/>
    <cfRule type="duplicateValues" dxfId="11673" priority="16554"/>
    <cfRule type="duplicateValues" dxfId="11672" priority="16555"/>
    <cfRule type="duplicateValues" dxfId="11671" priority="16556"/>
    <cfRule type="duplicateValues" dxfId="11670" priority="16557"/>
    <cfRule type="duplicateValues" dxfId="11669" priority="16558"/>
    <cfRule type="duplicateValues" dxfId="11668" priority="16559"/>
    <cfRule type="duplicateValues" dxfId="11667" priority="16560"/>
    <cfRule type="duplicateValues" dxfId="11666" priority="16561"/>
    <cfRule type="duplicateValues" dxfId="11665" priority="16562"/>
    <cfRule type="duplicateValues" dxfId="11664" priority="16563"/>
    <cfRule type="duplicateValues" dxfId="11663" priority="16564"/>
    <cfRule type="duplicateValues" dxfId="11662" priority="16565"/>
    <cfRule type="duplicateValues" dxfId="11661" priority="16566"/>
    <cfRule type="duplicateValues" dxfId="11660" priority="16567"/>
    <cfRule type="duplicateValues" dxfId="11659" priority="16568"/>
    <cfRule type="duplicateValues" dxfId="11658" priority="16569"/>
    <cfRule type="duplicateValues" dxfId="11657" priority="16570"/>
    <cfRule type="duplicateValues" dxfId="11656" priority="16571"/>
    <cfRule type="duplicateValues" dxfId="11655" priority="16572"/>
    <cfRule type="duplicateValues" dxfId="11654" priority="16573"/>
    <cfRule type="duplicateValues" dxfId="11653" priority="16574"/>
    <cfRule type="duplicateValues" dxfId="11652" priority="16575"/>
    <cfRule type="duplicateValues" dxfId="11651" priority="16576"/>
    <cfRule type="duplicateValues" dxfId="11650" priority="16577"/>
    <cfRule type="duplicateValues" dxfId="11649" priority="16578"/>
    <cfRule type="duplicateValues" dxfId="11648" priority="16579"/>
    <cfRule type="duplicateValues" dxfId="11647" priority="16580"/>
    <cfRule type="duplicateValues" dxfId="11646" priority="16581"/>
    <cfRule type="duplicateValues" dxfId="11645" priority="16582"/>
    <cfRule type="duplicateValues" dxfId="11644" priority="16583"/>
    <cfRule type="duplicateValues" dxfId="11643" priority="16584"/>
    <cfRule type="duplicateValues" dxfId="11642" priority="16585"/>
    <cfRule type="duplicateValues" dxfId="11641" priority="16586"/>
    <cfRule type="duplicateValues" dxfId="11640" priority="16587"/>
    <cfRule type="duplicateValues" dxfId="11639" priority="16588"/>
    <cfRule type="duplicateValues" dxfId="11638" priority="16589"/>
    <cfRule type="duplicateValues" dxfId="11637" priority="16590"/>
    <cfRule type="duplicateValues" dxfId="11636" priority="16591"/>
    <cfRule type="duplicateValues" dxfId="11635" priority="16592"/>
    <cfRule type="duplicateValues" dxfId="11634" priority="16593"/>
    <cfRule type="duplicateValues" dxfId="11633" priority="16594"/>
    <cfRule type="duplicateValues" dxfId="11632" priority="16595"/>
    <cfRule type="duplicateValues" dxfId="11631" priority="16596"/>
    <cfRule type="duplicateValues" dxfId="11630" priority="16597"/>
    <cfRule type="duplicateValues" dxfId="11629" priority="16598"/>
    <cfRule type="duplicateValues" dxfId="11628" priority="16599"/>
    <cfRule type="duplicateValues" dxfId="11627" priority="16600"/>
    <cfRule type="duplicateValues" dxfId="11626" priority="16601"/>
    <cfRule type="duplicateValues" dxfId="11625" priority="16602"/>
    <cfRule type="duplicateValues" dxfId="11624" priority="16603"/>
    <cfRule type="duplicateValues" dxfId="11623" priority="16604"/>
    <cfRule type="duplicateValues" dxfId="11622" priority="16605"/>
    <cfRule type="duplicateValues" dxfId="11621" priority="16606"/>
    <cfRule type="duplicateValues" dxfId="11620" priority="16607"/>
    <cfRule type="duplicateValues" dxfId="11619" priority="16608"/>
    <cfRule type="duplicateValues" dxfId="11618" priority="16609"/>
    <cfRule type="duplicateValues" dxfId="11617" priority="16610"/>
    <cfRule type="duplicateValues" dxfId="11616" priority="16611"/>
    <cfRule type="duplicateValues" dxfId="11615" priority="16612"/>
    <cfRule type="duplicateValues" dxfId="11614" priority="16613"/>
    <cfRule type="duplicateValues" dxfId="11613" priority="16614"/>
    <cfRule type="duplicateValues" dxfId="11612" priority="16615"/>
    <cfRule type="duplicateValues" dxfId="11611" priority="16616"/>
    <cfRule type="duplicateValues" dxfId="11610" priority="16617"/>
    <cfRule type="duplicateValues" dxfId="11609" priority="16618"/>
    <cfRule type="duplicateValues" dxfId="11608" priority="16619"/>
    <cfRule type="duplicateValues" dxfId="11607" priority="16620"/>
    <cfRule type="duplicateValues" dxfId="11606" priority="16621"/>
    <cfRule type="duplicateValues" dxfId="11605" priority="16622"/>
    <cfRule type="duplicateValues" dxfId="11604" priority="16623"/>
    <cfRule type="duplicateValues" dxfId="11603" priority="16624"/>
    <cfRule type="duplicateValues" dxfId="11602" priority="16625"/>
    <cfRule type="duplicateValues" dxfId="11601" priority="16626"/>
    <cfRule type="duplicateValues" dxfId="11600" priority="16627"/>
    <cfRule type="duplicateValues" dxfId="11599" priority="16628"/>
    <cfRule type="duplicateValues" dxfId="11598" priority="16629"/>
    <cfRule type="duplicateValues" dxfId="11597" priority="16630"/>
    <cfRule type="duplicateValues" dxfId="11596" priority="16631"/>
    <cfRule type="duplicateValues" dxfId="11595" priority="16632"/>
    <cfRule type="duplicateValues" dxfId="11594" priority="16633"/>
    <cfRule type="duplicateValues" dxfId="11593" priority="16634"/>
    <cfRule type="duplicateValues" dxfId="11592" priority="16635"/>
    <cfRule type="duplicateValues" dxfId="11591" priority="16636"/>
    <cfRule type="duplicateValues" dxfId="11590" priority="16637"/>
    <cfRule type="duplicateValues" dxfId="11589" priority="16638"/>
    <cfRule type="duplicateValues" dxfId="11588" priority="16639"/>
    <cfRule type="duplicateValues" dxfId="11587" priority="16640"/>
    <cfRule type="duplicateValues" dxfId="11586" priority="16641"/>
    <cfRule type="duplicateValues" dxfId="11585" priority="16642"/>
    <cfRule type="duplicateValues" dxfId="11584" priority="16643"/>
    <cfRule type="duplicateValues" dxfId="11583" priority="16644"/>
    <cfRule type="duplicateValues" dxfId="11582" priority="16645"/>
    <cfRule type="duplicateValues" dxfId="11581" priority="16646"/>
    <cfRule type="duplicateValues" dxfId="11580" priority="16647"/>
    <cfRule type="duplicateValues" dxfId="11579" priority="16648"/>
    <cfRule type="duplicateValues" dxfId="11578" priority="16649"/>
    <cfRule type="duplicateValues" dxfId="11577" priority="16650"/>
    <cfRule type="duplicateValues" dxfId="11576" priority="16651"/>
    <cfRule type="duplicateValues" dxfId="11575" priority="16652"/>
    <cfRule type="duplicateValues" dxfId="11574" priority="16653"/>
    <cfRule type="duplicateValues" dxfId="11573" priority="16654"/>
    <cfRule type="duplicateValues" dxfId="11572" priority="16655"/>
    <cfRule type="duplicateValues" dxfId="11571" priority="16656"/>
    <cfRule type="duplicateValues" dxfId="11570" priority="16657"/>
    <cfRule type="duplicateValues" dxfId="11569" priority="16658"/>
    <cfRule type="duplicateValues" dxfId="11568" priority="16659"/>
    <cfRule type="duplicateValues" dxfId="11567" priority="16660"/>
    <cfRule type="duplicateValues" dxfId="11566" priority="16661"/>
    <cfRule type="duplicateValues" dxfId="11565" priority="16662"/>
    <cfRule type="duplicateValues" dxfId="11564" priority="16663"/>
    <cfRule type="duplicateValues" dxfId="11563" priority="16664"/>
    <cfRule type="duplicateValues" dxfId="11562" priority="16665"/>
    <cfRule type="duplicateValues" dxfId="11561" priority="16666"/>
    <cfRule type="duplicateValues" dxfId="11560" priority="16667"/>
    <cfRule type="duplicateValues" dxfId="11559" priority="16668"/>
    <cfRule type="duplicateValues" dxfId="11558" priority="16669"/>
    <cfRule type="duplicateValues" dxfId="11557" priority="16670"/>
    <cfRule type="duplicateValues" dxfId="11556" priority="16671"/>
    <cfRule type="duplicateValues" dxfId="11555" priority="16672"/>
    <cfRule type="duplicateValues" dxfId="11554" priority="16673"/>
    <cfRule type="duplicateValues" dxfId="11553" priority="16674"/>
    <cfRule type="duplicateValues" dxfId="11552" priority="16675"/>
    <cfRule type="duplicateValues" dxfId="11551" priority="16676"/>
    <cfRule type="duplicateValues" dxfId="11550" priority="16677"/>
    <cfRule type="duplicateValues" dxfId="11549" priority="16678"/>
    <cfRule type="duplicateValues" dxfId="11548" priority="16679"/>
    <cfRule type="duplicateValues" dxfId="11547" priority="16680"/>
    <cfRule type="duplicateValues" dxfId="11546" priority="16681"/>
    <cfRule type="duplicateValues" dxfId="11545" priority="16682"/>
    <cfRule type="duplicateValues" dxfId="11544" priority="16683"/>
    <cfRule type="duplicateValues" dxfId="11543" priority="16684"/>
    <cfRule type="duplicateValues" dxfId="11542" priority="16685"/>
    <cfRule type="duplicateValues" dxfId="11541" priority="16686"/>
    <cfRule type="duplicateValues" dxfId="11540" priority="16687"/>
    <cfRule type="duplicateValues" dxfId="11539" priority="16688"/>
    <cfRule type="duplicateValues" dxfId="11538" priority="16689"/>
    <cfRule type="duplicateValues" dxfId="11537" priority="16690"/>
    <cfRule type="duplicateValues" dxfId="11536" priority="16691"/>
    <cfRule type="duplicateValues" dxfId="11535" priority="16692"/>
    <cfRule type="duplicateValues" dxfId="11534" priority="16693"/>
    <cfRule type="duplicateValues" dxfId="11533" priority="16694"/>
    <cfRule type="duplicateValues" dxfId="11532" priority="16695"/>
    <cfRule type="duplicateValues" dxfId="11531" priority="16696"/>
    <cfRule type="duplicateValues" dxfId="11530" priority="16697"/>
    <cfRule type="duplicateValues" dxfId="11529" priority="16698"/>
    <cfRule type="duplicateValues" dxfId="11528" priority="16699"/>
    <cfRule type="duplicateValues" dxfId="11527" priority="16700"/>
    <cfRule type="duplicateValues" dxfId="11526" priority="16701"/>
    <cfRule type="duplicateValues" dxfId="11525" priority="16702"/>
    <cfRule type="duplicateValues" dxfId="11524" priority="16703"/>
    <cfRule type="duplicateValues" dxfId="11523" priority="16704"/>
    <cfRule type="duplicateValues" dxfId="11522" priority="16705"/>
    <cfRule type="duplicateValues" dxfId="11521" priority="16706"/>
    <cfRule type="duplicateValues" dxfId="11520" priority="16707"/>
    <cfRule type="duplicateValues" dxfId="11519" priority="16708"/>
    <cfRule type="duplicateValues" dxfId="11518" priority="16709"/>
    <cfRule type="duplicateValues" dxfId="11517" priority="16710"/>
    <cfRule type="duplicateValues" dxfId="11516" priority="16711"/>
    <cfRule type="duplicateValues" dxfId="11515" priority="16712"/>
    <cfRule type="duplicateValues" dxfId="11514" priority="16713"/>
    <cfRule type="duplicateValues" dxfId="11513" priority="16714"/>
    <cfRule type="duplicateValues" dxfId="11512" priority="16715"/>
    <cfRule type="duplicateValues" dxfId="11511" priority="16716"/>
    <cfRule type="duplicateValues" dxfId="11510" priority="16717"/>
    <cfRule type="duplicateValues" dxfId="11509" priority="16718"/>
    <cfRule type="duplicateValues" dxfId="11508" priority="16719"/>
    <cfRule type="duplicateValues" dxfId="11507" priority="16720"/>
    <cfRule type="duplicateValues" dxfId="11506" priority="16721"/>
    <cfRule type="duplicateValues" dxfId="11505" priority="16722"/>
    <cfRule type="duplicateValues" dxfId="11504" priority="16723"/>
    <cfRule type="duplicateValues" dxfId="11503" priority="16724"/>
    <cfRule type="duplicateValues" dxfId="11502" priority="16725"/>
    <cfRule type="duplicateValues" dxfId="11501" priority="16726"/>
    <cfRule type="duplicateValues" dxfId="11500" priority="16727"/>
    <cfRule type="duplicateValues" dxfId="11499" priority="16728"/>
    <cfRule type="duplicateValues" dxfId="11498" priority="16729"/>
    <cfRule type="duplicateValues" dxfId="11497" priority="16730"/>
    <cfRule type="duplicateValues" dxfId="11496" priority="16731"/>
    <cfRule type="duplicateValues" dxfId="11495" priority="16732"/>
    <cfRule type="duplicateValues" dxfId="11494" priority="16733"/>
    <cfRule type="duplicateValues" dxfId="11493" priority="16734"/>
    <cfRule type="duplicateValues" dxfId="11492" priority="16735"/>
    <cfRule type="duplicateValues" dxfId="11491" priority="16736"/>
  </conditionalFormatting>
  <conditionalFormatting sqref="C259">
    <cfRule type="duplicateValues" dxfId="11490" priority="16047"/>
    <cfRule type="duplicateValues" dxfId="11489" priority="16048"/>
    <cfRule type="duplicateValues" dxfId="11488" priority="16049"/>
    <cfRule type="duplicateValues" dxfId="11487" priority="16050"/>
    <cfRule type="duplicateValues" dxfId="11486" priority="16051"/>
    <cfRule type="duplicateValues" dxfId="11485" priority="16052"/>
    <cfRule type="duplicateValues" dxfId="11484" priority="16053"/>
    <cfRule type="duplicateValues" dxfId="11483" priority="16054"/>
    <cfRule type="duplicateValues" dxfId="11482" priority="16055"/>
    <cfRule type="duplicateValues" dxfId="11481" priority="16056"/>
    <cfRule type="duplicateValues" dxfId="11480" priority="16057"/>
    <cfRule type="duplicateValues" dxfId="11479" priority="16058"/>
    <cfRule type="duplicateValues" dxfId="11478" priority="16059"/>
    <cfRule type="duplicateValues" dxfId="11477" priority="16060"/>
    <cfRule type="duplicateValues" dxfId="11476" priority="16061"/>
    <cfRule type="duplicateValues" dxfId="11475" priority="16062"/>
    <cfRule type="duplicateValues" dxfId="11474" priority="16063"/>
    <cfRule type="duplicateValues" dxfId="11473" priority="16064"/>
    <cfRule type="duplicateValues" dxfId="11472" priority="16065"/>
    <cfRule type="duplicateValues" dxfId="11471" priority="16066"/>
    <cfRule type="duplicateValues" dxfId="11470" priority="16067"/>
    <cfRule type="duplicateValues" dxfId="11469" priority="16068"/>
    <cfRule type="duplicateValues" dxfId="11468" priority="16069"/>
    <cfRule type="duplicateValues" dxfId="11467" priority="16070"/>
    <cfRule type="duplicateValues" dxfId="11466" priority="16071"/>
    <cfRule type="duplicateValues" dxfId="11465" priority="16072"/>
    <cfRule type="duplicateValues" dxfId="11464" priority="16073"/>
    <cfRule type="duplicateValues" dxfId="11463" priority="16074"/>
    <cfRule type="duplicateValues" dxfId="11462" priority="16075"/>
    <cfRule type="duplicateValues" dxfId="11461" priority="16076"/>
    <cfRule type="duplicateValues" dxfId="11460" priority="16077"/>
    <cfRule type="duplicateValues" dxfId="11459" priority="16078"/>
    <cfRule type="duplicateValues" dxfId="11458" priority="16079"/>
    <cfRule type="duplicateValues" dxfId="11457" priority="16080"/>
    <cfRule type="duplicateValues" dxfId="11456" priority="16081"/>
    <cfRule type="duplicateValues" dxfId="11455" priority="16082"/>
    <cfRule type="duplicateValues" dxfId="11454" priority="16083"/>
    <cfRule type="duplicateValues" dxfId="11453" priority="16084"/>
    <cfRule type="duplicateValues" dxfId="11452" priority="16085"/>
    <cfRule type="duplicateValues" dxfId="11451" priority="16086"/>
    <cfRule type="duplicateValues" dxfId="11450" priority="16087"/>
    <cfRule type="duplicateValues" dxfId="11449" priority="16088"/>
    <cfRule type="duplicateValues" dxfId="11448" priority="16089"/>
    <cfRule type="duplicateValues" dxfId="11447" priority="16090"/>
    <cfRule type="duplicateValues" dxfId="11446" priority="16091"/>
    <cfRule type="duplicateValues" dxfId="11445" priority="16092"/>
    <cfRule type="duplicateValues" dxfId="11444" priority="16093"/>
    <cfRule type="duplicateValues" dxfId="11443" priority="16094"/>
    <cfRule type="duplicateValues" dxfId="11442" priority="16095"/>
    <cfRule type="duplicateValues" dxfId="11441" priority="16096"/>
    <cfRule type="duplicateValues" dxfId="11440" priority="16097"/>
    <cfRule type="duplicateValues" dxfId="11439" priority="16098"/>
    <cfRule type="duplicateValues" dxfId="11438" priority="16099"/>
    <cfRule type="duplicateValues" dxfId="11437" priority="16100"/>
    <cfRule type="duplicateValues" dxfId="11436" priority="16101"/>
    <cfRule type="duplicateValues" dxfId="11435" priority="16102"/>
    <cfRule type="duplicateValues" dxfId="11434" priority="16103"/>
    <cfRule type="duplicateValues" dxfId="11433" priority="16104"/>
    <cfRule type="duplicateValues" dxfId="11432" priority="16105"/>
    <cfRule type="duplicateValues" dxfId="11431" priority="16106"/>
    <cfRule type="duplicateValues" dxfId="11430" priority="16107"/>
    <cfRule type="duplicateValues" dxfId="11429" priority="16108"/>
    <cfRule type="duplicateValues" dxfId="11428" priority="16109"/>
    <cfRule type="duplicateValues" dxfId="11427" priority="16110"/>
    <cfRule type="duplicateValues" dxfId="11426" priority="16111"/>
    <cfRule type="duplicateValues" dxfId="11425" priority="16112"/>
    <cfRule type="duplicateValues" dxfId="11424" priority="16113"/>
    <cfRule type="duplicateValues" dxfId="11423" priority="16114"/>
    <cfRule type="duplicateValues" dxfId="11422" priority="16115"/>
    <cfRule type="duplicateValues" dxfId="11421" priority="16116"/>
    <cfRule type="duplicateValues" dxfId="11420" priority="16117"/>
    <cfRule type="duplicateValues" dxfId="11419" priority="16118"/>
    <cfRule type="duplicateValues" dxfId="11418" priority="16119"/>
    <cfRule type="duplicateValues" dxfId="11417" priority="16120"/>
    <cfRule type="duplicateValues" dxfId="11416" priority="16121"/>
    <cfRule type="duplicateValues" dxfId="11415" priority="16122"/>
    <cfRule type="duplicateValues" dxfId="11414" priority="16123"/>
    <cfRule type="duplicateValues" dxfId="11413" priority="16124"/>
    <cfRule type="duplicateValues" dxfId="11412" priority="16125"/>
    <cfRule type="duplicateValues" dxfId="11411" priority="16126"/>
    <cfRule type="duplicateValues" dxfId="11410" priority="16127"/>
    <cfRule type="duplicateValues" dxfId="11409" priority="16128"/>
    <cfRule type="duplicateValues" dxfId="11408" priority="16129"/>
    <cfRule type="duplicateValues" dxfId="11407" priority="16130"/>
    <cfRule type="duplicateValues" dxfId="11406" priority="16131"/>
    <cfRule type="duplicateValues" dxfId="11405" priority="16132"/>
    <cfRule type="duplicateValues" dxfId="11404" priority="16133"/>
    <cfRule type="duplicateValues" dxfId="11403" priority="16134"/>
    <cfRule type="duplicateValues" dxfId="11402" priority="16135"/>
    <cfRule type="duplicateValues" dxfId="11401" priority="16136"/>
    <cfRule type="duplicateValues" dxfId="11400" priority="16137"/>
    <cfRule type="duplicateValues" dxfId="11399" priority="16138"/>
    <cfRule type="duplicateValues" dxfId="11398" priority="16139"/>
    <cfRule type="duplicateValues" dxfId="11397" priority="16140"/>
    <cfRule type="duplicateValues" dxfId="11396" priority="16141"/>
    <cfRule type="duplicateValues" dxfId="11395" priority="16142"/>
    <cfRule type="duplicateValues" dxfId="11394" priority="16143"/>
    <cfRule type="duplicateValues" dxfId="11393" priority="16144"/>
    <cfRule type="duplicateValues" dxfId="11392" priority="16145"/>
    <cfRule type="duplicateValues" dxfId="11391" priority="16146"/>
    <cfRule type="duplicateValues" dxfId="11390" priority="16147"/>
    <cfRule type="duplicateValues" dxfId="11389" priority="16148"/>
    <cfRule type="duplicateValues" dxfId="11388" priority="16149"/>
    <cfRule type="duplicateValues" dxfId="11387" priority="16150"/>
    <cfRule type="duplicateValues" dxfId="11386" priority="16151"/>
    <cfRule type="duplicateValues" dxfId="11385" priority="16152"/>
    <cfRule type="duplicateValues" dxfId="11384" priority="16153"/>
    <cfRule type="duplicateValues" dxfId="11383" priority="16154"/>
    <cfRule type="duplicateValues" dxfId="11382" priority="16155"/>
    <cfRule type="duplicateValues" dxfId="11381" priority="16156"/>
    <cfRule type="duplicateValues" dxfId="11380" priority="16157"/>
    <cfRule type="duplicateValues" dxfId="11379" priority="16158"/>
    <cfRule type="duplicateValues" dxfId="11378" priority="16159"/>
    <cfRule type="duplicateValues" dxfId="11377" priority="16160"/>
    <cfRule type="duplicateValues" dxfId="11376" priority="16161"/>
    <cfRule type="duplicateValues" dxfId="11375" priority="16162"/>
    <cfRule type="duplicateValues" dxfId="11374" priority="16163"/>
    <cfRule type="duplicateValues" dxfId="11373" priority="16164"/>
    <cfRule type="duplicateValues" dxfId="11372" priority="16165"/>
    <cfRule type="duplicateValues" dxfId="11371" priority="16166"/>
    <cfRule type="duplicateValues" dxfId="11370" priority="16167"/>
    <cfRule type="duplicateValues" dxfId="11369" priority="16168"/>
    <cfRule type="duplicateValues" dxfId="11368" priority="16169"/>
    <cfRule type="duplicateValues" dxfId="11367" priority="16170"/>
    <cfRule type="duplicateValues" dxfId="11366" priority="16171"/>
    <cfRule type="duplicateValues" dxfId="11365" priority="16172"/>
    <cfRule type="duplicateValues" dxfId="11364" priority="16173"/>
    <cfRule type="duplicateValues" dxfId="11363" priority="16174"/>
    <cfRule type="duplicateValues" dxfId="11362" priority="16175"/>
    <cfRule type="duplicateValues" dxfId="11361" priority="16176"/>
    <cfRule type="duplicateValues" dxfId="11360" priority="16177"/>
    <cfRule type="duplicateValues" dxfId="11359" priority="16178"/>
    <cfRule type="duplicateValues" dxfId="11358" priority="16179"/>
    <cfRule type="duplicateValues" dxfId="11357" priority="16180"/>
    <cfRule type="duplicateValues" dxfId="11356" priority="16181"/>
    <cfRule type="duplicateValues" dxfId="11355" priority="16182"/>
    <cfRule type="duplicateValues" dxfId="11354" priority="16183"/>
    <cfRule type="duplicateValues" dxfId="11353" priority="16184"/>
    <cfRule type="duplicateValues" dxfId="11352" priority="16185"/>
    <cfRule type="duplicateValues" dxfId="11351" priority="16186"/>
    <cfRule type="duplicateValues" dxfId="11350" priority="16187"/>
    <cfRule type="duplicateValues" dxfId="11349" priority="16188"/>
    <cfRule type="duplicateValues" dxfId="11348" priority="16189"/>
    <cfRule type="duplicateValues" dxfId="11347" priority="16190"/>
    <cfRule type="duplicateValues" dxfId="11346" priority="16191"/>
    <cfRule type="duplicateValues" dxfId="11345" priority="16192"/>
    <cfRule type="duplicateValues" dxfId="11344" priority="16193"/>
    <cfRule type="duplicateValues" dxfId="11343" priority="16194"/>
    <cfRule type="duplicateValues" dxfId="11342" priority="16195"/>
    <cfRule type="duplicateValues" dxfId="11341" priority="16196"/>
    <cfRule type="duplicateValues" dxfId="11340" priority="16197"/>
    <cfRule type="duplicateValues" dxfId="11339" priority="16198"/>
    <cfRule type="duplicateValues" dxfId="11338" priority="16199"/>
    <cfRule type="duplicateValues" dxfId="11337" priority="16200"/>
    <cfRule type="duplicateValues" dxfId="11336" priority="16201"/>
    <cfRule type="duplicateValues" dxfId="11335" priority="16202"/>
    <cfRule type="duplicateValues" dxfId="11334" priority="16203"/>
    <cfRule type="duplicateValues" dxfId="11333" priority="16204"/>
    <cfRule type="duplicateValues" dxfId="11332" priority="16205"/>
    <cfRule type="duplicateValues" dxfId="11331" priority="16206"/>
    <cfRule type="duplicateValues" dxfId="11330" priority="16207"/>
    <cfRule type="duplicateValues" dxfId="11329" priority="16208"/>
    <cfRule type="duplicateValues" dxfId="11328" priority="16209"/>
    <cfRule type="duplicateValues" dxfId="11327" priority="16210"/>
    <cfRule type="duplicateValues" dxfId="11326" priority="16211"/>
    <cfRule type="duplicateValues" dxfId="11325" priority="16212"/>
    <cfRule type="duplicateValues" dxfId="11324" priority="16213"/>
    <cfRule type="duplicateValues" dxfId="11323" priority="16214"/>
    <cfRule type="duplicateValues" dxfId="11322" priority="16215"/>
    <cfRule type="duplicateValues" dxfId="11321" priority="16216"/>
    <cfRule type="duplicateValues" dxfId="11320" priority="16217"/>
    <cfRule type="duplicateValues" dxfId="11319" priority="16218"/>
    <cfRule type="duplicateValues" dxfId="11318" priority="16219"/>
    <cfRule type="duplicateValues" dxfId="11317" priority="16220"/>
    <cfRule type="duplicateValues" dxfId="11316" priority="16221"/>
    <cfRule type="duplicateValues" dxfId="11315" priority="16222"/>
    <cfRule type="duplicateValues" dxfId="11314" priority="16223"/>
    <cfRule type="duplicateValues" dxfId="11313" priority="16224"/>
    <cfRule type="duplicateValues" dxfId="11312" priority="16225"/>
    <cfRule type="duplicateValues" dxfId="11311" priority="16226"/>
    <cfRule type="duplicateValues" dxfId="11310" priority="16227"/>
    <cfRule type="duplicateValues" dxfId="11309" priority="16228"/>
    <cfRule type="duplicateValues" dxfId="11308" priority="16229"/>
    <cfRule type="duplicateValues" dxfId="11307" priority="16230"/>
    <cfRule type="duplicateValues" dxfId="11306" priority="16231"/>
    <cfRule type="duplicateValues" dxfId="11305" priority="16232"/>
    <cfRule type="duplicateValues" dxfId="11304" priority="16233"/>
    <cfRule type="duplicateValues" dxfId="11303" priority="16234"/>
    <cfRule type="duplicateValues" dxfId="11302" priority="16235"/>
    <cfRule type="duplicateValues" dxfId="11301" priority="16236"/>
    <cfRule type="duplicateValues" dxfId="11300" priority="16237"/>
    <cfRule type="duplicateValues" dxfId="11299" priority="16238"/>
    <cfRule type="duplicateValues" dxfId="11298" priority="16239"/>
    <cfRule type="duplicateValues" dxfId="11297" priority="16240"/>
    <cfRule type="duplicateValues" dxfId="11296" priority="16241"/>
    <cfRule type="duplicateValues" dxfId="11295" priority="16242"/>
    <cfRule type="duplicateValues" dxfId="11294" priority="16243"/>
    <cfRule type="duplicateValues" dxfId="11293" priority="16244"/>
    <cfRule type="duplicateValues" dxfId="11292" priority="16245"/>
    <cfRule type="duplicateValues" dxfId="11291" priority="16246"/>
    <cfRule type="duplicateValues" dxfId="11290" priority="16247"/>
    <cfRule type="duplicateValues" dxfId="11289" priority="16248"/>
    <cfRule type="duplicateValues" dxfId="11288" priority="16249"/>
    <cfRule type="duplicateValues" dxfId="11287" priority="16250"/>
    <cfRule type="duplicateValues" dxfId="11286" priority="16251"/>
    <cfRule type="duplicateValues" dxfId="11285" priority="16252"/>
    <cfRule type="duplicateValues" dxfId="11284" priority="16253"/>
    <cfRule type="duplicateValues" dxfId="11283" priority="16254"/>
    <cfRule type="duplicateValues" dxfId="11282" priority="16255"/>
    <cfRule type="duplicateValues" dxfId="11281" priority="16256"/>
    <cfRule type="duplicateValues" dxfId="11280" priority="16257"/>
    <cfRule type="duplicateValues" dxfId="11279" priority="16258"/>
    <cfRule type="duplicateValues" dxfId="11278" priority="16259"/>
    <cfRule type="duplicateValues" dxfId="11277" priority="16260"/>
    <cfRule type="duplicateValues" dxfId="11276" priority="16261"/>
    <cfRule type="duplicateValues" dxfId="11275" priority="16262"/>
    <cfRule type="duplicateValues" dxfId="11274" priority="16263"/>
    <cfRule type="duplicateValues" dxfId="11273" priority="16264"/>
    <cfRule type="duplicateValues" dxfId="11272" priority="16265"/>
    <cfRule type="duplicateValues" dxfId="11271" priority="16266"/>
    <cfRule type="duplicateValues" dxfId="11270" priority="16267"/>
    <cfRule type="duplicateValues" dxfId="11269" priority="16268"/>
    <cfRule type="duplicateValues" dxfId="11268" priority="16269"/>
    <cfRule type="duplicateValues" dxfId="11267" priority="16270"/>
    <cfRule type="duplicateValues" dxfId="11266" priority="16271"/>
    <cfRule type="duplicateValues" dxfId="11265" priority="16272"/>
    <cfRule type="duplicateValues" dxfId="11264" priority="16273"/>
    <cfRule type="duplicateValues" dxfId="11263" priority="16274"/>
    <cfRule type="duplicateValues" dxfId="11262" priority="16275"/>
    <cfRule type="duplicateValues" dxfId="11261" priority="16276"/>
    <cfRule type="duplicateValues" dxfId="11260" priority="16277"/>
    <cfRule type="duplicateValues" dxfId="11259" priority="16278"/>
    <cfRule type="duplicateValues" dxfId="11258" priority="16279"/>
    <cfRule type="duplicateValues" dxfId="11257" priority="16280"/>
    <cfRule type="duplicateValues" dxfId="11256" priority="16281"/>
    <cfRule type="duplicateValues" dxfId="11255" priority="16282"/>
    <cfRule type="duplicateValues" dxfId="11254" priority="16283"/>
    <cfRule type="duplicateValues" dxfId="11253" priority="16284"/>
    <cfRule type="duplicateValues" dxfId="11252" priority="16285"/>
    <cfRule type="duplicateValues" dxfId="11251" priority="16286"/>
    <cfRule type="duplicateValues" dxfId="11250" priority="16287"/>
    <cfRule type="duplicateValues" dxfId="11249" priority="16288"/>
    <cfRule type="duplicateValues" dxfId="11248" priority="16289"/>
    <cfRule type="duplicateValues" dxfId="11247" priority="16290"/>
    <cfRule type="duplicateValues" dxfId="11246" priority="16291"/>
    <cfRule type="duplicateValues" dxfId="11245" priority="16292"/>
    <cfRule type="duplicateValues" dxfId="11244" priority="16293"/>
    <cfRule type="duplicateValues" dxfId="11243" priority="16294"/>
    <cfRule type="duplicateValues" dxfId="11242" priority="16295"/>
    <cfRule type="duplicateValues" dxfId="11241" priority="16296"/>
    <cfRule type="duplicateValues" dxfId="11240" priority="16297"/>
    <cfRule type="duplicateValues" dxfId="11239" priority="16298"/>
    <cfRule type="duplicateValues" dxfId="11238" priority="16299"/>
    <cfRule type="duplicateValues" dxfId="11237" priority="16300"/>
    <cfRule type="duplicateValues" dxfId="11236" priority="16301"/>
    <cfRule type="duplicateValues" dxfId="11235" priority="16302"/>
    <cfRule type="duplicateValues" dxfId="11234" priority="16303"/>
    <cfRule type="duplicateValues" dxfId="11233" priority="16304"/>
    <cfRule type="duplicateValues" dxfId="11232" priority="16305"/>
    <cfRule type="duplicateValues" dxfId="11231" priority="16306"/>
    <cfRule type="duplicateValues" dxfId="11230" priority="16307"/>
    <cfRule type="duplicateValues" dxfId="11229" priority="16308"/>
    <cfRule type="duplicateValues" dxfId="11228" priority="16309"/>
    <cfRule type="duplicateValues" dxfId="11227" priority="16310"/>
    <cfRule type="duplicateValues" dxfId="11226" priority="16311"/>
    <cfRule type="duplicateValues" dxfId="11225" priority="16312"/>
    <cfRule type="duplicateValues" dxfId="11224" priority="16313"/>
    <cfRule type="duplicateValues" dxfId="11223" priority="16314"/>
    <cfRule type="duplicateValues" dxfId="11222" priority="16315"/>
    <cfRule type="duplicateValues" dxfId="11221" priority="16316"/>
    <cfRule type="duplicateValues" dxfId="11220" priority="16317"/>
    <cfRule type="duplicateValues" dxfId="11219" priority="16318"/>
    <cfRule type="duplicateValues" dxfId="11218" priority="16319"/>
    <cfRule type="duplicateValues" dxfId="11217" priority="16320"/>
    <cfRule type="duplicateValues" dxfId="11216" priority="16321"/>
    <cfRule type="duplicateValues" dxfId="11215" priority="16322"/>
    <cfRule type="duplicateValues" dxfId="11214" priority="16323"/>
    <cfRule type="duplicateValues" dxfId="11213" priority="16324"/>
    <cfRule type="duplicateValues" dxfId="11212" priority="16325"/>
    <cfRule type="duplicateValues" dxfId="11211" priority="16326"/>
    <cfRule type="duplicateValues" dxfId="11210" priority="16327"/>
    <cfRule type="duplicateValues" dxfId="11209" priority="16328"/>
    <cfRule type="duplicateValues" dxfId="11208" priority="16329"/>
    <cfRule type="duplicateValues" dxfId="11207" priority="16330"/>
    <cfRule type="duplicateValues" dxfId="11206" priority="16331"/>
    <cfRule type="duplicateValues" dxfId="11205" priority="16332"/>
    <cfRule type="duplicateValues" dxfId="11204" priority="16333"/>
    <cfRule type="duplicateValues" dxfId="11203" priority="16334"/>
    <cfRule type="duplicateValues" dxfId="11202" priority="16335"/>
    <cfRule type="duplicateValues" dxfId="11201" priority="16336"/>
    <cfRule type="duplicateValues" dxfId="11200" priority="16337"/>
    <cfRule type="duplicateValues" dxfId="11199" priority="16338"/>
    <cfRule type="duplicateValues" dxfId="11198" priority="16339"/>
    <cfRule type="duplicateValues" dxfId="11197" priority="16340"/>
    <cfRule type="duplicateValues" dxfId="11196" priority="16341"/>
    <cfRule type="duplicateValues" dxfId="11195" priority="16342"/>
    <cfRule type="duplicateValues" dxfId="11194" priority="16343"/>
    <cfRule type="duplicateValues" dxfId="11193" priority="16344"/>
    <cfRule type="duplicateValues" dxfId="11192" priority="16345"/>
    <cfRule type="duplicateValues" dxfId="11191" priority="16346"/>
    <cfRule type="duplicateValues" dxfId="11190" priority="16347"/>
    <cfRule type="duplicateValues" dxfId="11189" priority="16348"/>
    <cfRule type="duplicateValues" dxfId="11188" priority="16349"/>
    <cfRule type="duplicateValues" dxfId="11187" priority="16350"/>
    <cfRule type="duplicateValues" dxfId="11186" priority="16351"/>
    <cfRule type="duplicateValues" dxfId="11185" priority="16352"/>
    <cfRule type="duplicateValues" dxfId="11184" priority="16353"/>
    <cfRule type="duplicateValues" dxfId="11183" priority="16354"/>
    <cfRule type="duplicateValues" dxfId="11182" priority="16355"/>
    <cfRule type="duplicateValues" dxfId="11181" priority="16356"/>
    <cfRule type="duplicateValues" dxfId="11180" priority="16357"/>
    <cfRule type="duplicateValues" dxfId="11179" priority="16358"/>
    <cfRule type="duplicateValues" dxfId="11178" priority="16359"/>
    <cfRule type="duplicateValues" dxfId="11177" priority="16360"/>
    <cfRule type="duplicateValues" dxfId="11176" priority="16361"/>
    <cfRule type="duplicateValues" dxfId="11175" priority="16362"/>
    <cfRule type="duplicateValues" dxfId="11174" priority="16363"/>
    <cfRule type="duplicateValues" dxfId="11173" priority="16364"/>
    <cfRule type="duplicateValues" dxfId="11172" priority="16365"/>
    <cfRule type="duplicateValues" dxfId="11171" priority="16366"/>
    <cfRule type="duplicateValues" dxfId="11170" priority="16367"/>
    <cfRule type="duplicateValues" dxfId="11169" priority="16368"/>
    <cfRule type="duplicateValues" dxfId="11168" priority="16369"/>
    <cfRule type="duplicateValues" dxfId="11167" priority="16370"/>
    <cfRule type="duplicateValues" dxfId="11166" priority="16371"/>
    <cfRule type="duplicateValues" dxfId="11165" priority="16372"/>
    <cfRule type="duplicateValues" dxfId="11164" priority="16373"/>
    <cfRule type="duplicateValues" dxfId="11163" priority="16374"/>
    <cfRule type="duplicateValues" dxfId="11162" priority="16375"/>
    <cfRule type="duplicateValues" dxfId="11161" priority="16376"/>
    <cfRule type="duplicateValues" dxfId="11160" priority="16377"/>
    <cfRule type="duplicateValues" dxfId="11159" priority="16378"/>
    <cfRule type="duplicateValues" dxfId="11158" priority="16379"/>
    <cfRule type="duplicateValues" dxfId="11157" priority="16380"/>
    <cfRule type="duplicateValues" dxfId="11156" priority="16381"/>
    <cfRule type="duplicateValues" dxfId="11155" priority="16382"/>
    <cfRule type="duplicateValues" dxfId="11154" priority="16383"/>
    <cfRule type="duplicateValues" dxfId="11153" priority="16384"/>
    <cfRule type="duplicateValues" dxfId="11152" priority="16385"/>
    <cfRule type="duplicateValues" dxfId="11151" priority="16386"/>
    <cfRule type="duplicateValues" dxfId="11150" priority="16387"/>
    <cfRule type="duplicateValues" dxfId="11149" priority="16388"/>
    <cfRule type="duplicateValues" dxfId="11148" priority="16389"/>
    <cfRule type="duplicateValues" dxfId="11147" priority="16390"/>
    <cfRule type="duplicateValues" dxfId="11146" priority="16391"/>
  </conditionalFormatting>
  <conditionalFormatting sqref="C260">
    <cfRule type="duplicateValues" dxfId="11145" priority="15702"/>
    <cfRule type="duplicateValues" dxfId="11144" priority="15703"/>
    <cfRule type="duplicateValues" dxfId="11143" priority="15704"/>
    <cfRule type="duplicateValues" dxfId="11142" priority="15705"/>
    <cfRule type="duplicateValues" dxfId="11141" priority="15706"/>
    <cfRule type="duplicateValues" dxfId="11140" priority="15707"/>
    <cfRule type="duplicateValues" dxfId="11139" priority="15708"/>
    <cfRule type="duplicateValues" dxfId="11138" priority="15709"/>
    <cfRule type="duplicateValues" dxfId="11137" priority="15710"/>
    <cfRule type="duplicateValues" dxfId="11136" priority="15711"/>
    <cfRule type="duplicateValues" dxfId="11135" priority="15712"/>
    <cfRule type="duplicateValues" dxfId="11134" priority="15713"/>
    <cfRule type="duplicateValues" dxfId="11133" priority="15714"/>
    <cfRule type="duplicateValues" dxfId="11132" priority="15715"/>
    <cfRule type="duplicateValues" dxfId="11131" priority="15716"/>
    <cfRule type="duplicateValues" dxfId="11130" priority="15717"/>
    <cfRule type="duplicateValues" dxfId="11129" priority="15718"/>
    <cfRule type="duplicateValues" dxfId="11128" priority="15719"/>
    <cfRule type="duplicateValues" dxfId="11127" priority="15720"/>
    <cfRule type="duplicateValues" dxfId="11126" priority="15721"/>
    <cfRule type="duplicateValues" dxfId="11125" priority="15722"/>
    <cfRule type="duplicateValues" dxfId="11124" priority="15723"/>
    <cfRule type="duplicateValues" dxfId="11123" priority="15724"/>
    <cfRule type="duplicateValues" dxfId="11122" priority="15725"/>
    <cfRule type="duplicateValues" dxfId="11121" priority="15726"/>
    <cfRule type="duplicateValues" dxfId="11120" priority="15727"/>
    <cfRule type="duplicateValues" dxfId="11119" priority="15728"/>
    <cfRule type="duplicateValues" dxfId="11118" priority="15729"/>
    <cfRule type="duplicateValues" dxfId="11117" priority="15730"/>
    <cfRule type="duplicateValues" dxfId="11116" priority="15731"/>
    <cfRule type="duplicateValues" dxfId="11115" priority="15732"/>
    <cfRule type="duplicateValues" dxfId="11114" priority="15733"/>
    <cfRule type="duplicateValues" dxfId="11113" priority="15734"/>
    <cfRule type="duplicateValues" dxfId="11112" priority="15735"/>
    <cfRule type="duplicateValues" dxfId="11111" priority="15736"/>
    <cfRule type="duplicateValues" dxfId="11110" priority="15737"/>
    <cfRule type="duplicateValues" dxfId="11109" priority="15738"/>
    <cfRule type="duplicateValues" dxfId="11108" priority="15739"/>
    <cfRule type="duplicateValues" dxfId="11107" priority="15740"/>
    <cfRule type="duplicateValues" dxfId="11106" priority="15741"/>
    <cfRule type="duplicateValues" dxfId="11105" priority="15742"/>
    <cfRule type="duplicateValues" dxfId="11104" priority="15743"/>
    <cfRule type="duplicateValues" dxfId="11103" priority="15744"/>
    <cfRule type="duplicateValues" dxfId="11102" priority="15745"/>
    <cfRule type="duplicateValues" dxfId="11101" priority="15746"/>
    <cfRule type="duplicateValues" dxfId="11100" priority="15747"/>
    <cfRule type="duplicateValues" dxfId="11099" priority="15748"/>
    <cfRule type="duplicateValues" dxfId="11098" priority="15749"/>
    <cfRule type="duplicateValues" dxfId="11097" priority="15750"/>
    <cfRule type="duplicateValues" dxfId="11096" priority="15751"/>
    <cfRule type="duplicateValues" dxfId="11095" priority="15752"/>
    <cfRule type="duplicateValues" dxfId="11094" priority="15753"/>
    <cfRule type="duplicateValues" dxfId="11093" priority="15754"/>
    <cfRule type="duplicateValues" dxfId="11092" priority="15755"/>
    <cfRule type="duplicateValues" dxfId="11091" priority="15756"/>
    <cfRule type="duplicateValues" dxfId="11090" priority="15757"/>
    <cfRule type="duplicateValues" dxfId="11089" priority="15758"/>
    <cfRule type="duplicateValues" dxfId="11088" priority="15759"/>
    <cfRule type="duplicateValues" dxfId="11087" priority="15760"/>
    <cfRule type="duplicateValues" dxfId="11086" priority="15761"/>
    <cfRule type="duplicateValues" dxfId="11085" priority="15762"/>
    <cfRule type="duplicateValues" dxfId="11084" priority="15763"/>
    <cfRule type="duplicateValues" dxfId="11083" priority="15764"/>
    <cfRule type="duplicateValues" dxfId="11082" priority="15765"/>
    <cfRule type="duplicateValues" dxfId="11081" priority="15766"/>
    <cfRule type="duplicateValues" dxfId="11080" priority="15767"/>
    <cfRule type="duplicateValues" dxfId="11079" priority="15768"/>
    <cfRule type="duplicateValues" dxfId="11078" priority="15769"/>
    <cfRule type="duplicateValues" dxfId="11077" priority="15770"/>
    <cfRule type="duplicateValues" dxfId="11076" priority="15771"/>
    <cfRule type="duplicateValues" dxfId="11075" priority="15772"/>
    <cfRule type="duplicateValues" dxfId="11074" priority="15773"/>
    <cfRule type="duplicateValues" dxfId="11073" priority="15774"/>
    <cfRule type="duplicateValues" dxfId="11072" priority="15775"/>
    <cfRule type="duplicateValues" dxfId="11071" priority="15776"/>
    <cfRule type="duplicateValues" dxfId="11070" priority="15777"/>
    <cfRule type="duplicateValues" dxfId="11069" priority="15778"/>
    <cfRule type="duplicateValues" dxfId="11068" priority="15779"/>
    <cfRule type="duplicateValues" dxfId="11067" priority="15780"/>
    <cfRule type="duplicateValues" dxfId="11066" priority="15781"/>
    <cfRule type="duplicateValues" dxfId="11065" priority="15782"/>
    <cfRule type="duplicateValues" dxfId="11064" priority="15783"/>
    <cfRule type="duplicateValues" dxfId="11063" priority="15784"/>
    <cfRule type="duplicateValues" dxfId="11062" priority="15785"/>
    <cfRule type="duplicateValues" dxfId="11061" priority="15786"/>
    <cfRule type="duplicateValues" dxfId="11060" priority="15787"/>
    <cfRule type="duplicateValues" dxfId="11059" priority="15788"/>
    <cfRule type="duplicateValues" dxfId="11058" priority="15789"/>
    <cfRule type="duplicateValues" dxfId="11057" priority="15790"/>
    <cfRule type="duplicateValues" dxfId="11056" priority="15791"/>
    <cfRule type="duplicateValues" dxfId="11055" priority="15792"/>
    <cfRule type="duplicateValues" dxfId="11054" priority="15793"/>
    <cfRule type="duplicateValues" dxfId="11053" priority="15794"/>
    <cfRule type="duplicateValues" dxfId="11052" priority="15795"/>
    <cfRule type="duplicateValues" dxfId="11051" priority="15796"/>
    <cfRule type="duplicateValues" dxfId="11050" priority="15797"/>
    <cfRule type="duplicateValues" dxfId="11049" priority="15798"/>
    <cfRule type="duplicateValues" dxfId="11048" priority="15799"/>
    <cfRule type="duplicateValues" dxfId="11047" priority="15800"/>
    <cfRule type="duplicateValues" dxfId="11046" priority="15801"/>
    <cfRule type="duplicateValues" dxfId="11045" priority="15802"/>
    <cfRule type="duplicateValues" dxfId="11044" priority="15803"/>
    <cfRule type="duplicateValues" dxfId="11043" priority="15804"/>
    <cfRule type="duplicateValues" dxfId="11042" priority="15805"/>
    <cfRule type="duplicateValues" dxfId="11041" priority="15806"/>
    <cfRule type="duplicateValues" dxfId="11040" priority="15807"/>
    <cfRule type="duplicateValues" dxfId="11039" priority="15808"/>
    <cfRule type="duplicateValues" dxfId="11038" priority="15809"/>
    <cfRule type="duplicateValues" dxfId="11037" priority="15810"/>
    <cfRule type="duplicateValues" dxfId="11036" priority="15811"/>
    <cfRule type="duplicateValues" dxfId="11035" priority="15812"/>
    <cfRule type="duplicateValues" dxfId="11034" priority="15813"/>
    <cfRule type="duplicateValues" dxfId="11033" priority="15814"/>
    <cfRule type="duplicateValues" dxfId="11032" priority="15815"/>
    <cfRule type="duplicateValues" dxfId="11031" priority="15816"/>
    <cfRule type="duplicateValues" dxfId="11030" priority="15817"/>
    <cfRule type="duplicateValues" dxfId="11029" priority="15818"/>
    <cfRule type="duplicateValues" dxfId="11028" priority="15819"/>
    <cfRule type="duplicateValues" dxfId="11027" priority="15820"/>
    <cfRule type="duplicateValues" dxfId="11026" priority="15821"/>
    <cfRule type="duplicateValues" dxfId="11025" priority="15822"/>
    <cfRule type="duplicateValues" dxfId="11024" priority="15823"/>
    <cfRule type="duplicateValues" dxfId="11023" priority="15824"/>
    <cfRule type="duplicateValues" dxfId="11022" priority="15825"/>
    <cfRule type="duplicateValues" dxfId="11021" priority="15826"/>
    <cfRule type="duplicateValues" dxfId="11020" priority="15827"/>
    <cfRule type="duplicateValues" dxfId="11019" priority="15828"/>
    <cfRule type="duplicateValues" dxfId="11018" priority="15829"/>
    <cfRule type="duplicateValues" dxfId="11017" priority="15830"/>
    <cfRule type="duplicateValues" dxfId="11016" priority="15831"/>
    <cfRule type="duplicateValues" dxfId="11015" priority="15832"/>
    <cfRule type="duplicateValues" dxfId="11014" priority="15833"/>
    <cfRule type="duplicateValues" dxfId="11013" priority="15834"/>
    <cfRule type="duplicateValues" dxfId="11012" priority="15835"/>
    <cfRule type="duplicateValues" dxfId="11011" priority="15836"/>
    <cfRule type="duplicateValues" dxfId="11010" priority="15837"/>
    <cfRule type="duplicateValues" dxfId="11009" priority="15838"/>
    <cfRule type="duplicateValues" dxfId="11008" priority="15839"/>
    <cfRule type="duplicateValues" dxfId="11007" priority="15840"/>
    <cfRule type="duplicateValues" dxfId="11006" priority="15841"/>
    <cfRule type="duplicateValues" dxfId="11005" priority="15842"/>
    <cfRule type="duplicateValues" dxfId="11004" priority="15843"/>
    <cfRule type="duplicateValues" dxfId="11003" priority="15844"/>
    <cfRule type="duplicateValues" dxfId="11002" priority="15845"/>
    <cfRule type="duplicateValues" dxfId="11001" priority="15846"/>
    <cfRule type="duplicateValues" dxfId="11000" priority="15847"/>
    <cfRule type="duplicateValues" dxfId="10999" priority="15848"/>
    <cfRule type="duplicateValues" dxfId="10998" priority="15849"/>
    <cfRule type="duplicateValues" dxfId="10997" priority="15850"/>
    <cfRule type="duplicateValues" dxfId="10996" priority="15851"/>
    <cfRule type="duplicateValues" dxfId="10995" priority="15852"/>
    <cfRule type="duplicateValues" dxfId="10994" priority="15853"/>
    <cfRule type="duplicateValues" dxfId="10993" priority="15854"/>
    <cfRule type="duplicateValues" dxfId="10992" priority="15855"/>
    <cfRule type="duplicateValues" dxfId="10991" priority="15856"/>
    <cfRule type="duplicateValues" dxfId="10990" priority="15857"/>
    <cfRule type="duplicateValues" dxfId="10989" priority="15858"/>
    <cfRule type="duplicateValues" dxfId="10988" priority="15859"/>
    <cfRule type="duplicateValues" dxfId="10987" priority="15860"/>
    <cfRule type="duplicateValues" dxfId="10986" priority="15861"/>
    <cfRule type="duplicateValues" dxfId="10985" priority="15862"/>
    <cfRule type="duplicateValues" dxfId="10984" priority="15863"/>
    <cfRule type="duplicateValues" dxfId="10983" priority="15864"/>
    <cfRule type="duplicateValues" dxfId="10982" priority="15865"/>
    <cfRule type="duplicateValues" dxfId="10981" priority="15866"/>
    <cfRule type="duplicateValues" dxfId="10980" priority="15867"/>
    <cfRule type="duplicateValues" dxfId="10979" priority="15868"/>
    <cfRule type="duplicateValues" dxfId="10978" priority="15869"/>
    <cfRule type="duplicateValues" dxfId="10977" priority="15870"/>
    <cfRule type="duplicateValues" dxfId="10976" priority="15871"/>
    <cfRule type="duplicateValues" dxfId="10975" priority="15872"/>
    <cfRule type="duplicateValues" dxfId="10974" priority="15873"/>
    <cfRule type="duplicateValues" dxfId="10973" priority="15874"/>
    <cfRule type="duplicateValues" dxfId="10972" priority="15875"/>
    <cfRule type="duplicateValues" dxfId="10971" priority="15876"/>
    <cfRule type="duplicateValues" dxfId="10970" priority="15877"/>
    <cfRule type="duplicateValues" dxfId="10969" priority="15878"/>
    <cfRule type="duplicateValues" dxfId="10968" priority="15879"/>
    <cfRule type="duplicateValues" dxfId="10967" priority="15880"/>
    <cfRule type="duplicateValues" dxfId="10966" priority="15881"/>
    <cfRule type="duplicateValues" dxfId="10965" priority="15882"/>
    <cfRule type="duplicateValues" dxfId="10964" priority="15883"/>
    <cfRule type="duplicateValues" dxfId="10963" priority="15884"/>
    <cfRule type="duplicateValues" dxfId="10962" priority="15885"/>
    <cfRule type="duplicateValues" dxfId="10961" priority="15886"/>
    <cfRule type="duplicateValues" dxfId="10960" priority="15887"/>
    <cfRule type="duplicateValues" dxfId="10959" priority="15888"/>
    <cfRule type="duplicateValues" dxfId="10958" priority="15889"/>
    <cfRule type="duplicateValues" dxfId="10957" priority="15890"/>
    <cfRule type="duplicateValues" dxfId="10956" priority="15891"/>
    <cfRule type="duplicateValues" dxfId="10955" priority="15892"/>
    <cfRule type="duplicateValues" dxfId="10954" priority="15893"/>
    <cfRule type="duplicateValues" dxfId="10953" priority="15894"/>
    <cfRule type="duplicateValues" dxfId="10952" priority="15895"/>
    <cfRule type="duplicateValues" dxfId="10951" priority="15896"/>
    <cfRule type="duplicateValues" dxfId="10950" priority="15897"/>
    <cfRule type="duplicateValues" dxfId="10949" priority="15898"/>
    <cfRule type="duplicateValues" dxfId="10948" priority="15899"/>
    <cfRule type="duplicateValues" dxfId="10947" priority="15900"/>
    <cfRule type="duplicateValues" dxfId="10946" priority="15901"/>
    <cfRule type="duplicateValues" dxfId="10945" priority="15902"/>
    <cfRule type="duplicateValues" dxfId="10944" priority="15903"/>
    <cfRule type="duplicateValues" dxfId="10943" priority="15904"/>
    <cfRule type="duplicateValues" dxfId="10942" priority="15905"/>
    <cfRule type="duplicateValues" dxfId="10941" priority="15906"/>
    <cfRule type="duplicateValues" dxfId="10940" priority="15907"/>
    <cfRule type="duplicateValues" dxfId="10939" priority="15908"/>
    <cfRule type="duplicateValues" dxfId="10938" priority="15909"/>
    <cfRule type="duplicateValues" dxfId="10937" priority="15910"/>
    <cfRule type="duplicateValues" dxfId="10936" priority="15911"/>
    <cfRule type="duplicateValues" dxfId="10935" priority="15912"/>
    <cfRule type="duplicateValues" dxfId="10934" priority="15913"/>
    <cfRule type="duplicateValues" dxfId="10933" priority="15914"/>
    <cfRule type="duplicateValues" dxfId="10932" priority="15915"/>
    <cfRule type="duplicateValues" dxfId="10931" priority="15916"/>
    <cfRule type="duplicateValues" dxfId="10930" priority="15917"/>
    <cfRule type="duplicateValues" dxfId="10929" priority="15918"/>
    <cfRule type="duplicateValues" dxfId="10928" priority="15919"/>
    <cfRule type="duplicateValues" dxfId="10927" priority="15920"/>
    <cfRule type="duplicateValues" dxfId="10926" priority="15921"/>
    <cfRule type="duplicateValues" dxfId="10925" priority="15922"/>
    <cfRule type="duplicateValues" dxfId="10924" priority="15923"/>
    <cfRule type="duplicateValues" dxfId="10923" priority="15924"/>
    <cfRule type="duplicateValues" dxfId="10922" priority="15925"/>
    <cfRule type="duplicateValues" dxfId="10921" priority="15926"/>
    <cfRule type="duplicateValues" dxfId="10920" priority="15927"/>
    <cfRule type="duplicateValues" dxfId="10919" priority="15928"/>
    <cfRule type="duplicateValues" dxfId="10918" priority="15929"/>
    <cfRule type="duplicateValues" dxfId="10917" priority="15930"/>
    <cfRule type="duplicateValues" dxfId="10916" priority="15931"/>
    <cfRule type="duplicateValues" dxfId="10915" priority="15932"/>
    <cfRule type="duplicateValues" dxfId="10914" priority="15933"/>
    <cfRule type="duplicateValues" dxfId="10913" priority="15934"/>
    <cfRule type="duplicateValues" dxfId="10912" priority="15935"/>
    <cfRule type="duplicateValues" dxfId="10911" priority="15936"/>
    <cfRule type="duplicateValues" dxfId="10910" priority="15937"/>
    <cfRule type="duplicateValues" dxfId="10909" priority="15938"/>
    <cfRule type="duplicateValues" dxfId="10908" priority="15939"/>
    <cfRule type="duplicateValues" dxfId="10907" priority="15940"/>
    <cfRule type="duplicateValues" dxfId="10906" priority="15941"/>
    <cfRule type="duplicateValues" dxfId="10905" priority="15942"/>
    <cfRule type="duplicateValues" dxfId="10904" priority="15943"/>
    <cfRule type="duplicateValues" dxfId="10903" priority="15944"/>
    <cfRule type="duplicateValues" dxfId="10902" priority="15945"/>
    <cfRule type="duplicateValues" dxfId="10901" priority="15946"/>
    <cfRule type="duplicateValues" dxfId="10900" priority="15947"/>
    <cfRule type="duplicateValues" dxfId="10899" priority="15948"/>
    <cfRule type="duplicateValues" dxfId="10898" priority="15949"/>
    <cfRule type="duplicateValues" dxfId="10897" priority="15950"/>
    <cfRule type="duplicateValues" dxfId="10896" priority="15951"/>
    <cfRule type="duplicateValues" dxfId="10895" priority="15952"/>
    <cfRule type="duplicateValues" dxfId="10894" priority="15953"/>
    <cfRule type="duplicateValues" dxfId="10893" priority="15954"/>
    <cfRule type="duplicateValues" dxfId="10892" priority="15955"/>
    <cfRule type="duplicateValues" dxfId="10891" priority="15956"/>
    <cfRule type="duplicateValues" dxfId="10890" priority="15957"/>
    <cfRule type="duplicateValues" dxfId="10889" priority="15958"/>
    <cfRule type="duplicateValues" dxfId="10888" priority="15959"/>
    <cfRule type="duplicateValues" dxfId="10887" priority="15960"/>
    <cfRule type="duplicateValues" dxfId="10886" priority="15961"/>
    <cfRule type="duplicateValues" dxfId="10885" priority="15962"/>
    <cfRule type="duplicateValues" dxfId="10884" priority="15963"/>
    <cfRule type="duplicateValues" dxfId="10883" priority="15964"/>
    <cfRule type="duplicateValues" dxfId="10882" priority="15965"/>
    <cfRule type="duplicateValues" dxfId="10881" priority="15966"/>
    <cfRule type="duplicateValues" dxfId="10880" priority="15967"/>
    <cfRule type="duplicateValues" dxfId="10879" priority="15968"/>
    <cfRule type="duplicateValues" dxfId="10878" priority="15969"/>
    <cfRule type="duplicateValues" dxfId="10877" priority="15970"/>
    <cfRule type="duplicateValues" dxfId="10876" priority="15971"/>
    <cfRule type="duplicateValues" dxfId="10875" priority="15972"/>
    <cfRule type="duplicateValues" dxfId="10874" priority="15973"/>
    <cfRule type="duplicateValues" dxfId="10873" priority="15974"/>
    <cfRule type="duplicateValues" dxfId="10872" priority="15975"/>
    <cfRule type="duplicateValues" dxfId="10871" priority="15976"/>
    <cfRule type="duplicateValues" dxfId="10870" priority="15977"/>
    <cfRule type="duplicateValues" dxfId="10869" priority="15978"/>
    <cfRule type="duplicateValues" dxfId="10868" priority="15979"/>
    <cfRule type="duplicateValues" dxfId="10867" priority="15980"/>
    <cfRule type="duplicateValues" dxfId="10866" priority="15981"/>
    <cfRule type="duplicateValues" dxfId="10865" priority="15982"/>
    <cfRule type="duplicateValues" dxfId="10864" priority="15983"/>
    <cfRule type="duplicateValues" dxfId="10863" priority="15984"/>
    <cfRule type="duplicateValues" dxfId="10862" priority="15985"/>
    <cfRule type="duplicateValues" dxfId="10861" priority="15986"/>
    <cfRule type="duplicateValues" dxfId="10860" priority="15987"/>
    <cfRule type="duplicateValues" dxfId="10859" priority="15988"/>
    <cfRule type="duplicateValues" dxfId="10858" priority="15989"/>
    <cfRule type="duplicateValues" dxfId="10857" priority="15990"/>
    <cfRule type="duplicateValues" dxfId="10856" priority="15991"/>
    <cfRule type="duplicateValues" dxfId="10855" priority="15992"/>
    <cfRule type="duplicateValues" dxfId="10854" priority="15993"/>
    <cfRule type="duplicateValues" dxfId="10853" priority="15994"/>
    <cfRule type="duplicateValues" dxfId="10852" priority="15995"/>
    <cfRule type="duplicateValues" dxfId="10851" priority="15996"/>
    <cfRule type="duplicateValues" dxfId="10850" priority="15997"/>
    <cfRule type="duplicateValues" dxfId="10849" priority="15998"/>
    <cfRule type="duplicateValues" dxfId="10848" priority="15999"/>
    <cfRule type="duplicateValues" dxfId="10847" priority="16000"/>
    <cfRule type="duplicateValues" dxfId="10846" priority="16001"/>
    <cfRule type="duplicateValues" dxfId="10845" priority="16002"/>
    <cfRule type="duplicateValues" dxfId="10844" priority="16003"/>
    <cfRule type="duplicateValues" dxfId="10843" priority="16004"/>
    <cfRule type="duplicateValues" dxfId="10842" priority="16005"/>
    <cfRule type="duplicateValues" dxfId="10841" priority="16006"/>
    <cfRule type="duplicateValues" dxfId="10840" priority="16007"/>
    <cfRule type="duplicateValues" dxfId="10839" priority="16008"/>
    <cfRule type="duplicateValues" dxfId="10838" priority="16009"/>
    <cfRule type="duplicateValues" dxfId="10837" priority="16010"/>
    <cfRule type="duplicateValues" dxfId="10836" priority="16011"/>
    <cfRule type="duplicateValues" dxfId="10835" priority="16012"/>
    <cfRule type="duplicateValues" dxfId="10834" priority="16013"/>
    <cfRule type="duplicateValues" dxfId="10833" priority="16014"/>
    <cfRule type="duplicateValues" dxfId="10832" priority="16015"/>
    <cfRule type="duplicateValues" dxfId="10831" priority="16016"/>
    <cfRule type="duplicateValues" dxfId="10830" priority="16017"/>
    <cfRule type="duplicateValues" dxfId="10829" priority="16018"/>
    <cfRule type="duplicateValues" dxfId="10828" priority="16019"/>
    <cfRule type="duplicateValues" dxfId="10827" priority="16020"/>
    <cfRule type="duplicateValues" dxfId="10826" priority="16021"/>
    <cfRule type="duplicateValues" dxfId="10825" priority="16022"/>
    <cfRule type="duplicateValues" dxfId="10824" priority="16023"/>
    <cfRule type="duplicateValues" dxfId="10823" priority="16024"/>
    <cfRule type="duplicateValues" dxfId="10822" priority="16025"/>
    <cfRule type="duplicateValues" dxfId="10821" priority="16026"/>
    <cfRule type="duplicateValues" dxfId="10820" priority="16027"/>
    <cfRule type="duplicateValues" dxfId="10819" priority="16028"/>
    <cfRule type="duplicateValues" dxfId="10818" priority="16029"/>
    <cfRule type="duplicateValues" dxfId="10817" priority="16030"/>
    <cfRule type="duplicateValues" dxfId="10816" priority="16031"/>
    <cfRule type="duplicateValues" dxfId="10815" priority="16032"/>
    <cfRule type="duplicateValues" dxfId="10814" priority="16033"/>
    <cfRule type="duplicateValues" dxfId="10813" priority="16034"/>
    <cfRule type="duplicateValues" dxfId="10812" priority="16035"/>
    <cfRule type="duplicateValues" dxfId="10811" priority="16036"/>
    <cfRule type="duplicateValues" dxfId="10810" priority="16037"/>
    <cfRule type="duplicateValues" dxfId="10809" priority="16038"/>
    <cfRule type="duplicateValues" dxfId="10808" priority="16039"/>
    <cfRule type="duplicateValues" dxfId="10807" priority="16040"/>
    <cfRule type="duplicateValues" dxfId="10806" priority="16041"/>
    <cfRule type="duplicateValues" dxfId="10805" priority="16042"/>
    <cfRule type="duplicateValues" dxfId="10804" priority="16043"/>
    <cfRule type="duplicateValues" dxfId="10803" priority="16044"/>
    <cfRule type="duplicateValues" dxfId="10802" priority="16045"/>
    <cfRule type="duplicateValues" dxfId="10801" priority="16046"/>
  </conditionalFormatting>
  <conditionalFormatting sqref="C261:C262">
    <cfRule type="duplicateValues" dxfId="10800" priority="5413"/>
    <cfRule type="duplicateValues" dxfId="10799" priority="5414"/>
    <cfRule type="duplicateValues" dxfId="10798" priority="5415"/>
    <cfRule type="duplicateValues" dxfId="10797" priority="5416"/>
    <cfRule type="duplicateValues" dxfId="10796" priority="5417"/>
    <cfRule type="duplicateValues" dxfId="10795" priority="5418"/>
    <cfRule type="duplicateValues" dxfId="10794" priority="5419"/>
    <cfRule type="duplicateValues" dxfId="10793" priority="5420"/>
    <cfRule type="duplicateValues" dxfId="10792" priority="5421"/>
    <cfRule type="duplicateValues" dxfId="10791" priority="5422"/>
    <cfRule type="duplicateValues" dxfId="10790" priority="5423"/>
    <cfRule type="duplicateValues" dxfId="10789" priority="5424"/>
    <cfRule type="duplicateValues" dxfId="10788" priority="5425"/>
    <cfRule type="duplicateValues" dxfId="10787" priority="5426"/>
    <cfRule type="duplicateValues" dxfId="10786" priority="5427"/>
    <cfRule type="duplicateValues" dxfId="10785" priority="5428"/>
    <cfRule type="duplicateValues" dxfId="10784" priority="5429"/>
    <cfRule type="duplicateValues" dxfId="10783" priority="5430"/>
    <cfRule type="duplicateValues" dxfId="10782" priority="5431"/>
    <cfRule type="duplicateValues" dxfId="10781" priority="5432"/>
    <cfRule type="duplicateValues" dxfId="10780" priority="5433"/>
    <cfRule type="duplicateValues" dxfId="10779" priority="5434"/>
    <cfRule type="duplicateValues" dxfId="10778" priority="5435"/>
    <cfRule type="duplicateValues" dxfId="10777" priority="5436"/>
    <cfRule type="duplicateValues" dxfId="10776" priority="5437"/>
    <cfRule type="duplicateValues" dxfId="10775" priority="5438"/>
    <cfRule type="duplicateValues" dxfId="10774" priority="5439"/>
    <cfRule type="duplicateValues" dxfId="10773" priority="5440"/>
    <cfRule type="duplicateValues" dxfId="10772" priority="5441"/>
    <cfRule type="duplicateValues" dxfId="10771" priority="5442"/>
    <cfRule type="duplicateValues" dxfId="10770" priority="5443"/>
    <cfRule type="duplicateValues" dxfId="10769" priority="5444"/>
    <cfRule type="duplicateValues" dxfId="10768" priority="5445"/>
    <cfRule type="duplicateValues" dxfId="10767" priority="5446"/>
    <cfRule type="duplicateValues" dxfId="10766" priority="5447"/>
    <cfRule type="duplicateValues" dxfId="10765" priority="5448"/>
    <cfRule type="duplicateValues" dxfId="10764" priority="5449"/>
    <cfRule type="duplicateValues" dxfId="10763" priority="5450"/>
    <cfRule type="duplicateValues" dxfId="10762" priority="5451"/>
    <cfRule type="duplicateValues" dxfId="10761" priority="5452"/>
    <cfRule type="duplicateValues" dxfId="10760" priority="5453"/>
    <cfRule type="duplicateValues" dxfId="10759" priority="5454"/>
    <cfRule type="duplicateValues" dxfId="10758" priority="5455"/>
    <cfRule type="duplicateValues" dxfId="10757" priority="5456"/>
    <cfRule type="duplicateValues" dxfId="10756" priority="5457"/>
    <cfRule type="duplicateValues" dxfId="10755" priority="5458"/>
    <cfRule type="duplicateValues" dxfId="10754" priority="5459"/>
    <cfRule type="duplicateValues" dxfId="10753" priority="5460"/>
    <cfRule type="duplicateValues" dxfId="10752" priority="5461"/>
    <cfRule type="duplicateValues" dxfId="10751" priority="5462"/>
    <cfRule type="duplicateValues" dxfId="10750" priority="5463"/>
    <cfRule type="duplicateValues" dxfId="10749" priority="5464"/>
    <cfRule type="duplicateValues" dxfId="10748" priority="5465"/>
    <cfRule type="duplicateValues" dxfId="10747" priority="5466"/>
    <cfRule type="duplicateValues" dxfId="10746" priority="5467"/>
    <cfRule type="duplicateValues" dxfId="10745" priority="5468"/>
    <cfRule type="duplicateValues" dxfId="10744" priority="5469"/>
    <cfRule type="duplicateValues" dxfId="10743" priority="5470"/>
    <cfRule type="duplicateValues" dxfId="10742" priority="5471"/>
    <cfRule type="duplicateValues" dxfId="10741" priority="5472"/>
    <cfRule type="duplicateValues" dxfId="10740" priority="5473"/>
    <cfRule type="duplicateValues" dxfId="10739" priority="5474"/>
    <cfRule type="duplicateValues" dxfId="10738" priority="5475"/>
    <cfRule type="duplicateValues" dxfId="10737" priority="5476"/>
    <cfRule type="duplicateValues" dxfId="10736" priority="5477"/>
    <cfRule type="duplicateValues" dxfId="10735" priority="5478"/>
    <cfRule type="duplicateValues" dxfId="10734" priority="5479"/>
    <cfRule type="duplicateValues" dxfId="10733" priority="5480"/>
    <cfRule type="duplicateValues" dxfId="10732" priority="5481"/>
    <cfRule type="duplicateValues" dxfId="10731" priority="5482"/>
    <cfRule type="duplicateValues" dxfId="10730" priority="5483"/>
    <cfRule type="duplicateValues" dxfId="10729" priority="5484"/>
    <cfRule type="duplicateValues" dxfId="10728" priority="5485"/>
    <cfRule type="duplicateValues" dxfId="10727" priority="5486"/>
    <cfRule type="duplicateValues" dxfId="10726" priority="5487"/>
    <cfRule type="duplicateValues" dxfId="10725" priority="5488"/>
    <cfRule type="duplicateValues" dxfId="10724" priority="5489"/>
    <cfRule type="duplicateValues" dxfId="10723" priority="5490"/>
    <cfRule type="duplicateValues" dxfId="10722" priority="5491"/>
    <cfRule type="duplicateValues" dxfId="10721" priority="5492"/>
    <cfRule type="duplicateValues" dxfId="10720" priority="5493"/>
    <cfRule type="duplicateValues" dxfId="10719" priority="5494"/>
    <cfRule type="duplicateValues" dxfId="10718" priority="5495"/>
    <cfRule type="duplicateValues" dxfId="10717" priority="5496"/>
    <cfRule type="duplicateValues" dxfId="10716" priority="5497"/>
    <cfRule type="duplicateValues" dxfId="10715" priority="5498"/>
    <cfRule type="duplicateValues" dxfId="10714" priority="5499"/>
    <cfRule type="duplicateValues" dxfId="10713" priority="5500"/>
    <cfRule type="duplicateValues" dxfId="10712" priority="5501"/>
    <cfRule type="duplicateValues" dxfId="10711" priority="5502"/>
    <cfRule type="duplicateValues" dxfId="10710" priority="5503"/>
    <cfRule type="duplicateValues" dxfId="10709" priority="5504"/>
    <cfRule type="duplicateValues" dxfId="10708" priority="5505"/>
    <cfRule type="duplicateValues" dxfId="10707" priority="5506"/>
    <cfRule type="duplicateValues" dxfId="10706" priority="5507"/>
    <cfRule type="duplicateValues" dxfId="10705" priority="5508"/>
    <cfRule type="duplicateValues" dxfId="10704" priority="5509"/>
    <cfRule type="duplicateValues" dxfId="10703" priority="5510"/>
    <cfRule type="duplicateValues" dxfId="10702" priority="5511"/>
    <cfRule type="duplicateValues" dxfId="10701" priority="5512"/>
    <cfRule type="duplicateValues" dxfId="10700" priority="5513"/>
    <cfRule type="duplicateValues" dxfId="10699" priority="5514"/>
    <cfRule type="duplicateValues" dxfId="10698" priority="5515"/>
    <cfRule type="duplicateValues" dxfId="10697" priority="5516"/>
    <cfRule type="duplicateValues" dxfId="10696" priority="5517"/>
    <cfRule type="duplicateValues" dxfId="10695" priority="5518"/>
    <cfRule type="duplicateValues" dxfId="10694" priority="5519"/>
    <cfRule type="duplicateValues" dxfId="10693" priority="5520"/>
    <cfRule type="duplicateValues" dxfId="10692" priority="5521"/>
    <cfRule type="duplicateValues" dxfId="10691" priority="5522"/>
    <cfRule type="duplicateValues" dxfId="10690" priority="5523"/>
    <cfRule type="duplicateValues" dxfId="10689" priority="5524"/>
    <cfRule type="duplicateValues" dxfId="10688" priority="5525"/>
    <cfRule type="duplicateValues" dxfId="10687" priority="5526"/>
    <cfRule type="duplicateValues" dxfId="10686" priority="5527"/>
    <cfRule type="duplicateValues" dxfId="10685" priority="5528"/>
    <cfRule type="duplicateValues" dxfId="10684" priority="5529"/>
    <cfRule type="duplicateValues" dxfId="10683" priority="5530"/>
    <cfRule type="duplicateValues" dxfId="10682" priority="5531"/>
    <cfRule type="duplicateValues" dxfId="10681" priority="5532"/>
    <cfRule type="duplicateValues" dxfId="10680" priority="5533"/>
    <cfRule type="duplicateValues" dxfId="10679" priority="5534"/>
    <cfRule type="duplicateValues" dxfId="10678" priority="5535"/>
    <cfRule type="duplicateValues" dxfId="10677" priority="5536"/>
    <cfRule type="duplicateValues" dxfId="10676" priority="5537"/>
    <cfRule type="duplicateValues" dxfId="10675" priority="5538"/>
    <cfRule type="duplicateValues" dxfId="10674" priority="5539"/>
    <cfRule type="duplicateValues" dxfId="10673" priority="5540"/>
    <cfRule type="duplicateValues" dxfId="10672" priority="5541"/>
    <cfRule type="duplicateValues" dxfId="10671" priority="5542"/>
    <cfRule type="duplicateValues" dxfId="10670" priority="5543"/>
    <cfRule type="duplicateValues" dxfId="10669" priority="5544"/>
    <cfRule type="duplicateValues" dxfId="10668" priority="5545"/>
    <cfRule type="duplicateValues" dxfId="10667" priority="5546"/>
    <cfRule type="duplicateValues" dxfId="10666" priority="5547"/>
    <cfRule type="duplicateValues" dxfId="10665" priority="5548"/>
    <cfRule type="duplicateValues" dxfId="10664" priority="5549"/>
    <cfRule type="duplicateValues" dxfId="10663" priority="5550"/>
    <cfRule type="duplicateValues" dxfId="10662" priority="5551"/>
    <cfRule type="duplicateValues" dxfId="10661" priority="5552"/>
    <cfRule type="duplicateValues" dxfId="10660" priority="5553"/>
    <cfRule type="duplicateValues" dxfId="10659" priority="5554"/>
    <cfRule type="duplicateValues" dxfId="10658" priority="5555"/>
    <cfRule type="duplicateValues" dxfId="10657" priority="5556"/>
    <cfRule type="duplicateValues" dxfId="10656" priority="5557"/>
    <cfRule type="duplicateValues" dxfId="10655" priority="5558"/>
    <cfRule type="duplicateValues" dxfId="10654" priority="5559"/>
    <cfRule type="duplicateValues" dxfId="10653" priority="5560"/>
    <cfRule type="duplicateValues" dxfId="10652" priority="5561"/>
    <cfRule type="duplicateValues" dxfId="10651" priority="5562"/>
    <cfRule type="duplicateValues" dxfId="10650" priority="5563"/>
    <cfRule type="duplicateValues" dxfId="10649" priority="5564"/>
    <cfRule type="duplicateValues" dxfId="10648" priority="5565"/>
    <cfRule type="duplicateValues" dxfId="10647" priority="5566"/>
    <cfRule type="duplicateValues" dxfId="10646" priority="5567"/>
    <cfRule type="duplicateValues" dxfId="10645" priority="5568"/>
    <cfRule type="duplicateValues" dxfId="10644" priority="5569"/>
    <cfRule type="duplicateValues" dxfId="10643" priority="5570"/>
    <cfRule type="duplicateValues" dxfId="10642" priority="5571"/>
    <cfRule type="duplicateValues" dxfId="10641" priority="5572"/>
    <cfRule type="duplicateValues" dxfId="10640" priority="5573"/>
    <cfRule type="duplicateValues" dxfId="10639" priority="5574"/>
    <cfRule type="duplicateValues" dxfId="10638" priority="5575"/>
    <cfRule type="duplicateValues" dxfId="10637" priority="5576"/>
    <cfRule type="duplicateValues" dxfId="10636" priority="5577"/>
    <cfRule type="duplicateValues" dxfId="10635" priority="5578"/>
    <cfRule type="duplicateValues" dxfId="10634" priority="5579"/>
    <cfRule type="duplicateValues" dxfId="10633" priority="5580"/>
    <cfRule type="duplicateValues" dxfId="10632" priority="5581"/>
    <cfRule type="duplicateValues" dxfId="10631" priority="5582"/>
    <cfRule type="duplicateValues" dxfId="10630" priority="5583"/>
    <cfRule type="duplicateValues" dxfId="10629" priority="5584"/>
    <cfRule type="duplicateValues" dxfId="10628" priority="5585"/>
    <cfRule type="duplicateValues" dxfId="10627" priority="5586"/>
    <cfRule type="duplicateValues" dxfId="10626" priority="5587"/>
    <cfRule type="duplicateValues" dxfId="10625" priority="5588"/>
    <cfRule type="duplicateValues" dxfId="10624" priority="5589"/>
    <cfRule type="duplicateValues" dxfId="10623" priority="5590"/>
    <cfRule type="duplicateValues" dxfId="10622" priority="5591"/>
    <cfRule type="duplicateValues" dxfId="10621" priority="5592"/>
    <cfRule type="duplicateValues" dxfId="10620" priority="5593"/>
    <cfRule type="duplicateValues" dxfId="10619" priority="5594"/>
    <cfRule type="duplicateValues" dxfId="10618" priority="5595"/>
    <cfRule type="duplicateValues" dxfId="10617" priority="5596"/>
    <cfRule type="duplicateValues" dxfId="10616" priority="5597"/>
    <cfRule type="duplicateValues" dxfId="10615" priority="5598"/>
    <cfRule type="duplicateValues" dxfId="10614" priority="5599"/>
    <cfRule type="duplicateValues" dxfId="10613" priority="5600"/>
    <cfRule type="duplicateValues" dxfId="10612" priority="5601"/>
    <cfRule type="duplicateValues" dxfId="10611" priority="5602"/>
    <cfRule type="duplicateValues" dxfId="10610" priority="5603"/>
    <cfRule type="duplicateValues" dxfId="10609" priority="5604"/>
    <cfRule type="duplicateValues" dxfId="10608" priority="5605"/>
    <cfRule type="duplicateValues" dxfId="10607" priority="5606"/>
    <cfRule type="duplicateValues" dxfId="10606" priority="5607"/>
    <cfRule type="duplicateValues" dxfId="10605" priority="5608"/>
    <cfRule type="duplicateValues" dxfId="10604" priority="5609"/>
    <cfRule type="duplicateValues" dxfId="10603" priority="5610"/>
    <cfRule type="duplicateValues" dxfId="10602" priority="5611"/>
    <cfRule type="duplicateValues" dxfId="10601" priority="5612"/>
    <cfRule type="duplicateValues" dxfId="10600" priority="5613"/>
    <cfRule type="duplicateValues" dxfId="10599" priority="5614"/>
    <cfRule type="duplicateValues" dxfId="10598" priority="5615"/>
    <cfRule type="duplicateValues" dxfId="10597" priority="5616"/>
    <cfRule type="duplicateValues" dxfId="10596" priority="5617"/>
    <cfRule type="duplicateValues" dxfId="10595" priority="5618"/>
    <cfRule type="duplicateValues" dxfId="10594" priority="5619"/>
    <cfRule type="duplicateValues" dxfId="10593" priority="5620"/>
    <cfRule type="duplicateValues" dxfId="10592" priority="5621"/>
    <cfRule type="duplicateValues" dxfId="10591" priority="5622"/>
    <cfRule type="duplicateValues" dxfId="10590" priority="5623"/>
    <cfRule type="duplicateValues" dxfId="10589" priority="5624"/>
    <cfRule type="duplicateValues" dxfId="10588" priority="5625"/>
    <cfRule type="duplicateValues" dxfId="10587" priority="5626"/>
    <cfRule type="duplicateValues" dxfId="10586" priority="5627"/>
    <cfRule type="duplicateValues" dxfId="10585" priority="5628"/>
    <cfRule type="duplicateValues" dxfId="10584" priority="5629"/>
    <cfRule type="duplicateValues" dxfId="10583" priority="5630"/>
    <cfRule type="duplicateValues" dxfId="10582" priority="5631"/>
    <cfRule type="duplicateValues" dxfId="10581" priority="5632"/>
    <cfRule type="duplicateValues" dxfId="10580" priority="5633"/>
    <cfRule type="duplicateValues" dxfId="10579" priority="5634"/>
    <cfRule type="duplicateValues" dxfId="10578" priority="5635"/>
    <cfRule type="duplicateValues" dxfId="10577" priority="5636"/>
    <cfRule type="duplicateValues" dxfId="10576" priority="5637"/>
    <cfRule type="duplicateValues" dxfId="10575" priority="5638"/>
    <cfRule type="duplicateValues" dxfId="10574" priority="5639"/>
    <cfRule type="duplicateValues" dxfId="10573" priority="5640"/>
    <cfRule type="duplicateValues" dxfId="10572" priority="5641"/>
    <cfRule type="duplicateValues" dxfId="10571" priority="5642"/>
    <cfRule type="duplicateValues" dxfId="10570" priority="5643"/>
    <cfRule type="duplicateValues" dxfId="10569" priority="5644"/>
    <cfRule type="duplicateValues" dxfId="10568" priority="5645"/>
    <cfRule type="duplicateValues" dxfId="10567" priority="5646"/>
    <cfRule type="duplicateValues" dxfId="10566" priority="5647"/>
    <cfRule type="duplicateValues" dxfId="10565" priority="5648"/>
    <cfRule type="duplicateValues" dxfId="10564" priority="5649"/>
    <cfRule type="duplicateValues" dxfId="10563" priority="5650"/>
    <cfRule type="duplicateValues" dxfId="10562" priority="5651"/>
    <cfRule type="duplicateValues" dxfId="10561" priority="5652"/>
    <cfRule type="duplicateValues" dxfId="10560" priority="5653"/>
    <cfRule type="duplicateValues" dxfId="10559" priority="5654"/>
    <cfRule type="duplicateValues" dxfId="10558" priority="5655"/>
    <cfRule type="duplicateValues" dxfId="10557" priority="5656"/>
    <cfRule type="duplicateValues" dxfId="10556" priority="5657"/>
    <cfRule type="duplicateValues" dxfId="10555" priority="5658"/>
    <cfRule type="duplicateValues" dxfId="10554" priority="5659"/>
    <cfRule type="duplicateValues" dxfId="10553" priority="5660"/>
    <cfRule type="duplicateValues" dxfId="10552" priority="5661"/>
    <cfRule type="duplicateValues" dxfId="10551" priority="5662"/>
    <cfRule type="duplicateValues" dxfId="10550" priority="5663"/>
    <cfRule type="duplicateValues" dxfId="10549" priority="5664"/>
    <cfRule type="duplicateValues" dxfId="10548" priority="5665"/>
    <cfRule type="duplicateValues" dxfId="10547" priority="5666"/>
    <cfRule type="duplicateValues" dxfId="10546" priority="5667"/>
    <cfRule type="duplicateValues" dxfId="10545" priority="5668"/>
    <cfRule type="duplicateValues" dxfId="10544" priority="5669"/>
    <cfRule type="duplicateValues" dxfId="10543" priority="5670"/>
    <cfRule type="duplicateValues" dxfId="10542" priority="5671"/>
    <cfRule type="duplicateValues" dxfId="10541" priority="5672"/>
    <cfRule type="duplicateValues" dxfId="10540" priority="5673"/>
    <cfRule type="duplicateValues" dxfId="10539" priority="5674"/>
    <cfRule type="duplicateValues" dxfId="10538" priority="5675"/>
    <cfRule type="duplicateValues" dxfId="10537" priority="5676"/>
    <cfRule type="duplicateValues" dxfId="10536" priority="5677"/>
    <cfRule type="duplicateValues" dxfId="10535" priority="5678"/>
    <cfRule type="duplicateValues" dxfId="10534" priority="5679"/>
    <cfRule type="duplicateValues" dxfId="10533" priority="5680"/>
    <cfRule type="duplicateValues" dxfId="10532" priority="5681"/>
    <cfRule type="duplicateValues" dxfId="10531" priority="5682"/>
    <cfRule type="duplicateValues" dxfId="10530" priority="5683"/>
    <cfRule type="duplicateValues" dxfId="10529" priority="5684"/>
    <cfRule type="duplicateValues" dxfId="10528" priority="5685"/>
    <cfRule type="duplicateValues" dxfId="10527" priority="5686"/>
    <cfRule type="duplicateValues" dxfId="10526" priority="5687"/>
    <cfRule type="duplicateValues" dxfId="10525" priority="5688"/>
    <cfRule type="duplicateValues" dxfId="10524" priority="5689"/>
    <cfRule type="duplicateValues" dxfId="10523" priority="5690"/>
    <cfRule type="duplicateValues" dxfId="10522" priority="5691"/>
    <cfRule type="duplicateValues" dxfId="10521" priority="5692"/>
    <cfRule type="duplicateValues" dxfId="10520" priority="5693"/>
    <cfRule type="duplicateValues" dxfId="10519" priority="5694"/>
    <cfRule type="duplicateValues" dxfId="10518" priority="5695"/>
    <cfRule type="duplicateValues" dxfId="10517" priority="5696"/>
    <cfRule type="duplicateValues" dxfId="10516" priority="5697"/>
    <cfRule type="duplicateValues" dxfId="10515" priority="5698"/>
    <cfRule type="duplicateValues" dxfId="10514" priority="5699"/>
    <cfRule type="duplicateValues" dxfId="10513" priority="5700"/>
    <cfRule type="duplicateValues" dxfId="10512" priority="5701"/>
    <cfRule type="duplicateValues" dxfId="10511" priority="5702"/>
    <cfRule type="duplicateValues" dxfId="10510" priority="5703"/>
    <cfRule type="duplicateValues" dxfId="10509" priority="5704"/>
    <cfRule type="duplicateValues" dxfId="10508" priority="5705"/>
    <cfRule type="duplicateValues" dxfId="10507" priority="5706"/>
    <cfRule type="duplicateValues" dxfId="10506" priority="5707"/>
    <cfRule type="duplicateValues" dxfId="10505" priority="5708"/>
    <cfRule type="duplicateValues" dxfId="10504" priority="5709"/>
    <cfRule type="duplicateValues" dxfId="10503" priority="5710"/>
    <cfRule type="duplicateValues" dxfId="10502" priority="5711"/>
    <cfRule type="duplicateValues" dxfId="10501" priority="5712"/>
    <cfRule type="duplicateValues" dxfId="10500" priority="5713"/>
    <cfRule type="duplicateValues" dxfId="10499" priority="5714"/>
    <cfRule type="duplicateValues" dxfId="10498" priority="5715"/>
    <cfRule type="duplicateValues" dxfId="10497" priority="5716"/>
    <cfRule type="duplicateValues" dxfId="10496" priority="5717"/>
    <cfRule type="duplicateValues" dxfId="10495" priority="5718"/>
    <cfRule type="duplicateValues" dxfId="10494" priority="5719"/>
    <cfRule type="duplicateValues" dxfId="10493" priority="5720"/>
    <cfRule type="duplicateValues" dxfId="10492" priority="5721"/>
    <cfRule type="duplicateValues" dxfId="10491" priority="5722"/>
    <cfRule type="duplicateValues" dxfId="10490" priority="5723"/>
    <cfRule type="duplicateValues" dxfId="10489" priority="5724"/>
    <cfRule type="duplicateValues" dxfId="10488" priority="5725"/>
    <cfRule type="duplicateValues" dxfId="10487" priority="5726"/>
    <cfRule type="duplicateValues" dxfId="10486" priority="5727"/>
    <cfRule type="duplicateValues" dxfId="10485" priority="5728"/>
    <cfRule type="duplicateValues" dxfId="10484" priority="5729"/>
    <cfRule type="duplicateValues" dxfId="10483" priority="5730"/>
    <cfRule type="duplicateValues" dxfId="10482" priority="5731"/>
    <cfRule type="duplicateValues" dxfId="10481" priority="5732"/>
    <cfRule type="duplicateValues" dxfId="10480" priority="5733"/>
    <cfRule type="duplicateValues" dxfId="10479" priority="5734"/>
    <cfRule type="duplicateValues" dxfId="10478" priority="5735"/>
    <cfRule type="duplicateValues" dxfId="10477" priority="5736"/>
    <cfRule type="duplicateValues" dxfId="10476" priority="5737"/>
    <cfRule type="duplicateValues" dxfId="10475" priority="5738"/>
    <cfRule type="duplicateValues" dxfId="10474" priority="5739"/>
    <cfRule type="duplicateValues" dxfId="10473" priority="5740"/>
    <cfRule type="duplicateValues" dxfId="10472" priority="5741"/>
    <cfRule type="duplicateValues" dxfId="10471" priority="5742"/>
    <cfRule type="duplicateValues" dxfId="10470" priority="5743"/>
    <cfRule type="duplicateValues" dxfId="10469" priority="5744"/>
    <cfRule type="duplicateValues" dxfId="10468" priority="5745"/>
    <cfRule type="duplicateValues" dxfId="10467" priority="5746"/>
    <cfRule type="duplicateValues" dxfId="10466" priority="5747"/>
    <cfRule type="duplicateValues" dxfId="10465" priority="5748"/>
    <cfRule type="duplicateValues" dxfId="10464" priority="5749"/>
    <cfRule type="duplicateValues" dxfId="10463" priority="5750"/>
    <cfRule type="duplicateValues" dxfId="10462" priority="5751"/>
    <cfRule type="duplicateValues" dxfId="10461" priority="5752"/>
    <cfRule type="duplicateValues" dxfId="10460" priority="5753"/>
    <cfRule type="duplicateValues" dxfId="10459" priority="5754"/>
    <cfRule type="duplicateValues" dxfId="10458" priority="5755"/>
    <cfRule type="duplicateValues" dxfId="10457" priority="5756"/>
    <cfRule type="duplicateValues" dxfId="10456" priority="5757"/>
  </conditionalFormatting>
  <conditionalFormatting sqref="C263">
    <cfRule type="duplicateValues" dxfId="10455" priority="15357"/>
    <cfRule type="duplicateValues" dxfId="10454" priority="15358"/>
    <cfRule type="duplicateValues" dxfId="10453" priority="15359"/>
    <cfRule type="duplicateValues" dxfId="10452" priority="15360"/>
    <cfRule type="duplicateValues" dxfId="10451" priority="15361"/>
    <cfRule type="duplicateValues" dxfId="10450" priority="15362"/>
    <cfRule type="duplicateValues" dxfId="10449" priority="15363"/>
    <cfRule type="duplicateValues" dxfId="10448" priority="15364"/>
    <cfRule type="duplicateValues" dxfId="10447" priority="15365"/>
    <cfRule type="duplicateValues" dxfId="10446" priority="15366"/>
    <cfRule type="duplicateValues" dxfId="10445" priority="15367"/>
    <cfRule type="duplicateValues" dxfId="10444" priority="15368"/>
    <cfRule type="duplicateValues" dxfId="10443" priority="15369"/>
    <cfRule type="duplicateValues" dxfId="10442" priority="15370"/>
    <cfRule type="duplicateValues" dxfId="10441" priority="15371"/>
    <cfRule type="duplicateValues" dxfId="10440" priority="15372"/>
    <cfRule type="duplicateValues" dxfId="10439" priority="15373"/>
    <cfRule type="duplicateValues" dxfId="10438" priority="15374"/>
    <cfRule type="duplicateValues" dxfId="10437" priority="15375"/>
    <cfRule type="duplicateValues" dxfId="10436" priority="15376"/>
    <cfRule type="duplicateValues" dxfId="10435" priority="15377"/>
    <cfRule type="duplicateValues" dxfId="10434" priority="15378"/>
    <cfRule type="duplicateValues" dxfId="10433" priority="15379"/>
    <cfRule type="duplicateValues" dxfId="10432" priority="15380"/>
    <cfRule type="duplicateValues" dxfId="10431" priority="15381"/>
    <cfRule type="duplicateValues" dxfId="10430" priority="15382"/>
    <cfRule type="duplicateValues" dxfId="10429" priority="15383"/>
    <cfRule type="duplicateValues" dxfId="10428" priority="15384"/>
    <cfRule type="duplicateValues" dxfId="10427" priority="15385"/>
    <cfRule type="duplicateValues" dxfId="10426" priority="15386"/>
    <cfRule type="duplicateValues" dxfId="10425" priority="15387"/>
    <cfRule type="duplicateValues" dxfId="10424" priority="15388"/>
    <cfRule type="duplicateValues" dxfId="10423" priority="15389"/>
    <cfRule type="duplicateValues" dxfId="10422" priority="15390"/>
    <cfRule type="duplicateValues" dxfId="10421" priority="15391"/>
    <cfRule type="duplicateValues" dxfId="10420" priority="15392"/>
    <cfRule type="duplicateValues" dxfId="10419" priority="15393"/>
    <cfRule type="duplicateValues" dxfId="10418" priority="15394"/>
    <cfRule type="duplicateValues" dxfId="10417" priority="15395"/>
    <cfRule type="duplicateValues" dxfId="10416" priority="15396"/>
    <cfRule type="duplicateValues" dxfId="10415" priority="15397"/>
    <cfRule type="duplicateValues" dxfId="10414" priority="15398"/>
    <cfRule type="duplicateValues" dxfId="10413" priority="15399"/>
    <cfRule type="duplicateValues" dxfId="10412" priority="15400"/>
    <cfRule type="duplicateValues" dxfId="10411" priority="15401"/>
    <cfRule type="duplicateValues" dxfId="10410" priority="15402"/>
    <cfRule type="duplicateValues" dxfId="10409" priority="15403"/>
    <cfRule type="duplicateValues" dxfId="10408" priority="15404"/>
    <cfRule type="duplicateValues" dxfId="10407" priority="15405"/>
    <cfRule type="duplicateValues" dxfId="10406" priority="15406"/>
    <cfRule type="duplicateValues" dxfId="10405" priority="15407"/>
    <cfRule type="duplicateValues" dxfId="10404" priority="15408"/>
    <cfRule type="duplicateValues" dxfId="10403" priority="15409"/>
    <cfRule type="duplicateValues" dxfId="10402" priority="15410"/>
    <cfRule type="duplicateValues" dxfId="10401" priority="15411"/>
    <cfRule type="duplicateValues" dxfId="10400" priority="15412"/>
    <cfRule type="duplicateValues" dxfId="10399" priority="15413"/>
    <cfRule type="duplicateValues" dxfId="10398" priority="15414"/>
    <cfRule type="duplicateValues" dxfId="10397" priority="15415"/>
    <cfRule type="duplicateValues" dxfId="10396" priority="15416"/>
    <cfRule type="duplicateValues" dxfId="10395" priority="15417"/>
    <cfRule type="duplicateValues" dxfId="10394" priority="15418"/>
    <cfRule type="duplicateValues" dxfId="10393" priority="15419"/>
    <cfRule type="duplicateValues" dxfId="10392" priority="15420"/>
    <cfRule type="duplicateValues" dxfId="10391" priority="15421"/>
    <cfRule type="duplicateValues" dxfId="10390" priority="15422"/>
    <cfRule type="duplicateValues" dxfId="10389" priority="15423"/>
    <cfRule type="duplicateValues" dxfId="10388" priority="15424"/>
    <cfRule type="duplicateValues" dxfId="10387" priority="15425"/>
    <cfRule type="duplicateValues" dxfId="10386" priority="15426"/>
    <cfRule type="duplicateValues" dxfId="10385" priority="15427"/>
    <cfRule type="duplicateValues" dxfId="10384" priority="15428"/>
    <cfRule type="duplicateValues" dxfId="10383" priority="15429"/>
    <cfRule type="duplicateValues" dxfId="10382" priority="15430"/>
    <cfRule type="duplicateValues" dxfId="10381" priority="15431"/>
    <cfRule type="duplicateValues" dxfId="10380" priority="15432"/>
    <cfRule type="duplicateValues" dxfId="10379" priority="15433"/>
    <cfRule type="duplicateValues" dxfId="10378" priority="15434"/>
    <cfRule type="duplicateValues" dxfId="10377" priority="15435"/>
    <cfRule type="duplicateValues" dxfId="10376" priority="15436"/>
    <cfRule type="duplicateValues" dxfId="10375" priority="15437"/>
    <cfRule type="duplicateValues" dxfId="10374" priority="15438"/>
    <cfRule type="duplicateValues" dxfId="10373" priority="15439"/>
    <cfRule type="duplicateValues" dxfId="10372" priority="15440"/>
    <cfRule type="duplicateValues" dxfId="10371" priority="15441"/>
    <cfRule type="duplicateValues" dxfId="10370" priority="15442"/>
    <cfRule type="duplicateValues" dxfId="10369" priority="15443"/>
    <cfRule type="duplicateValues" dxfId="10368" priority="15444"/>
    <cfRule type="duplicateValues" dxfId="10367" priority="15445"/>
    <cfRule type="duplicateValues" dxfId="10366" priority="15446"/>
    <cfRule type="duplicateValues" dxfId="10365" priority="15447"/>
    <cfRule type="duplicateValues" dxfId="10364" priority="15448"/>
    <cfRule type="duplicateValues" dxfId="10363" priority="15449"/>
    <cfRule type="duplicateValues" dxfId="10362" priority="15450"/>
    <cfRule type="duplicateValues" dxfId="10361" priority="15451"/>
    <cfRule type="duplicateValues" dxfId="10360" priority="15452"/>
    <cfRule type="duplicateValues" dxfId="10359" priority="15453"/>
    <cfRule type="duplicateValues" dxfId="10358" priority="15454"/>
    <cfRule type="duplicateValues" dxfId="10357" priority="15455"/>
    <cfRule type="duplicateValues" dxfId="10356" priority="15456"/>
    <cfRule type="duplicateValues" dxfId="10355" priority="15457"/>
    <cfRule type="duplicateValues" dxfId="10354" priority="15458"/>
    <cfRule type="duplicateValues" dxfId="10353" priority="15459"/>
    <cfRule type="duplicateValues" dxfId="10352" priority="15460"/>
    <cfRule type="duplicateValues" dxfId="10351" priority="15461"/>
    <cfRule type="duplicateValues" dxfId="10350" priority="15462"/>
    <cfRule type="duplicateValues" dxfId="10349" priority="15463"/>
    <cfRule type="duplicateValues" dxfId="10348" priority="15464"/>
    <cfRule type="duplicateValues" dxfId="10347" priority="15465"/>
    <cfRule type="duplicateValues" dxfId="10346" priority="15466"/>
    <cfRule type="duplicateValues" dxfId="10345" priority="15467"/>
    <cfRule type="duplicateValues" dxfId="10344" priority="15468"/>
    <cfRule type="duplicateValues" dxfId="10343" priority="15469"/>
    <cfRule type="duplicateValues" dxfId="10342" priority="15470"/>
    <cfRule type="duplicateValues" dxfId="10341" priority="15471"/>
    <cfRule type="duplicateValues" dxfId="10340" priority="15472"/>
    <cfRule type="duplicateValues" dxfId="10339" priority="15473"/>
    <cfRule type="duplicateValues" dxfId="10338" priority="15474"/>
    <cfRule type="duplicateValues" dxfId="10337" priority="15475"/>
    <cfRule type="duplicateValues" dxfId="10336" priority="15476"/>
    <cfRule type="duplicateValues" dxfId="10335" priority="15477"/>
    <cfRule type="duplicateValues" dxfId="10334" priority="15478"/>
    <cfRule type="duplicateValues" dxfId="10333" priority="15479"/>
    <cfRule type="duplicateValues" dxfId="10332" priority="15480"/>
    <cfRule type="duplicateValues" dxfId="10331" priority="15481"/>
    <cfRule type="duplicateValues" dxfId="10330" priority="15482"/>
    <cfRule type="duplicateValues" dxfId="10329" priority="15483"/>
    <cfRule type="duplicateValues" dxfId="10328" priority="15484"/>
    <cfRule type="duplicateValues" dxfId="10327" priority="15485"/>
    <cfRule type="duplicateValues" dxfId="10326" priority="15486"/>
    <cfRule type="duplicateValues" dxfId="10325" priority="15487"/>
    <cfRule type="duplicateValues" dxfId="10324" priority="15488"/>
    <cfRule type="duplicateValues" dxfId="10323" priority="15489"/>
    <cfRule type="duplicateValues" dxfId="10322" priority="15490"/>
    <cfRule type="duplicateValues" dxfId="10321" priority="15491"/>
    <cfRule type="duplicateValues" dxfId="10320" priority="15492"/>
    <cfRule type="duplicateValues" dxfId="10319" priority="15493"/>
    <cfRule type="duplicateValues" dxfId="10318" priority="15494"/>
    <cfRule type="duplicateValues" dxfId="10317" priority="15495"/>
    <cfRule type="duplicateValues" dxfId="10316" priority="15496"/>
    <cfRule type="duplicateValues" dxfId="10315" priority="15497"/>
    <cfRule type="duplicateValues" dxfId="10314" priority="15498"/>
    <cfRule type="duplicateValues" dxfId="10313" priority="15499"/>
    <cfRule type="duplicateValues" dxfId="10312" priority="15500"/>
    <cfRule type="duplicateValues" dxfId="10311" priority="15501"/>
    <cfRule type="duplicateValues" dxfId="10310" priority="15502"/>
    <cfRule type="duplicateValues" dxfId="10309" priority="15503"/>
    <cfRule type="duplicateValues" dxfId="10308" priority="15504"/>
    <cfRule type="duplicateValues" dxfId="10307" priority="15505"/>
    <cfRule type="duplicateValues" dxfId="10306" priority="15506"/>
    <cfRule type="duplicateValues" dxfId="10305" priority="15507"/>
    <cfRule type="duplicateValues" dxfId="10304" priority="15508"/>
    <cfRule type="duplicateValues" dxfId="10303" priority="15509"/>
    <cfRule type="duplicateValues" dxfId="10302" priority="15510"/>
    <cfRule type="duplicateValues" dxfId="10301" priority="15511"/>
    <cfRule type="duplicateValues" dxfId="10300" priority="15512"/>
    <cfRule type="duplicateValues" dxfId="10299" priority="15513"/>
    <cfRule type="duplicateValues" dxfId="10298" priority="15514"/>
    <cfRule type="duplicateValues" dxfId="10297" priority="15515"/>
    <cfRule type="duplicateValues" dxfId="10296" priority="15516"/>
    <cfRule type="duplicateValues" dxfId="10295" priority="15517"/>
    <cfRule type="duplicateValues" dxfId="10294" priority="15518"/>
    <cfRule type="duplicateValues" dxfId="10293" priority="15519"/>
    <cfRule type="duplicateValues" dxfId="10292" priority="15520"/>
    <cfRule type="duplicateValues" dxfId="10291" priority="15521"/>
    <cfRule type="duplicateValues" dxfId="10290" priority="15522"/>
    <cfRule type="duplicateValues" dxfId="10289" priority="15523"/>
    <cfRule type="duplicateValues" dxfId="10288" priority="15524"/>
    <cfRule type="duplicateValues" dxfId="10287" priority="15525"/>
    <cfRule type="duplicateValues" dxfId="10286" priority="15526"/>
    <cfRule type="duplicateValues" dxfId="10285" priority="15527"/>
    <cfRule type="duplicateValues" dxfId="10284" priority="15528"/>
    <cfRule type="duplicateValues" dxfId="10283" priority="15529"/>
    <cfRule type="duplicateValues" dxfId="10282" priority="15530"/>
    <cfRule type="duplicateValues" dxfId="10281" priority="15531"/>
    <cfRule type="duplicateValues" dxfId="10280" priority="15532"/>
    <cfRule type="duplicateValues" dxfId="10279" priority="15533"/>
    <cfRule type="duplicateValues" dxfId="10278" priority="15534"/>
    <cfRule type="duplicateValues" dxfId="10277" priority="15535"/>
    <cfRule type="duplicateValues" dxfId="10276" priority="15536"/>
    <cfRule type="duplicateValues" dxfId="10275" priority="15537"/>
    <cfRule type="duplicateValues" dxfId="10274" priority="15538"/>
    <cfRule type="duplicateValues" dxfId="10273" priority="15539"/>
    <cfRule type="duplicateValues" dxfId="10272" priority="15540"/>
    <cfRule type="duplicateValues" dxfId="10271" priority="15541"/>
    <cfRule type="duplicateValues" dxfId="10270" priority="15542"/>
    <cfRule type="duplicateValues" dxfId="10269" priority="15543"/>
    <cfRule type="duplicateValues" dxfId="10268" priority="15544"/>
    <cfRule type="duplicateValues" dxfId="10267" priority="15545"/>
    <cfRule type="duplicateValues" dxfId="10266" priority="15546"/>
    <cfRule type="duplicateValues" dxfId="10265" priority="15547"/>
    <cfRule type="duplicateValues" dxfId="10264" priority="15548"/>
    <cfRule type="duplicateValues" dxfId="10263" priority="15549"/>
    <cfRule type="duplicateValues" dxfId="10262" priority="15550"/>
    <cfRule type="duplicateValues" dxfId="10261" priority="15551"/>
    <cfRule type="duplicateValues" dxfId="10260" priority="15552"/>
    <cfRule type="duplicateValues" dxfId="10259" priority="15553"/>
    <cfRule type="duplicateValues" dxfId="10258" priority="15554"/>
    <cfRule type="duplicateValues" dxfId="10257" priority="15555"/>
    <cfRule type="duplicateValues" dxfId="10256" priority="15556"/>
    <cfRule type="duplicateValues" dxfId="10255" priority="15557"/>
    <cfRule type="duplicateValues" dxfId="10254" priority="15558"/>
    <cfRule type="duplicateValues" dxfId="10253" priority="15559"/>
    <cfRule type="duplicateValues" dxfId="10252" priority="15560"/>
    <cfRule type="duplicateValues" dxfId="10251" priority="15561"/>
    <cfRule type="duplicateValues" dxfId="10250" priority="15562"/>
    <cfRule type="duplicateValues" dxfId="10249" priority="15563"/>
    <cfRule type="duplicateValues" dxfId="10248" priority="15564"/>
    <cfRule type="duplicateValues" dxfId="10247" priority="15565"/>
    <cfRule type="duplicateValues" dxfId="10246" priority="15566"/>
    <cfRule type="duplicateValues" dxfId="10245" priority="15567"/>
    <cfRule type="duplicateValues" dxfId="10244" priority="15568"/>
    <cfRule type="duplicateValues" dxfId="10243" priority="15569"/>
    <cfRule type="duplicateValues" dxfId="10242" priority="15570"/>
    <cfRule type="duplicateValues" dxfId="10241" priority="15571"/>
    <cfRule type="duplicateValues" dxfId="10240" priority="15572"/>
    <cfRule type="duplicateValues" dxfId="10239" priority="15573"/>
    <cfRule type="duplicateValues" dxfId="10238" priority="15574"/>
    <cfRule type="duplicateValues" dxfId="10237" priority="15575"/>
    <cfRule type="duplicateValues" dxfId="10236" priority="15576"/>
    <cfRule type="duplicateValues" dxfId="10235" priority="15577"/>
    <cfRule type="duplicateValues" dxfId="10234" priority="15578"/>
    <cfRule type="duplicateValues" dxfId="10233" priority="15579"/>
    <cfRule type="duplicateValues" dxfId="10232" priority="15580"/>
    <cfRule type="duplicateValues" dxfId="10231" priority="15581"/>
    <cfRule type="duplicateValues" dxfId="10230" priority="15582"/>
    <cfRule type="duplicateValues" dxfId="10229" priority="15583"/>
    <cfRule type="duplicateValues" dxfId="10228" priority="15584"/>
    <cfRule type="duplicateValues" dxfId="10227" priority="15585"/>
    <cfRule type="duplicateValues" dxfId="10226" priority="15586"/>
    <cfRule type="duplicateValues" dxfId="10225" priority="15587"/>
    <cfRule type="duplicateValues" dxfId="10224" priority="15588"/>
    <cfRule type="duplicateValues" dxfId="10223" priority="15589"/>
    <cfRule type="duplicateValues" dxfId="10222" priority="15590"/>
    <cfRule type="duplicateValues" dxfId="10221" priority="15591"/>
    <cfRule type="duplicateValues" dxfId="10220" priority="15592"/>
    <cfRule type="duplicateValues" dxfId="10219" priority="15593"/>
    <cfRule type="duplicateValues" dxfId="10218" priority="15594"/>
    <cfRule type="duplicateValues" dxfId="10217" priority="15595"/>
    <cfRule type="duplicateValues" dxfId="10216" priority="15596"/>
    <cfRule type="duplicateValues" dxfId="10215" priority="15597"/>
    <cfRule type="duplicateValues" dxfId="10214" priority="15598"/>
    <cfRule type="duplicateValues" dxfId="10213" priority="15599"/>
    <cfRule type="duplicateValues" dxfId="10212" priority="15600"/>
    <cfRule type="duplicateValues" dxfId="10211" priority="15601"/>
    <cfRule type="duplicateValues" dxfId="10210" priority="15602"/>
    <cfRule type="duplicateValues" dxfId="10209" priority="15603"/>
    <cfRule type="duplicateValues" dxfId="10208" priority="15604"/>
    <cfRule type="duplicateValues" dxfId="10207" priority="15605"/>
    <cfRule type="duplicateValues" dxfId="10206" priority="15606"/>
    <cfRule type="duplicateValues" dxfId="10205" priority="15607"/>
    <cfRule type="duplicateValues" dxfId="10204" priority="15608"/>
    <cfRule type="duplicateValues" dxfId="10203" priority="15609"/>
    <cfRule type="duplicateValues" dxfId="10202" priority="15610"/>
    <cfRule type="duplicateValues" dxfId="10201" priority="15611"/>
    <cfRule type="duplicateValues" dxfId="10200" priority="15612"/>
    <cfRule type="duplicateValues" dxfId="10199" priority="15613"/>
    <cfRule type="duplicateValues" dxfId="10198" priority="15614"/>
    <cfRule type="duplicateValues" dxfId="10197" priority="15615"/>
    <cfRule type="duplicateValues" dxfId="10196" priority="15616"/>
    <cfRule type="duplicateValues" dxfId="10195" priority="15617"/>
    <cfRule type="duplicateValues" dxfId="10194" priority="15618"/>
    <cfRule type="duplicateValues" dxfId="10193" priority="15619"/>
    <cfRule type="duplicateValues" dxfId="10192" priority="15620"/>
    <cfRule type="duplicateValues" dxfId="10191" priority="15621"/>
    <cfRule type="duplicateValues" dxfId="10190" priority="15622"/>
    <cfRule type="duplicateValues" dxfId="10189" priority="15623"/>
    <cfRule type="duplicateValues" dxfId="10188" priority="15624"/>
    <cfRule type="duplicateValues" dxfId="10187" priority="15625"/>
    <cfRule type="duplicateValues" dxfId="10186" priority="15626"/>
    <cfRule type="duplicateValues" dxfId="10185" priority="15627"/>
    <cfRule type="duplicateValues" dxfId="10184" priority="15628"/>
    <cfRule type="duplicateValues" dxfId="10183" priority="15629"/>
    <cfRule type="duplicateValues" dxfId="10182" priority="15630"/>
    <cfRule type="duplicateValues" dxfId="10181" priority="15631"/>
    <cfRule type="duplicateValues" dxfId="10180" priority="15632"/>
    <cfRule type="duplicateValues" dxfId="10179" priority="15633"/>
    <cfRule type="duplicateValues" dxfId="10178" priority="15634"/>
    <cfRule type="duplicateValues" dxfId="10177" priority="15635"/>
    <cfRule type="duplicateValues" dxfId="10176" priority="15636"/>
    <cfRule type="duplicateValues" dxfId="10175" priority="15637"/>
    <cfRule type="duplicateValues" dxfId="10174" priority="15638"/>
    <cfRule type="duplicateValues" dxfId="10173" priority="15639"/>
    <cfRule type="duplicateValues" dxfId="10172" priority="15640"/>
    <cfRule type="duplicateValues" dxfId="10171" priority="15641"/>
    <cfRule type="duplicateValues" dxfId="10170" priority="15642"/>
    <cfRule type="duplicateValues" dxfId="10169" priority="15643"/>
    <cfRule type="duplicateValues" dxfId="10168" priority="15644"/>
    <cfRule type="duplicateValues" dxfId="10167" priority="15645"/>
    <cfRule type="duplicateValues" dxfId="10166" priority="15646"/>
    <cfRule type="duplicateValues" dxfId="10165" priority="15647"/>
    <cfRule type="duplicateValues" dxfId="10164" priority="15648"/>
    <cfRule type="duplicateValues" dxfId="10163" priority="15649"/>
    <cfRule type="duplicateValues" dxfId="10162" priority="15650"/>
    <cfRule type="duplicateValues" dxfId="10161" priority="15651"/>
    <cfRule type="duplicateValues" dxfId="10160" priority="15652"/>
    <cfRule type="duplicateValues" dxfId="10159" priority="15653"/>
    <cfRule type="duplicateValues" dxfId="10158" priority="15654"/>
    <cfRule type="duplicateValues" dxfId="10157" priority="15655"/>
    <cfRule type="duplicateValues" dxfId="10156" priority="15656"/>
    <cfRule type="duplicateValues" dxfId="10155" priority="15657"/>
    <cfRule type="duplicateValues" dxfId="10154" priority="15658"/>
    <cfRule type="duplicateValues" dxfId="10153" priority="15659"/>
    <cfRule type="duplicateValues" dxfId="10152" priority="15660"/>
    <cfRule type="duplicateValues" dxfId="10151" priority="15661"/>
    <cfRule type="duplicateValues" dxfId="10150" priority="15662"/>
    <cfRule type="duplicateValues" dxfId="10149" priority="15663"/>
    <cfRule type="duplicateValues" dxfId="10148" priority="15664"/>
    <cfRule type="duplicateValues" dxfId="10147" priority="15665"/>
    <cfRule type="duplicateValues" dxfId="10146" priority="15666"/>
    <cfRule type="duplicateValues" dxfId="10145" priority="15667"/>
    <cfRule type="duplicateValues" dxfId="10144" priority="15668"/>
    <cfRule type="duplicateValues" dxfId="10143" priority="15669"/>
    <cfRule type="duplicateValues" dxfId="10142" priority="15670"/>
    <cfRule type="duplicateValues" dxfId="10141" priority="15671"/>
    <cfRule type="duplicateValues" dxfId="10140" priority="15672"/>
    <cfRule type="duplicateValues" dxfId="10139" priority="15673"/>
    <cfRule type="duplicateValues" dxfId="10138" priority="15674"/>
    <cfRule type="duplicateValues" dxfId="10137" priority="15675"/>
    <cfRule type="duplicateValues" dxfId="10136" priority="15676"/>
    <cfRule type="duplicateValues" dxfId="10135" priority="15677"/>
    <cfRule type="duplicateValues" dxfId="10134" priority="15678"/>
    <cfRule type="duplicateValues" dxfId="10133" priority="15679"/>
    <cfRule type="duplicateValues" dxfId="10132" priority="15680"/>
    <cfRule type="duplicateValues" dxfId="10131" priority="15681"/>
    <cfRule type="duplicateValues" dxfId="10130" priority="15682"/>
    <cfRule type="duplicateValues" dxfId="10129" priority="15683"/>
    <cfRule type="duplicateValues" dxfId="10128" priority="15684"/>
    <cfRule type="duplicateValues" dxfId="10127" priority="15685"/>
    <cfRule type="duplicateValues" dxfId="10126" priority="15686"/>
    <cfRule type="duplicateValues" dxfId="10125" priority="15687"/>
    <cfRule type="duplicateValues" dxfId="10124" priority="15688"/>
    <cfRule type="duplicateValues" dxfId="10123" priority="15689"/>
    <cfRule type="duplicateValues" dxfId="10122" priority="15690"/>
    <cfRule type="duplicateValues" dxfId="10121" priority="15691"/>
    <cfRule type="duplicateValues" dxfId="10120" priority="15692"/>
    <cfRule type="duplicateValues" dxfId="10119" priority="15693"/>
    <cfRule type="duplicateValues" dxfId="10118" priority="15694"/>
    <cfRule type="duplicateValues" dxfId="10117" priority="15695"/>
    <cfRule type="duplicateValues" dxfId="10116" priority="15696"/>
    <cfRule type="duplicateValues" dxfId="10115" priority="15697"/>
    <cfRule type="duplicateValues" dxfId="10114" priority="15698"/>
    <cfRule type="duplicateValues" dxfId="10113" priority="15699"/>
    <cfRule type="duplicateValues" dxfId="10112" priority="15700"/>
    <cfRule type="duplicateValues" dxfId="10111" priority="15701"/>
  </conditionalFormatting>
  <conditionalFormatting sqref="C264:C265">
    <cfRule type="duplicateValues" dxfId="10110" priority="5068"/>
    <cfRule type="duplicateValues" dxfId="10109" priority="5069"/>
    <cfRule type="duplicateValues" dxfId="10108" priority="5070"/>
    <cfRule type="duplicateValues" dxfId="10107" priority="5071"/>
    <cfRule type="duplicateValues" dxfId="10106" priority="5072"/>
    <cfRule type="duplicateValues" dxfId="10105" priority="5073"/>
    <cfRule type="duplicateValues" dxfId="10104" priority="5074"/>
    <cfRule type="duplicateValues" dxfId="10103" priority="5075"/>
    <cfRule type="duplicateValues" dxfId="10102" priority="5076"/>
    <cfRule type="duplicateValues" dxfId="10101" priority="5077"/>
    <cfRule type="duplicateValues" dxfId="10100" priority="5078"/>
    <cfRule type="duplicateValues" dxfId="10099" priority="5079"/>
    <cfRule type="duplicateValues" dxfId="10098" priority="5080"/>
    <cfRule type="duplicateValues" dxfId="10097" priority="5081"/>
    <cfRule type="duplicateValues" dxfId="10096" priority="5082"/>
    <cfRule type="duplicateValues" dxfId="10095" priority="5083"/>
    <cfRule type="duplicateValues" dxfId="10094" priority="5084"/>
    <cfRule type="duplicateValues" dxfId="10093" priority="5085"/>
    <cfRule type="duplicateValues" dxfId="10092" priority="5086"/>
    <cfRule type="duplicateValues" dxfId="10091" priority="5087"/>
    <cfRule type="duplicateValues" dxfId="10090" priority="5088"/>
    <cfRule type="duplicateValues" dxfId="10089" priority="5089"/>
    <cfRule type="duplicateValues" dxfId="10088" priority="5090"/>
    <cfRule type="duplicateValues" dxfId="10087" priority="5091"/>
    <cfRule type="duplicateValues" dxfId="10086" priority="5092"/>
    <cfRule type="duplicateValues" dxfId="10085" priority="5093"/>
    <cfRule type="duplicateValues" dxfId="10084" priority="5094"/>
    <cfRule type="duplicateValues" dxfId="10083" priority="5095"/>
    <cfRule type="duplicateValues" dxfId="10082" priority="5096"/>
    <cfRule type="duplicateValues" dxfId="10081" priority="5097"/>
    <cfRule type="duplicateValues" dxfId="10080" priority="5098"/>
    <cfRule type="duplicateValues" dxfId="10079" priority="5099"/>
    <cfRule type="duplicateValues" dxfId="10078" priority="5100"/>
    <cfRule type="duplicateValues" dxfId="10077" priority="5101"/>
    <cfRule type="duplicateValues" dxfId="10076" priority="5102"/>
    <cfRule type="duplicateValues" dxfId="10075" priority="5103"/>
    <cfRule type="duplicateValues" dxfId="10074" priority="5104"/>
    <cfRule type="duplicateValues" dxfId="10073" priority="5105"/>
    <cfRule type="duplicateValues" dxfId="10072" priority="5106"/>
    <cfRule type="duplicateValues" dxfId="10071" priority="5107"/>
    <cfRule type="duplicateValues" dxfId="10070" priority="5108"/>
    <cfRule type="duplicateValues" dxfId="10069" priority="5109"/>
    <cfRule type="duplicateValues" dxfId="10068" priority="5110"/>
    <cfRule type="duplicateValues" dxfId="10067" priority="5111"/>
    <cfRule type="duplicateValues" dxfId="10066" priority="5112"/>
    <cfRule type="duplicateValues" dxfId="10065" priority="5113"/>
    <cfRule type="duplicateValues" dxfId="10064" priority="5114"/>
    <cfRule type="duplicateValues" dxfId="10063" priority="5115"/>
    <cfRule type="duplicateValues" dxfId="10062" priority="5116"/>
    <cfRule type="duplicateValues" dxfId="10061" priority="5117"/>
    <cfRule type="duplicateValues" dxfId="10060" priority="5118"/>
    <cfRule type="duplicateValues" dxfId="10059" priority="5119"/>
    <cfRule type="duplicateValues" dxfId="10058" priority="5120"/>
    <cfRule type="duplicateValues" dxfId="10057" priority="5121"/>
    <cfRule type="duplicateValues" dxfId="10056" priority="5122"/>
    <cfRule type="duplicateValues" dxfId="10055" priority="5123"/>
    <cfRule type="duplicateValues" dxfId="10054" priority="5124"/>
    <cfRule type="duplicateValues" dxfId="10053" priority="5125"/>
    <cfRule type="duplicateValues" dxfId="10052" priority="5126"/>
    <cfRule type="duplicateValues" dxfId="10051" priority="5127"/>
    <cfRule type="duplicateValues" dxfId="10050" priority="5128"/>
    <cfRule type="duplicateValues" dxfId="10049" priority="5129"/>
    <cfRule type="duplicateValues" dxfId="10048" priority="5130"/>
    <cfRule type="duplicateValues" dxfId="10047" priority="5131"/>
    <cfRule type="duplicateValues" dxfId="10046" priority="5132"/>
    <cfRule type="duplicateValues" dxfId="10045" priority="5133"/>
    <cfRule type="duplicateValues" dxfId="10044" priority="5134"/>
    <cfRule type="duplicateValues" dxfId="10043" priority="5135"/>
    <cfRule type="duplicateValues" dxfId="10042" priority="5136"/>
    <cfRule type="duplicateValues" dxfId="10041" priority="5137"/>
    <cfRule type="duplicateValues" dxfId="10040" priority="5138"/>
    <cfRule type="duplicateValues" dxfId="10039" priority="5139"/>
    <cfRule type="duplicateValues" dxfId="10038" priority="5140"/>
    <cfRule type="duplicateValues" dxfId="10037" priority="5141"/>
    <cfRule type="duplicateValues" dxfId="10036" priority="5142"/>
    <cfRule type="duplicateValues" dxfId="10035" priority="5143"/>
    <cfRule type="duplicateValues" dxfId="10034" priority="5144"/>
    <cfRule type="duplicateValues" dxfId="10033" priority="5145"/>
    <cfRule type="duplicateValues" dxfId="10032" priority="5146"/>
    <cfRule type="duplicateValues" dxfId="10031" priority="5147"/>
    <cfRule type="duplicateValues" dxfId="10030" priority="5148"/>
    <cfRule type="duplicateValues" dxfId="10029" priority="5149"/>
    <cfRule type="duplicateValues" dxfId="10028" priority="5150"/>
    <cfRule type="duplicateValues" dxfId="10027" priority="5151"/>
    <cfRule type="duplicateValues" dxfId="10026" priority="5152"/>
    <cfRule type="duplicateValues" dxfId="10025" priority="5153"/>
    <cfRule type="duplicateValues" dxfId="10024" priority="5154"/>
    <cfRule type="duplicateValues" dxfId="10023" priority="5155"/>
    <cfRule type="duplicateValues" dxfId="10022" priority="5156"/>
    <cfRule type="duplicateValues" dxfId="10021" priority="5157"/>
    <cfRule type="duplicateValues" dxfId="10020" priority="5158"/>
    <cfRule type="duplicateValues" dxfId="10019" priority="5159"/>
    <cfRule type="duplicateValues" dxfId="10018" priority="5160"/>
    <cfRule type="duplicateValues" dxfId="10017" priority="5161"/>
    <cfRule type="duplicateValues" dxfId="10016" priority="5162"/>
    <cfRule type="duplicateValues" dxfId="10015" priority="5163"/>
    <cfRule type="duplicateValues" dxfId="10014" priority="5164"/>
    <cfRule type="duplicateValues" dxfId="10013" priority="5165"/>
    <cfRule type="duplicateValues" dxfId="10012" priority="5166"/>
    <cfRule type="duplicateValues" dxfId="10011" priority="5167"/>
    <cfRule type="duplicateValues" dxfId="10010" priority="5168"/>
    <cfRule type="duplicateValues" dxfId="10009" priority="5169"/>
    <cfRule type="duplicateValues" dxfId="10008" priority="5170"/>
    <cfRule type="duplicateValues" dxfId="10007" priority="5171"/>
    <cfRule type="duplicateValues" dxfId="10006" priority="5172"/>
    <cfRule type="duplicateValues" dxfId="10005" priority="5173"/>
    <cfRule type="duplicateValues" dxfId="10004" priority="5174"/>
    <cfRule type="duplicateValues" dxfId="10003" priority="5175"/>
    <cfRule type="duplicateValues" dxfId="10002" priority="5176"/>
    <cfRule type="duplicateValues" dxfId="10001" priority="5177"/>
    <cfRule type="duplicateValues" dxfId="10000" priority="5178"/>
    <cfRule type="duplicateValues" dxfId="9999" priority="5179"/>
    <cfRule type="duplicateValues" dxfId="9998" priority="5180"/>
    <cfRule type="duplicateValues" dxfId="9997" priority="5181"/>
    <cfRule type="duplicateValues" dxfId="9996" priority="5182"/>
    <cfRule type="duplicateValues" dxfId="9995" priority="5183"/>
    <cfRule type="duplicateValues" dxfId="9994" priority="5184"/>
    <cfRule type="duplicateValues" dxfId="9993" priority="5185"/>
    <cfRule type="duplicateValues" dxfId="9992" priority="5186"/>
    <cfRule type="duplicateValues" dxfId="9991" priority="5187"/>
    <cfRule type="duplicateValues" dxfId="9990" priority="5188"/>
    <cfRule type="duplicateValues" dxfId="9989" priority="5189"/>
    <cfRule type="duplicateValues" dxfId="9988" priority="5190"/>
    <cfRule type="duplicateValues" dxfId="9987" priority="5191"/>
    <cfRule type="duplicateValues" dxfId="9986" priority="5192"/>
    <cfRule type="duplicateValues" dxfId="9985" priority="5193"/>
    <cfRule type="duplicateValues" dxfId="9984" priority="5194"/>
    <cfRule type="duplicateValues" dxfId="9983" priority="5195"/>
    <cfRule type="duplicateValues" dxfId="9982" priority="5196"/>
    <cfRule type="duplicateValues" dxfId="9981" priority="5197"/>
    <cfRule type="duplicateValues" dxfId="9980" priority="5198"/>
    <cfRule type="duplicateValues" dxfId="9979" priority="5199"/>
    <cfRule type="duplicateValues" dxfId="9978" priority="5200"/>
    <cfRule type="duplicateValues" dxfId="9977" priority="5201"/>
    <cfRule type="duplicateValues" dxfId="9976" priority="5202"/>
    <cfRule type="duplicateValues" dxfId="9975" priority="5203"/>
    <cfRule type="duplicateValues" dxfId="9974" priority="5204"/>
    <cfRule type="duplicateValues" dxfId="9973" priority="5205"/>
    <cfRule type="duplicateValues" dxfId="9972" priority="5206"/>
    <cfRule type="duplicateValues" dxfId="9971" priority="5207"/>
    <cfRule type="duplicateValues" dxfId="9970" priority="5208"/>
    <cfRule type="duplicateValues" dxfId="9969" priority="5209"/>
    <cfRule type="duplicateValues" dxfId="9968" priority="5210"/>
    <cfRule type="duplicateValues" dxfId="9967" priority="5211"/>
    <cfRule type="duplicateValues" dxfId="9966" priority="5212"/>
    <cfRule type="duplicateValues" dxfId="9965" priority="5213"/>
    <cfRule type="duplicateValues" dxfId="9964" priority="5214"/>
    <cfRule type="duplicateValues" dxfId="9963" priority="5215"/>
    <cfRule type="duplicateValues" dxfId="9962" priority="5216"/>
    <cfRule type="duplicateValues" dxfId="9961" priority="5217"/>
    <cfRule type="duplicateValues" dxfId="9960" priority="5218"/>
    <cfRule type="duplicateValues" dxfId="9959" priority="5219"/>
    <cfRule type="duplicateValues" dxfId="9958" priority="5220"/>
    <cfRule type="duplicateValues" dxfId="9957" priority="5221"/>
    <cfRule type="duplicateValues" dxfId="9956" priority="5222"/>
    <cfRule type="duplicateValues" dxfId="9955" priority="5223"/>
    <cfRule type="duplicateValues" dxfId="9954" priority="5224"/>
    <cfRule type="duplicateValues" dxfId="9953" priority="5225"/>
    <cfRule type="duplicateValues" dxfId="9952" priority="5226"/>
    <cfRule type="duplicateValues" dxfId="9951" priority="5227"/>
    <cfRule type="duplicateValues" dxfId="9950" priority="5228"/>
    <cfRule type="duplicateValues" dxfId="9949" priority="5229"/>
    <cfRule type="duplicateValues" dxfId="9948" priority="5230"/>
    <cfRule type="duplicateValues" dxfId="9947" priority="5231"/>
    <cfRule type="duplicateValues" dxfId="9946" priority="5232"/>
    <cfRule type="duplicateValues" dxfId="9945" priority="5233"/>
    <cfRule type="duplicateValues" dxfId="9944" priority="5234"/>
    <cfRule type="duplicateValues" dxfId="9943" priority="5235"/>
    <cfRule type="duplicateValues" dxfId="9942" priority="5236"/>
    <cfRule type="duplicateValues" dxfId="9941" priority="5237"/>
    <cfRule type="duplicateValues" dxfId="9940" priority="5238"/>
    <cfRule type="duplicateValues" dxfId="9939" priority="5239"/>
    <cfRule type="duplicateValues" dxfId="9938" priority="5240"/>
    <cfRule type="duplicateValues" dxfId="9937" priority="5241"/>
    <cfRule type="duplicateValues" dxfId="9936" priority="5242"/>
    <cfRule type="duplicateValues" dxfId="9935" priority="5243"/>
    <cfRule type="duplicateValues" dxfId="9934" priority="5244"/>
    <cfRule type="duplicateValues" dxfId="9933" priority="5245"/>
    <cfRule type="duplicateValues" dxfId="9932" priority="5246"/>
    <cfRule type="duplicateValues" dxfId="9931" priority="5247"/>
    <cfRule type="duplicateValues" dxfId="9930" priority="5248"/>
    <cfRule type="duplicateValues" dxfId="9929" priority="5249"/>
    <cfRule type="duplicateValues" dxfId="9928" priority="5250"/>
    <cfRule type="duplicateValues" dxfId="9927" priority="5251"/>
    <cfRule type="duplicateValues" dxfId="9926" priority="5252"/>
    <cfRule type="duplicateValues" dxfId="9925" priority="5253"/>
    <cfRule type="duplicateValues" dxfId="9924" priority="5254"/>
    <cfRule type="duplicateValues" dxfId="9923" priority="5255"/>
    <cfRule type="duplicateValues" dxfId="9922" priority="5256"/>
    <cfRule type="duplicateValues" dxfId="9921" priority="5257"/>
    <cfRule type="duplicateValues" dxfId="9920" priority="5258"/>
    <cfRule type="duplicateValues" dxfId="9919" priority="5259"/>
    <cfRule type="duplicateValues" dxfId="9918" priority="5260"/>
    <cfRule type="duplicateValues" dxfId="9917" priority="5261"/>
    <cfRule type="duplicateValues" dxfId="9916" priority="5262"/>
    <cfRule type="duplicateValues" dxfId="9915" priority="5263"/>
    <cfRule type="duplicateValues" dxfId="9914" priority="5264"/>
    <cfRule type="duplicateValues" dxfId="9913" priority="5265"/>
    <cfRule type="duplicateValues" dxfId="9912" priority="5266"/>
    <cfRule type="duplicateValues" dxfId="9911" priority="5267"/>
    <cfRule type="duplicateValues" dxfId="9910" priority="5268"/>
    <cfRule type="duplicateValues" dxfId="9909" priority="5269"/>
    <cfRule type="duplicateValues" dxfId="9908" priority="5270"/>
    <cfRule type="duplicateValues" dxfId="9907" priority="5271"/>
    <cfRule type="duplicateValues" dxfId="9906" priority="5272"/>
    <cfRule type="duplicateValues" dxfId="9905" priority="5273"/>
    <cfRule type="duplicateValues" dxfId="9904" priority="5274"/>
    <cfRule type="duplicateValues" dxfId="9903" priority="5275"/>
    <cfRule type="duplicateValues" dxfId="9902" priority="5276"/>
    <cfRule type="duplicateValues" dxfId="9901" priority="5277"/>
    <cfRule type="duplicateValues" dxfId="9900" priority="5278"/>
    <cfRule type="duplicateValues" dxfId="9899" priority="5279"/>
    <cfRule type="duplicateValues" dxfId="9898" priority="5280"/>
    <cfRule type="duplicateValues" dxfId="9897" priority="5281"/>
    <cfRule type="duplicateValues" dxfId="9896" priority="5282"/>
    <cfRule type="duplicateValues" dxfId="9895" priority="5283"/>
    <cfRule type="duplicateValues" dxfId="9894" priority="5284"/>
    <cfRule type="duplicateValues" dxfId="9893" priority="5285"/>
    <cfRule type="duplicateValues" dxfId="9892" priority="5286"/>
    <cfRule type="duplicateValues" dxfId="9891" priority="5287"/>
    <cfRule type="duplicateValues" dxfId="9890" priority="5288"/>
    <cfRule type="duplicateValues" dxfId="9889" priority="5289"/>
    <cfRule type="duplicateValues" dxfId="9888" priority="5290"/>
    <cfRule type="duplicateValues" dxfId="9887" priority="5291"/>
    <cfRule type="duplicateValues" dxfId="9886" priority="5292"/>
    <cfRule type="duplicateValues" dxfId="9885" priority="5293"/>
    <cfRule type="duplicateValues" dxfId="9884" priority="5294"/>
    <cfRule type="duplicateValues" dxfId="9883" priority="5295"/>
    <cfRule type="duplicateValues" dxfId="9882" priority="5296"/>
    <cfRule type="duplicateValues" dxfId="9881" priority="5297"/>
    <cfRule type="duplicateValues" dxfId="9880" priority="5298"/>
    <cfRule type="duplicateValues" dxfId="9879" priority="5299"/>
    <cfRule type="duplicateValues" dxfId="9878" priority="5300"/>
    <cfRule type="duplicateValues" dxfId="9877" priority="5301"/>
    <cfRule type="duplicateValues" dxfId="9876" priority="5302"/>
    <cfRule type="duplicateValues" dxfId="9875" priority="5303"/>
    <cfRule type="duplicateValues" dxfId="9874" priority="5304"/>
    <cfRule type="duplicateValues" dxfId="9873" priority="5305"/>
    <cfRule type="duplicateValues" dxfId="9872" priority="5306"/>
    <cfRule type="duplicateValues" dxfId="9871" priority="5307"/>
    <cfRule type="duplicateValues" dxfId="9870" priority="5308"/>
    <cfRule type="duplicateValues" dxfId="9869" priority="5309"/>
    <cfRule type="duplicateValues" dxfId="9868" priority="5310"/>
    <cfRule type="duplicateValues" dxfId="9867" priority="5311"/>
    <cfRule type="duplicateValues" dxfId="9866" priority="5312"/>
    <cfRule type="duplicateValues" dxfId="9865" priority="5313"/>
    <cfRule type="duplicateValues" dxfId="9864" priority="5314"/>
    <cfRule type="duplicateValues" dxfId="9863" priority="5315"/>
    <cfRule type="duplicateValues" dxfId="9862" priority="5316"/>
    <cfRule type="duplicateValues" dxfId="9861" priority="5317"/>
    <cfRule type="duplicateValues" dxfId="9860" priority="5318"/>
    <cfRule type="duplicateValues" dxfId="9859" priority="5319"/>
    <cfRule type="duplicateValues" dxfId="9858" priority="5320"/>
    <cfRule type="duplicateValues" dxfId="9857" priority="5321"/>
    <cfRule type="duplicateValues" dxfId="9856" priority="5322"/>
    <cfRule type="duplicateValues" dxfId="9855" priority="5323"/>
    <cfRule type="duplicateValues" dxfId="9854" priority="5324"/>
    <cfRule type="duplicateValues" dxfId="9853" priority="5325"/>
    <cfRule type="duplicateValues" dxfId="9852" priority="5326"/>
    <cfRule type="duplicateValues" dxfId="9851" priority="5327"/>
    <cfRule type="duplicateValues" dxfId="9850" priority="5328"/>
    <cfRule type="duplicateValues" dxfId="9849" priority="5329"/>
    <cfRule type="duplicateValues" dxfId="9848" priority="5330"/>
    <cfRule type="duplicateValues" dxfId="9847" priority="5331"/>
    <cfRule type="duplicateValues" dxfId="9846" priority="5332"/>
    <cfRule type="duplicateValues" dxfId="9845" priority="5333"/>
    <cfRule type="duplicateValues" dxfId="9844" priority="5334"/>
    <cfRule type="duplicateValues" dxfId="9843" priority="5335"/>
    <cfRule type="duplicateValues" dxfId="9842" priority="5336"/>
    <cfRule type="duplicateValues" dxfId="9841" priority="5337"/>
    <cfRule type="duplicateValues" dxfId="9840" priority="5338"/>
    <cfRule type="duplicateValues" dxfId="9839" priority="5339"/>
    <cfRule type="duplicateValues" dxfId="9838" priority="5340"/>
    <cfRule type="duplicateValues" dxfId="9837" priority="5341"/>
    <cfRule type="duplicateValues" dxfId="9836" priority="5342"/>
    <cfRule type="duplicateValues" dxfId="9835" priority="5343"/>
    <cfRule type="duplicateValues" dxfId="9834" priority="5344"/>
    <cfRule type="duplicateValues" dxfId="9833" priority="5345"/>
    <cfRule type="duplicateValues" dxfId="9832" priority="5346"/>
    <cfRule type="duplicateValues" dxfId="9831" priority="5347"/>
    <cfRule type="duplicateValues" dxfId="9830" priority="5348"/>
    <cfRule type="duplicateValues" dxfId="9829" priority="5349"/>
    <cfRule type="duplicateValues" dxfId="9828" priority="5350"/>
    <cfRule type="duplicateValues" dxfId="9827" priority="5351"/>
    <cfRule type="duplicateValues" dxfId="9826" priority="5352"/>
    <cfRule type="duplicateValues" dxfId="9825" priority="5353"/>
    <cfRule type="duplicateValues" dxfId="9824" priority="5354"/>
    <cfRule type="duplicateValues" dxfId="9823" priority="5355"/>
    <cfRule type="duplicateValues" dxfId="9822" priority="5356"/>
    <cfRule type="duplicateValues" dxfId="9821" priority="5357"/>
    <cfRule type="duplicateValues" dxfId="9820" priority="5358"/>
    <cfRule type="duplicateValues" dxfId="9819" priority="5359"/>
    <cfRule type="duplicateValues" dxfId="9818" priority="5360"/>
    <cfRule type="duplicateValues" dxfId="9817" priority="5361"/>
    <cfRule type="duplicateValues" dxfId="9816" priority="5362"/>
    <cfRule type="duplicateValues" dxfId="9815" priority="5363"/>
    <cfRule type="duplicateValues" dxfId="9814" priority="5364"/>
    <cfRule type="duplicateValues" dxfId="9813" priority="5365"/>
    <cfRule type="duplicateValues" dxfId="9812" priority="5366"/>
    <cfRule type="duplicateValues" dxfId="9811" priority="5367"/>
    <cfRule type="duplicateValues" dxfId="9810" priority="5368"/>
    <cfRule type="duplicateValues" dxfId="9809" priority="5369"/>
    <cfRule type="duplicateValues" dxfId="9808" priority="5370"/>
    <cfRule type="duplicateValues" dxfId="9807" priority="5371"/>
    <cfRule type="duplicateValues" dxfId="9806" priority="5372"/>
    <cfRule type="duplicateValues" dxfId="9805" priority="5373"/>
    <cfRule type="duplicateValues" dxfId="9804" priority="5374"/>
    <cfRule type="duplicateValues" dxfId="9803" priority="5375"/>
    <cfRule type="duplicateValues" dxfId="9802" priority="5376"/>
    <cfRule type="duplicateValues" dxfId="9801" priority="5377"/>
    <cfRule type="duplicateValues" dxfId="9800" priority="5378"/>
    <cfRule type="duplicateValues" dxfId="9799" priority="5379"/>
    <cfRule type="duplicateValues" dxfId="9798" priority="5380"/>
    <cfRule type="duplicateValues" dxfId="9797" priority="5381"/>
    <cfRule type="duplicateValues" dxfId="9796" priority="5382"/>
    <cfRule type="duplicateValues" dxfId="9795" priority="5383"/>
    <cfRule type="duplicateValues" dxfId="9794" priority="5384"/>
    <cfRule type="duplicateValues" dxfId="9793" priority="5385"/>
    <cfRule type="duplicateValues" dxfId="9792" priority="5386"/>
    <cfRule type="duplicateValues" dxfId="9791" priority="5387"/>
    <cfRule type="duplicateValues" dxfId="9790" priority="5388"/>
    <cfRule type="duplicateValues" dxfId="9789" priority="5389"/>
    <cfRule type="duplicateValues" dxfId="9788" priority="5390"/>
    <cfRule type="duplicateValues" dxfId="9787" priority="5391"/>
    <cfRule type="duplicateValues" dxfId="9786" priority="5392"/>
    <cfRule type="duplicateValues" dxfId="9785" priority="5393"/>
    <cfRule type="duplicateValues" dxfId="9784" priority="5394"/>
    <cfRule type="duplicateValues" dxfId="9783" priority="5395"/>
    <cfRule type="duplicateValues" dxfId="9782" priority="5396"/>
    <cfRule type="duplicateValues" dxfId="9781" priority="5397"/>
    <cfRule type="duplicateValues" dxfId="9780" priority="5398"/>
    <cfRule type="duplicateValues" dxfId="9779" priority="5399"/>
    <cfRule type="duplicateValues" dxfId="9778" priority="5400"/>
    <cfRule type="duplicateValues" dxfId="9777" priority="5401"/>
    <cfRule type="duplicateValues" dxfId="9776" priority="5402"/>
    <cfRule type="duplicateValues" dxfId="9775" priority="5403"/>
    <cfRule type="duplicateValues" dxfId="9774" priority="5404"/>
    <cfRule type="duplicateValues" dxfId="9773" priority="5405"/>
    <cfRule type="duplicateValues" dxfId="9772" priority="5406"/>
    <cfRule type="duplicateValues" dxfId="9771" priority="5407"/>
    <cfRule type="duplicateValues" dxfId="9770" priority="5408"/>
    <cfRule type="duplicateValues" dxfId="9769" priority="5409"/>
    <cfRule type="duplicateValues" dxfId="9768" priority="5410"/>
    <cfRule type="duplicateValues" dxfId="9767" priority="5411"/>
    <cfRule type="duplicateValues" dxfId="9766" priority="5412"/>
  </conditionalFormatting>
  <conditionalFormatting sqref="C266">
    <cfRule type="duplicateValues" dxfId="9765" priority="15012"/>
    <cfRule type="duplicateValues" dxfId="9764" priority="15013"/>
    <cfRule type="duplicateValues" dxfId="9763" priority="15014"/>
    <cfRule type="duplicateValues" dxfId="9762" priority="15015"/>
    <cfRule type="duplicateValues" dxfId="9761" priority="15016"/>
    <cfRule type="duplicateValues" dxfId="9760" priority="15017"/>
    <cfRule type="duplicateValues" dxfId="9759" priority="15018"/>
    <cfRule type="duplicateValues" dxfId="9758" priority="15019"/>
    <cfRule type="duplicateValues" dxfId="9757" priority="15020"/>
    <cfRule type="duplicateValues" dxfId="9756" priority="15021"/>
    <cfRule type="duplicateValues" dxfId="9755" priority="15022"/>
    <cfRule type="duplicateValues" dxfId="9754" priority="15023"/>
    <cfRule type="duplicateValues" dxfId="9753" priority="15024"/>
    <cfRule type="duplicateValues" dxfId="9752" priority="15025"/>
    <cfRule type="duplicateValues" dxfId="9751" priority="15026"/>
    <cfRule type="duplicateValues" dxfId="9750" priority="15027"/>
    <cfRule type="duplicateValues" dxfId="9749" priority="15028"/>
    <cfRule type="duplicateValues" dxfId="9748" priority="15029"/>
    <cfRule type="duplicateValues" dxfId="9747" priority="15030"/>
    <cfRule type="duplicateValues" dxfId="9746" priority="15031"/>
    <cfRule type="duplicateValues" dxfId="9745" priority="15032"/>
    <cfRule type="duplicateValues" dxfId="9744" priority="15033"/>
    <cfRule type="duplicateValues" dxfId="9743" priority="15034"/>
    <cfRule type="duplicateValues" dxfId="9742" priority="15035"/>
    <cfRule type="duplicateValues" dxfId="9741" priority="15036"/>
    <cfRule type="duplicateValues" dxfId="9740" priority="15037"/>
    <cfRule type="duplicateValues" dxfId="9739" priority="15038"/>
    <cfRule type="duplicateValues" dxfId="9738" priority="15039"/>
    <cfRule type="duplicateValues" dxfId="9737" priority="15040"/>
    <cfRule type="duplicateValues" dxfId="9736" priority="15041"/>
    <cfRule type="duplicateValues" dxfId="9735" priority="15042"/>
    <cfRule type="duplicateValues" dxfId="9734" priority="15043"/>
    <cfRule type="duplicateValues" dxfId="9733" priority="15044"/>
    <cfRule type="duplicateValues" dxfId="9732" priority="15045"/>
    <cfRule type="duplicateValues" dxfId="9731" priority="15046"/>
    <cfRule type="duplicateValues" dxfId="9730" priority="15047"/>
    <cfRule type="duplicateValues" dxfId="9729" priority="15048"/>
    <cfRule type="duplicateValues" dxfId="9728" priority="15049"/>
    <cfRule type="duplicateValues" dxfId="9727" priority="15050"/>
    <cfRule type="duplicateValues" dxfId="9726" priority="15051"/>
    <cfRule type="duplicateValues" dxfId="9725" priority="15052"/>
    <cfRule type="duplicateValues" dxfId="9724" priority="15053"/>
    <cfRule type="duplicateValues" dxfId="9723" priority="15054"/>
    <cfRule type="duplicateValues" dxfId="9722" priority="15055"/>
    <cfRule type="duplicateValues" dxfId="9721" priority="15056"/>
    <cfRule type="duplicateValues" dxfId="9720" priority="15057"/>
    <cfRule type="duplicateValues" dxfId="9719" priority="15058"/>
    <cfRule type="duplicateValues" dxfId="9718" priority="15059"/>
    <cfRule type="duplicateValues" dxfId="9717" priority="15060"/>
    <cfRule type="duplicateValues" dxfId="9716" priority="15061"/>
    <cfRule type="duplicateValues" dxfId="9715" priority="15062"/>
    <cfRule type="duplicateValues" dxfId="9714" priority="15063"/>
    <cfRule type="duplicateValues" dxfId="9713" priority="15064"/>
    <cfRule type="duplicateValues" dxfId="9712" priority="15065"/>
    <cfRule type="duplicateValues" dxfId="9711" priority="15066"/>
    <cfRule type="duplicateValues" dxfId="9710" priority="15067"/>
    <cfRule type="duplicateValues" dxfId="9709" priority="15068"/>
    <cfRule type="duplicateValues" dxfId="9708" priority="15069"/>
    <cfRule type="duplicateValues" dxfId="9707" priority="15070"/>
    <cfRule type="duplicateValues" dxfId="9706" priority="15071"/>
    <cfRule type="duplicateValues" dxfId="9705" priority="15072"/>
    <cfRule type="duplicateValues" dxfId="9704" priority="15073"/>
    <cfRule type="duplicateValues" dxfId="9703" priority="15074"/>
    <cfRule type="duplicateValues" dxfId="9702" priority="15075"/>
    <cfRule type="duplicateValues" dxfId="9701" priority="15076"/>
    <cfRule type="duplicateValues" dxfId="9700" priority="15077"/>
    <cfRule type="duplicateValues" dxfId="9699" priority="15078"/>
    <cfRule type="duplicateValues" dxfId="9698" priority="15079"/>
    <cfRule type="duplicateValues" dxfId="9697" priority="15080"/>
    <cfRule type="duplicateValues" dxfId="9696" priority="15081"/>
    <cfRule type="duplicateValues" dxfId="9695" priority="15082"/>
    <cfRule type="duplicateValues" dxfId="9694" priority="15083"/>
    <cfRule type="duplicateValues" dxfId="9693" priority="15084"/>
    <cfRule type="duplicateValues" dxfId="9692" priority="15085"/>
    <cfRule type="duplicateValues" dxfId="9691" priority="15086"/>
    <cfRule type="duplicateValues" dxfId="9690" priority="15087"/>
    <cfRule type="duplicateValues" dxfId="9689" priority="15088"/>
    <cfRule type="duplicateValues" dxfId="9688" priority="15089"/>
    <cfRule type="duplicateValues" dxfId="9687" priority="15090"/>
    <cfRule type="duplicateValues" dxfId="9686" priority="15091"/>
    <cfRule type="duplicateValues" dxfId="9685" priority="15092"/>
    <cfRule type="duplicateValues" dxfId="9684" priority="15093"/>
    <cfRule type="duplicateValues" dxfId="9683" priority="15094"/>
    <cfRule type="duplicateValues" dxfId="9682" priority="15095"/>
    <cfRule type="duplicateValues" dxfId="9681" priority="15096"/>
    <cfRule type="duplicateValues" dxfId="9680" priority="15097"/>
    <cfRule type="duplicateValues" dxfId="9679" priority="15098"/>
    <cfRule type="duplicateValues" dxfId="9678" priority="15099"/>
    <cfRule type="duplicateValues" dxfId="9677" priority="15100"/>
    <cfRule type="duplicateValues" dxfId="9676" priority="15101"/>
    <cfRule type="duplicateValues" dxfId="9675" priority="15102"/>
    <cfRule type="duplicateValues" dxfId="9674" priority="15103"/>
    <cfRule type="duplicateValues" dxfId="9673" priority="15104"/>
    <cfRule type="duplicateValues" dxfId="9672" priority="15105"/>
    <cfRule type="duplicateValues" dxfId="9671" priority="15106"/>
    <cfRule type="duplicateValues" dxfId="9670" priority="15107"/>
    <cfRule type="duplicateValues" dxfId="9669" priority="15108"/>
    <cfRule type="duplicateValues" dxfId="9668" priority="15109"/>
    <cfRule type="duplicateValues" dxfId="9667" priority="15110"/>
    <cfRule type="duplicateValues" dxfId="9666" priority="15111"/>
    <cfRule type="duplicateValues" dxfId="9665" priority="15112"/>
    <cfRule type="duplicateValues" dxfId="9664" priority="15113"/>
    <cfRule type="duplicateValues" dxfId="9663" priority="15114"/>
    <cfRule type="duplicateValues" dxfId="9662" priority="15115"/>
    <cfRule type="duplicateValues" dxfId="9661" priority="15116"/>
    <cfRule type="duplicateValues" dxfId="9660" priority="15117"/>
    <cfRule type="duplicateValues" dxfId="9659" priority="15118"/>
    <cfRule type="duplicateValues" dxfId="9658" priority="15119"/>
    <cfRule type="duplicateValues" dxfId="9657" priority="15120"/>
    <cfRule type="duplicateValues" dxfId="9656" priority="15121"/>
    <cfRule type="duplicateValues" dxfId="9655" priority="15122"/>
    <cfRule type="duplicateValues" dxfId="9654" priority="15123"/>
    <cfRule type="duplicateValues" dxfId="9653" priority="15124"/>
    <cfRule type="duplicateValues" dxfId="9652" priority="15125"/>
    <cfRule type="duplicateValues" dxfId="9651" priority="15126"/>
    <cfRule type="duplicateValues" dxfId="9650" priority="15127"/>
    <cfRule type="duplicateValues" dxfId="9649" priority="15128"/>
    <cfRule type="duplicateValues" dxfId="9648" priority="15129"/>
    <cfRule type="duplicateValues" dxfId="9647" priority="15130"/>
    <cfRule type="duplicateValues" dxfId="9646" priority="15131"/>
    <cfRule type="duplicateValues" dxfId="9645" priority="15132"/>
    <cfRule type="duplicateValues" dxfId="9644" priority="15133"/>
    <cfRule type="duplicateValues" dxfId="9643" priority="15134"/>
    <cfRule type="duplicateValues" dxfId="9642" priority="15135"/>
    <cfRule type="duplicateValues" dxfId="9641" priority="15136"/>
    <cfRule type="duplicateValues" dxfId="9640" priority="15137"/>
    <cfRule type="duplicateValues" dxfId="9639" priority="15138"/>
    <cfRule type="duplicateValues" dxfId="9638" priority="15139"/>
    <cfRule type="duplicateValues" dxfId="9637" priority="15140"/>
    <cfRule type="duplicateValues" dxfId="9636" priority="15141"/>
    <cfRule type="duplicateValues" dxfId="9635" priority="15142"/>
    <cfRule type="duplicateValues" dxfId="9634" priority="15143"/>
    <cfRule type="duplicateValues" dxfId="9633" priority="15144"/>
    <cfRule type="duplicateValues" dxfId="9632" priority="15145"/>
    <cfRule type="duplicateValues" dxfId="9631" priority="15146"/>
    <cfRule type="duplicateValues" dxfId="9630" priority="15147"/>
    <cfRule type="duplicateValues" dxfId="9629" priority="15148"/>
    <cfRule type="duplicateValues" dxfId="9628" priority="15149"/>
    <cfRule type="duplicateValues" dxfId="9627" priority="15150"/>
    <cfRule type="duplicateValues" dxfId="9626" priority="15151"/>
    <cfRule type="duplicateValues" dxfId="9625" priority="15152"/>
    <cfRule type="duplicateValues" dxfId="9624" priority="15153"/>
    <cfRule type="duplicateValues" dxfId="9623" priority="15154"/>
    <cfRule type="duplicateValues" dxfId="9622" priority="15155"/>
    <cfRule type="duplicateValues" dxfId="9621" priority="15156"/>
    <cfRule type="duplicateValues" dxfId="9620" priority="15157"/>
    <cfRule type="duplicateValues" dxfId="9619" priority="15158"/>
    <cfRule type="duplicateValues" dxfId="9618" priority="15159"/>
    <cfRule type="duplicateValues" dxfId="9617" priority="15160"/>
    <cfRule type="duplicateValues" dxfId="9616" priority="15161"/>
    <cfRule type="duplicateValues" dxfId="9615" priority="15162"/>
    <cfRule type="duplicateValues" dxfId="9614" priority="15163"/>
    <cfRule type="duplicateValues" dxfId="9613" priority="15164"/>
    <cfRule type="duplicateValues" dxfId="9612" priority="15165"/>
    <cfRule type="duplicateValues" dxfId="9611" priority="15166"/>
    <cfRule type="duplicateValues" dxfId="9610" priority="15167"/>
    <cfRule type="duplicateValues" dxfId="9609" priority="15168"/>
    <cfRule type="duplicateValues" dxfId="9608" priority="15169"/>
    <cfRule type="duplicateValues" dxfId="9607" priority="15170"/>
    <cfRule type="duplicateValues" dxfId="9606" priority="15171"/>
    <cfRule type="duplicateValues" dxfId="9605" priority="15172"/>
    <cfRule type="duplicateValues" dxfId="9604" priority="15173"/>
    <cfRule type="duplicateValues" dxfId="9603" priority="15174"/>
    <cfRule type="duplicateValues" dxfId="9602" priority="15175"/>
    <cfRule type="duplicateValues" dxfId="9601" priority="15176"/>
    <cfRule type="duplicateValues" dxfId="9600" priority="15177"/>
    <cfRule type="duplicateValues" dxfId="9599" priority="15178"/>
    <cfRule type="duplicateValues" dxfId="9598" priority="15179"/>
    <cfRule type="duplicateValues" dxfId="9597" priority="15180"/>
    <cfRule type="duplicateValues" dxfId="9596" priority="15181"/>
    <cfRule type="duplicateValues" dxfId="9595" priority="15182"/>
    <cfRule type="duplicateValues" dxfId="9594" priority="15183"/>
    <cfRule type="duplicateValues" dxfId="9593" priority="15184"/>
    <cfRule type="duplicateValues" dxfId="9592" priority="15185"/>
    <cfRule type="duplicateValues" dxfId="9591" priority="15186"/>
    <cfRule type="duplicateValues" dxfId="9590" priority="15187"/>
    <cfRule type="duplicateValues" dxfId="9589" priority="15188"/>
    <cfRule type="duplicateValues" dxfId="9588" priority="15189"/>
    <cfRule type="duplicateValues" dxfId="9587" priority="15190"/>
    <cfRule type="duplicateValues" dxfId="9586" priority="15191"/>
    <cfRule type="duplicateValues" dxfId="9585" priority="15192"/>
    <cfRule type="duplicateValues" dxfId="9584" priority="15193"/>
    <cfRule type="duplicateValues" dxfId="9583" priority="15194"/>
    <cfRule type="duplicateValues" dxfId="9582" priority="15195"/>
    <cfRule type="duplicateValues" dxfId="9581" priority="15196"/>
    <cfRule type="duplicateValues" dxfId="9580" priority="15197"/>
    <cfRule type="duplicateValues" dxfId="9579" priority="15198"/>
    <cfRule type="duplicateValues" dxfId="9578" priority="15199"/>
    <cfRule type="duplicateValues" dxfId="9577" priority="15200"/>
    <cfRule type="duplicateValues" dxfId="9576" priority="15201"/>
    <cfRule type="duplicateValues" dxfId="9575" priority="15202"/>
    <cfRule type="duplicateValues" dxfId="9574" priority="15203"/>
    <cfRule type="duplicateValues" dxfId="9573" priority="15204"/>
    <cfRule type="duplicateValues" dxfId="9572" priority="15205"/>
    <cfRule type="duplicateValues" dxfId="9571" priority="15206"/>
    <cfRule type="duplicateValues" dxfId="9570" priority="15207"/>
    <cfRule type="duplicateValues" dxfId="9569" priority="15208"/>
    <cfRule type="duplicateValues" dxfId="9568" priority="15209"/>
    <cfRule type="duplicateValues" dxfId="9567" priority="15210"/>
    <cfRule type="duplicateValues" dxfId="9566" priority="15211"/>
    <cfRule type="duplicateValues" dxfId="9565" priority="15212"/>
    <cfRule type="duplicateValues" dxfId="9564" priority="15213"/>
    <cfRule type="duplicateValues" dxfId="9563" priority="15214"/>
    <cfRule type="duplicateValues" dxfId="9562" priority="15215"/>
    <cfRule type="duplicateValues" dxfId="9561" priority="15216"/>
    <cfRule type="duplicateValues" dxfId="9560" priority="15217"/>
    <cfRule type="duplicateValues" dxfId="9559" priority="15218"/>
    <cfRule type="duplicateValues" dxfId="9558" priority="15219"/>
    <cfRule type="duplicateValues" dxfId="9557" priority="15220"/>
    <cfRule type="duplicateValues" dxfId="9556" priority="15221"/>
    <cfRule type="duplicateValues" dxfId="9555" priority="15222"/>
    <cfRule type="duplicateValues" dxfId="9554" priority="15223"/>
    <cfRule type="duplicateValues" dxfId="9553" priority="15224"/>
    <cfRule type="duplicateValues" dxfId="9552" priority="15225"/>
    <cfRule type="duplicateValues" dxfId="9551" priority="15226"/>
    <cfRule type="duplicateValues" dxfId="9550" priority="15227"/>
    <cfRule type="duplicateValues" dxfId="9549" priority="15228"/>
    <cfRule type="duplicateValues" dxfId="9548" priority="15229"/>
    <cfRule type="duplicateValues" dxfId="9547" priority="15230"/>
    <cfRule type="duplicateValues" dxfId="9546" priority="15231"/>
    <cfRule type="duplicateValues" dxfId="9545" priority="15232"/>
    <cfRule type="duplicateValues" dxfId="9544" priority="15233"/>
    <cfRule type="duplicateValues" dxfId="9543" priority="15234"/>
    <cfRule type="duplicateValues" dxfId="9542" priority="15235"/>
    <cfRule type="duplicateValues" dxfId="9541" priority="15236"/>
    <cfRule type="duplicateValues" dxfId="9540" priority="15237"/>
    <cfRule type="duplicateValues" dxfId="9539" priority="15238"/>
    <cfRule type="duplicateValues" dxfId="9538" priority="15239"/>
    <cfRule type="duplicateValues" dxfId="9537" priority="15240"/>
    <cfRule type="duplicateValues" dxfId="9536" priority="15241"/>
    <cfRule type="duplicateValues" dxfId="9535" priority="15242"/>
    <cfRule type="duplicateValues" dxfId="9534" priority="15243"/>
    <cfRule type="duplicateValues" dxfId="9533" priority="15244"/>
    <cfRule type="duplicateValues" dxfId="9532" priority="15245"/>
    <cfRule type="duplicateValues" dxfId="9531" priority="15246"/>
    <cfRule type="duplicateValues" dxfId="9530" priority="15247"/>
    <cfRule type="duplicateValues" dxfId="9529" priority="15248"/>
    <cfRule type="duplicateValues" dxfId="9528" priority="15249"/>
    <cfRule type="duplicateValues" dxfId="9527" priority="15250"/>
    <cfRule type="duplicateValues" dxfId="9526" priority="15251"/>
    <cfRule type="duplicateValues" dxfId="9525" priority="15252"/>
    <cfRule type="duplicateValues" dxfId="9524" priority="15253"/>
    <cfRule type="duplicateValues" dxfId="9523" priority="15254"/>
    <cfRule type="duplicateValues" dxfId="9522" priority="15255"/>
    <cfRule type="duplicateValues" dxfId="9521" priority="15256"/>
    <cfRule type="duplicateValues" dxfId="9520" priority="15257"/>
    <cfRule type="duplicateValues" dxfId="9519" priority="15258"/>
    <cfRule type="duplicateValues" dxfId="9518" priority="15259"/>
    <cfRule type="duplicateValues" dxfId="9517" priority="15260"/>
    <cfRule type="duplicateValues" dxfId="9516" priority="15261"/>
    <cfRule type="duplicateValues" dxfId="9515" priority="15262"/>
    <cfRule type="duplicateValues" dxfId="9514" priority="15263"/>
    <cfRule type="duplicateValues" dxfId="9513" priority="15264"/>
    <cfRule type="duplicateValues" dxfId="9512" priority="15265"/>
    <cfRule type="duplicateValues" dxfId="9511" priority="15266"/>
    <cfRule type="duplicateValues" dxfId="9510" priority="15267"/>
    <cfRule type="duplicateValues" dxfId="9509" priority="15268"/>
    <cfRule type="duplicateValues" dxfId="9508" priority="15269"/>
    <cfRule type="duplicateValues" dxfId="9507" priority="15270"/>
    <cfRule type="duplicateValues" dxfId="9506" priority="15271"/>
    <cfRule type="duplicateValues" dxfId="9505" priority="15272"/>
    <cfRule type="duplicateValues" dxfId="9504" priority="15273"/>
    <cfRule type="duplicateValues" dxfId="9503" priority="15274"/>
    <cfRule type="duplicateValues" dxfId="9502" priority="15275"/>
    <cfRule type="duplicateValues" dxfId="9501" priority="15276"/>
    <cfRule type="duplicateValues" dxfId="9500" priority="15277"/>
    <cfRule type="duplicateValues" dxfId="9499" priority="15278"/>
    <cfRule type="duplicateValues" dxfId="9498" priority="15279"/>
    <cfRule type="duplicateValues" dxfId="9497" priority="15280"/>
    <cfRule type="duplicateValues" dxfId="9496" priority="15281"/>
    <cfRule type="duplicateValues" dxfId="9495" priority="15282"/>
    <cfRule type="duplicateValues" dxfId="9494" priority="15283"/>
    <cfRule type="duplicateValues" dxfId="9493" priority="15284"/>
    <cfRule type="duplicateValues" dxfId="9492" priority="15285"/>
    <cfRule type="duplicateValues" dxfId="9491" priority="15286"/>
    <cfRule type="duplicateValues" dxfId="9490" priority="15287"/>
    <cfRule type="duplicateValues" dxfId="9489" priority="15288"/>
    <cfRule type="duplicateValues" dxfId="9488" priority="15289"/>
    <cfRule type="duplicateValues" dxfId="9487" priority="15290"/>
    <cfRule type="duplicateValues" dxfId="9486" priority="15291"/>
    <cfRule type="duplicateValues" dxfId="9485" priority="15292"/>
    <cfRule type="duplicateValues" dxfId="9484" priority="15293"/>
    <cfRule type="duplicateValues" dxfId="9483" priority="15294"/>
    <cfRule type="duplicateValues" dxfId="9482" priority="15295"/>
    <cfRule type="duplicateValues" dxfId="9481" priority="15296"/>
    <cfRule type="duplicateValues" dxfId="9480" priority="15297"/>
    <cfRule type="duplicateValues" dxfId="9479" priority="15298"/>
    <cfRule type="duplicateValues" dxfId="9478" priority="15299"/>
    <cfRule type="duplicateValues" dxfId="9477" priority="15300"/>
    <cfRule type="duplicateValues" dxfId="9476" priority="15301"/>
    <cfRule type="duplicateValues" dxfId="9475" priority="15302"/>
    <cfRule type="duplicateValues" dxfId="9474" priority="15303"/>
    <cfRule type="duplicateValues" dxfId="9473" priority="15304"/>
    <cfRule type="duplicateValues" dxfId="9472" priority="15305"/>
    <cfRule type="duplicateValues" dxfId="9471" priority="15306"/>
    <cfRule type="duplicateValues" dxfId="9470" priority="15307"/>
    <cfRule type="duplicateValues" dxfId="9469" priority="15308"/>
    <cfRule type="duplicateValues" dxfId="9468" priority="15309"/>
    <cfRule type="duplicateValues" dxfId="9467" priority="15310"/>
    <cfRule type="duplicateValues" dxfId="9466" priority="15311"/>
    <cfRule type="duplicateValues" dxfId="9465" priority="15312"/>
    <cfRule type="duplicateValues" dxfId="9464" priority="15313"/>
    <cfRule type="duplicateValues" dxfId="9463" priority="15314"/>
    <cfRule type="duplicateValues" dxfId="9462" priority="15315"/>
    <cfRule type="duplicateValues" dxfId="9461" priority="15316"/>
    <cfRule type="duplicateValues" dxfId="9460" priority="15317"/>
    <cfRule type="duplicateValues" dxfId="9459" priority="15318"/>
    <cfRule type="duplicateValues" dxfId="9458" priority="15319"/>
    <cfRule type="duplicateValues" dxfId="9457" priority="15320"/>
    <cfRule type="duplicateValues" dxfId="9456" priority="15321"/>
    <cfRule type="duplicateValues" dxfId="9455" priority="15322"/>
    <cfRule type="duplicateValues" dxfId="9454" priority="15323"/>
    <cfRule type="duplicateValues" dxfId="9453" priority="15324"/>
    <cfRule type="duplicateValues" dxfId="9452" priority="15325"/>
    <cfRule type="duplicateValues" dxfId="9451" priority="15326"/>
    <cfRule type="duplicateValues" dxfId="9450" priority="15327"/>
    <cfRule type="duplicateValues" dxfId="9449" priority="15328"/>
    <cfRule type="duplicateValues" dxfId="9448" priority="15329"/>
    <cfRule type="duplicateValues" dxfId="9447" priority="15330"/>
    <cfRule type="duplicateValues" dxfId="9446" priority="15331"/>
    <cfRule type="duplicateValues" dxfId="9445" priority="15332"/>
    <cfRule type="duplicateValues" dxfId="9444" priority="15333"/>
    <cfRule type="duplicateValues" dxfId="9443" priority="15334"/>
    <cfRule type="duplicateValues" dxfId="9442" priority="15335"/>
    <cfRule type="duplicateValues" dxfId="9441" priority="15336"/>
    <cfRule type="duplicateValues" dxfId="9440" priority="15337"/>
    <cfRule type="duplicateValues" dxfId="9439" priority="15338"/>
    <cfRule type="duplicateValues" dxfId="9438" priority="15339"/>
    <cfRule type="duplicateValues" dxfId="9437" priority="15340"/>
    <cfRule type="duplicateValues" dxfId="9436" priority="15341"/>
    <cfRule type="duplicateValues" dxfId="9435" priority="15342"/>
    <cfRule type="duplicateValues" dxfId="9434" priority="15343"/>
    <cfRule type="duplicateValues" dxfId="9433" priority="15344"/>
    <cfRule type="duplicateValues" dxfId="9432" priority="15345"/>
    <cfRule type="duplicateValues" dxfId="9431" priority="15346"/>
    <cfRule type="duplicateValues" dxfId="9430" priority="15347"/>
    <cfRule type="duplicateValues" dxfId="9429" priority="15348"/>
    <cfRule type="duplicateValues" dxfId="9428" priority="15349"/>
    <cfRule type="duplicateValues" dxfId="9427" priority="15350"/>
    <cfRule type="duplicateValues" dxfId="9426" priority="15351"/>
    <cfRule type="duplicateValues" dxfId="9425" priority="15352"/>
    <cfRule type="duplicateValues" dxfId="9424" priority="15353"/>
    <cfRule type="duplicateValues" dxfId="9423" priority="15354"/>
    <cfRule type="duplicateValues" dxfId="9422" priority="15355"/>
    <cfRule type="duplicateValues" dxfId="9421" priority="15356"/>
  </conditionalFormatting>
  <conditionalFormatting sqref="C267:C268">
    <cfRule type="duplicateValues" dxfId="9420" priority="4723"/>
    <cfRule type="duplicateValues" dxfId="9419" priority="4724"/>
    <cfRule type="duplicateValues" dxfId="9418" priority="4725"/>
    <cfRule type="duplicateValues" dxfId="9417" priority="4726"/>
    <cfRule type="duplicateValues" dxfId="9416" priority="4727"/>
    <cfRule type="duplicateValues" dxfId="9415" priority="4728"/>
    <cfRule type="duplicateValues" dxfId="9414" priority="4729"/>
    <cfRule type="duplicateValues" dxfId="9413" priority="4730"/>
    <cfRule type="duplicateValues" dxfId="9412" priority="4731"/>
    <cfRule type="duplicateValues" dxfId="9411" priority="4732"/>
    <cfRule type="duplicateValues" dxfId="9410" priority="4733"/>
    <cfRule type="duplicateValues" dxfId="9409" priority="4734"/>
    <cfRule type="duplicateValues" dxfId="9408" priority="4735"/>
    <cfRule type="duplicateValues" dxfId="9407" priority="4736"/>
    <cfRule type="duplicateValues" dxfId="9406" priority="4737"/>
    <cfRule type="duplicateValues" dxfId="9405" priority="4738"/>
    <cfRule type="duplicateValues" dxfId="9404" priority="4739"/>
    <cfRule type="duplicateValues" dxfId="9403" priority="4740"/>
    <cfRule type="duplicateValues" dxfId="9402" priority="4741"/>
    <cfRule type="duplicateValues" dxfId="9401" priority="4742"/>
    <cfRule type="duplicateValues" dxfId="9400" priority="4743"/>
    <cfRule type="duplicateValues" dxfId="9399" priority="4744"/>
    <cfRule type="duplicateValues" dxfId="9398" priority="4745"/>
    <cfRule type="duplicateValues" dxfId="9397" priority="4746"/>
    <cfRule type="duplicateValues" dxfId="9396" priority="4747"/>
    <cfRule type="duplicateValues" dxfId="9395" priority="4748"/>
    <cfRule type="duplicateValues" dxfId="9394" priority="4749"/>
    <cfRule type="duplicateValues" dxfId="9393" priority="4750"/>
    <cfRule type="duplicateValues" dxfId="9392" priority="4751"/>
    <cfRule type="duplicateValues" dxfId="9391" priority="4752"/>
    <cfRule type="duplicateValues" dxfId="9390" priority="4753"/>
    <cfRule type="duplicateValues" dxfId="9389" priority="4754"/>
    <cfRule type="duplicateValues" dxfId="9388" priority="4755"/>
    <cfRule type="duplicateValues" dxfId="9387" priority="4756"/>
    <cfRule type="duplicateValues" dxfId="9386" priority="4757"/>
    <cfRule type="duplicateValues" dxfId="9385" priority="4758"/>
    <cfRule type="duplicateValues" dxfId="9384" priority="4759"/>
    <cfRule type="duplicateValues" dxfId="9383" priority="4760"/>
    <cfRule type="duplicateValues" dxfId="9382" priority="4761"/>
    <cfRule type="duplicateValues" dxfId="9381" priority="4762"/>
    <cfRule type="duplicateValues" dxfId="9380" priority="4763"/>
    <cfRule type="duplicateValues" dxfId="9379" priority="4764"/>
    <cfRule type="duplicateValues" dxfId="9378" priority="4765"/>
    <cfRule type="duplicateValues" dxfId="9377" priority="4766"/>
    <cfRule type="duplicateValues" dxfId="9376" priority="4767"/>
    <cfRule type="duplicateValues" dxfId="9375" priority="4768"/>
    <cfRule type="duplicateValues" dxfId="9374" priority="4769"/>
    <cfRule type="duplicateValues" dxfId="9373" priority="4770"/>
    <cfRule type="duplicateValues" dxfId="9372" priority="4771"/>
    <cfRule type="duplicateValues" dxfId="9371" priority="4772"/>
    <cfRule type="duplicateValues" dxfId="9370" priority="4773"/>
    <cfRule type="duplicateValues" dxfId="9369" priority="4774"/>
    <cfRule type="duplicateValues" dxfId="9368" priority="4775"/>
    <cfRule type="duplicateValues" dxfId="9367" priority="4776"/>
    <cfRule type="duplicateValues" dxfId="9366" priority="4777"/>
    <cfRule type="duplicateValues" dxfId="9365" priority="4778"/>
    <cfRule type="duplicateValues" dxfId="9364" priority="4779"/>
    <cfRule type="duplicateValues" dxfId="9363" priority="4780"/>
    <cfRule type="duplicateValues" dxfId="9362" priority="4781"/>
    <cfRule type="duplicateValues" dxfId="9361" priority="4782"/>
    <cfRule type="duplicateValues" dxfId="9360" priority="4783"/>
    <cfRule type="duplicateValues" dxfId="9359" priority="4784"/>
    <cfRule type="duplicateValues" dxfId="9358" priority="4785"/>
    <cfRule type="duplicateValues" dxfId="9357" priority="4786"/>
    <cfRule type="duplicateValues" dxfId="9356" priority="4787"/>
    <cfRule type="duplicateValues" dxfId="9355" priority="4788"/>
    <cfRule type="duplicateValues" dxfId="9354" priority="4789"/>
    <cfRule type="duplicateValues" dxfId="9353" priority="4790"/>
    <cfRule type="duplicateValues" dxfId="9352" priority="4791"/>
    <cfRule type="duplicateValues" dxfId="9351" priority="4792"/>
    <cfRule type="duplicateValues" dxfId="9350" priority="4793"/>
    <cfRule type="duplicateValues" dxfId="9349" priority="4794"/>
    <cfRule type="duplicateValues" dxfId="9348" priority="4795"/>
    <cfRule type="duplicateValues" dxfId="9347" priority="4796"/>
    <cfRule type="duplicateValues" dxfId="9346" priority="4797"/>
    <cfRule type="duplicateValues" dxfId="9345" priority="4798"/>
    <cfRule type="duplicateValues" dxfId="9344" priority="4799"/>
    <cfRule type="duplicateValues" dxfId="9343" priority="4800"/>
    <cfRule type="duplicateValues" dxfId="9342" priority="4801"/>
    <cfRule type="duplicateValues" dxfId="9341" priority="4802"/>
    <cfRule type="duplicateValues" dxfId="9340" priority="4803"/>
    <cfRule type="duplicateValues" dxfId="9339" priority="4804"/>
    <cfRule type="duplicateValues" dxfId="9338" priority="4805"/>
    <cfRule type="duplicateValues" dxfId="9337" priority="4806"/>
    <cfRule type="duplicateValues" dxfId="9336" priority="4807"/>
    <cfRule type="duplicateValues" dxfId="9335" priority="4808"/>
    <cfRule type="duplicateValues" dxfId="9334" priority="4809"/>
    <cfRule type="duplicateValues" dxfId="9333" priority="4810"/>
    <cfRule type="duplicateValues" dxfId="9332" priority="4811"/>
    <cfRule type="duplicateValues" dxfId="9331" priority="4812"/>
    <cfRule type="duplicateValues" dxfId="9330" priority="4813"/>
    <cfRule type="duplicateValues" dxfId="9329" priority="4814"/>
    <cfRule type="duplicateValues" dxfId="9328" priority="4815"/>
    <cfRule type="duplicateValues" dxfId="9327" priority="4816"/>
    <cfRule type="duplicateValues" dxfId="9326" priority="4817"/>
    <cfRule type="duplicateValues" dxfId="9325" priority="4818"/>
    <cfRule type="duplicateValues" dxfId="9324" priority="4819"/>
    <cfRule type="duplicateValues" dxfId="9323" priority="4820"/>
    <cfRule type="duplicateValues" dxfId="9322" priority="4821"/>
    <cfRule type="duplicateValues" dxfId="9321" priority="4822"/>
    <cfRule type="duplicateValues" dxfId="9320" priority="4823"/>
    <cfRule type="duplicateValues" dxfId="9319" priority="4824"/>
    <cfRule type="duplicateValues" dxfId="9318" priority="4825"/>
    <cfRule type="duplicateValues" dxfId="9317" priority="4826"/>
    <cfRule type="duplicateValues" dxfId="9316" priority="4827"/>
    <cfRule type="duplicateValues" dxfId="9315" priority="4828"/>
    <cfRule type="duplicateValues" dxfId="9314" priority="4829"/>
    <cfRule type="duplicateValues" dxfId="9313" priority="4830"/>
    <cfRule type="duplicateValues" dxfId="9312" priority="4831"/>
    <cfRule type="duplicateValues" dxfId="9311" priority="4832"/>
    <cfRule type="duplicateValues" dxfId="9310" priority="4833"/>
    <cfRule type="duplicateValues" dxfId="9309" priority="4834"/>
    <cfRule type="duplicateValues" dxfId="9308" priority="4835"/>
    <cfRule type="duplicateValues" dxfId="9307" priority="4836"/>
    <cfRule type="duplicateValues" dxfId="9306" priority="4837"/>
    <cfRule type="duplicateValues" dxfId="9305" priority="4838"/>
    <cfRule type="duplicateValues" dxfId="9304" priority="4839"/>
    <cfRule type="duplicateValues" dxfId="9303" priority="4840"/>
    <cfRule type="duplicateValues" dxfId="9302" priority="4841"/>
    <cfRule type="duplicateValues" dxfId="9301" priority="4842"/>
    <cfRule type="duplicateValues" dxfId="9300" priority="4843"/>
    <cfRule type="duplicateValues" dxfId="9299" priority="4844"/>
    <cfRule type="duplicateValues" dxfId="9298" priority="4845"/>
    <cfRule type="duplicateValues" dxfId="9297" priority="4846"/>
    <cfRule type="duplicateValues" dxfId="9296" priority="4847"/>
    <cfRule type="duplicateValues" dxfId="9295" priority="4848"/>
    <cfRule type="duplicateValues" dxfId="9294" priority="4849"/>
    <cfRule type="duplicateValues" dxfId="9293" priority="4850"/>
    <cfRule type="duplicateValues" dxfId="9292" priority="4851"/>
    <cfRule type="duplicateValues" dxfId="9291" priority="4852"/>
    <cfRule type="duplicateValues" dxfId="9290" priority="4853"/>
    <cfRule type="duplicateValues" dxfId="9289" priority="4854"/>
    <cfRule type="duplicateValues" dxfId="9288" priority="4855"/>
    <cfRule type="duplicateValues" dxfId="9287" priority="4856"/>
    <cfRule type="duplicateValues" dxfId="9286" priority="4857"/>
    <cfRule type="duplicateValues" dxfId="9285" priority="4858"/>
    <cfRule type="duplicateValues" dxfId="9284" priority="4859"/>
    <cfRule type="duplicateValues" dxfId="9283" priority="4860"/>
    <cfRule type="duplicateValues" dxfId="9282" priority="4861"/>
    <cfRule type="duplicateValues" dxfId="9281" priority="4862"/>
    <cfRule type="duplicateValues" dxfId="9280" priority="4863"/>
    <cfRule type="duplicateValues" dxfId="9279" priority="4864"/>
    <cfRule type="duplicateValues" dxfId="9278" priority="4865"/>
    <cfRule type="duplicateValues" dxfId="9277" priority="4866"/>
    <cfRule type="duplicateValues" dxfId="9276" priority="4867"/>
    <cfRule type="duplicateValues" dxfId="9275" priority="4868"/>
    <cfRule type="duplicateValues" dxfId="9274" priority="4869"/>
    <cfRule type="duplicateValues" dxfId="9273" priority="4870"/>
    <cfRule type="duplicateValues" dxfId="9272" priority="4871"/>
    <cfRule type="duplicateValues" dxfId="9271" priority="4872"/>
    <cfRule type="duplicateValues" dxfId="9270" priority="4873"/>
    <cfRule type="duplicateValues" dxfId="9269" priority="4874"/>
    <cfRule type="duplicateValues" dxfId="9268" priority="4875"/>
    <cfRule type="duplicateValues" dxfId="9267" priority="4876"/>
    <cfRule type="duplicateValues" dxfId="9266" priority="4877"/>
    <cfRule type="duplicateValues" dxfId="9265" priority="4878"/>
    <cfRule type="duplicateValues" dxfId="9264" priority="4879"/>
    <cfRule type="duplicateValues" dxfId="9263" priority="4880"/>
    <cfRule type="duplicateValues" dxfId="9262" priority="4881"/>
    <cfRule type="duplicateValues" dxfId="9261" priority="4882"/>
    <cfRule type="duplicateValues" dxfId="9260" priority="4883"/>
    <cfRule type="duplicateValues" dxfId="9259" priority="4884"/>
    <cfRule type="duplicateValues" dxfId="9258" priority="4885"/>
    <cfRule type="duplicateValues" dxfId="9257" priority="4886"/>
    <cfRule type="duplicateValues" dxfId="9256" priority="4887"/>
    <cfRule type="duplicateValues" dxfId="9255" priority="4888"/>
    <cfRule type="duplicateValues" dxfId="9254" priority="4889"/>
    <cfRule type="duplicateValues" dxfId="9253" priority="4890"/>
    <cfRule type="duplicateValues" dxfId="9252" priority="4891"/>
    <cfRule type="duplicateValues" dxfId="9251" priority="4892"/>
    <cfRule type="duplicateValues" dxfId="9250" priority="4893"/>
    <cfRule type="duplicateValues" dxfId="9249" priority="4894"/>
    <cfRule type="duplicateValues" dxfId="9248" priority="4895"/>
    <cfRule type="duplicateValues" dxfId="9247" priority="4896"/>
    <cfRule type="duplicateValues" dxfId="9246" priority="4897"/>
    <cfRule type="duplicateValues" dxfId="9245" priority="4898"/>
    <cfRule type="duplicateValues" dxfId="9244" priority="4899"/>
    <cfRule type="duplicateValues" dxfId="9243" priority="4900"/>
    <cfRule type="duplicateValues" dxfId="9242" priority="4901"/>
    <cfRule type="duplicateValues" dxfId="9241" priority="4902"/>
    <cfRule type="duplicateValues" dxfId="9240" priority="4903"/>
    <cfRule type="duplicateValues" dxfId="9239" priority="4904"/>
    <cfRule type="duplicateValues" dxfId="9238" priority="4905"/>
    <cfRule type="duplicateValues" dxfId="9237" priority="4906"/>
    <cfRule type="duplicateValues" dxfId="9236" priority="4907"/>
    <cfRule type="duplicateValues" dxfId="9235" priority="4908"/>
    <cfRule type="duplicateValues" dxfId="9234" priority="4909"/>
    <cfRule type="duplicateValues" dxfId="9233" priority="4910"/>
    <cfRule type="duplicateValues" dxfId="9232" priority="4911"/>
    <cfRule type="duplicateValues" dxfId="9231" priority="4912"/>
    <cfRule type="duplicateValues" dxfId="9230" priority="4913"/>
    <cfRule type="duplicateValues" dxfId="9229" priority="4914"/>
    <cfRule type="duplicateValues" dxfId="9228" priority="4915"/>
    <cfRule type="duplicateValues" dxfId="9227" priority="4916"/>
    <cfRule type="duplicateValues" dxfId="9226" priority="4917"/>
    <cfRule type="duplicateValues" dxfId="9225" priority="4918"/>
    <cfRule type="duplicateValues" dxfId="9224" priority="4919"/>
    <cfRule type="duplicateValues" dxfId="9223" priority="4920"/>
    <cfRule type="duplicateValues" dxfId="9222" priority="4921"/>
    <cfRule type="duplicateValues" dxfId="9221" priority="4922"/>
    <cfRule type="duplicateValues" dxfId="9220" priority="4923"/>
    <cfRule type="duplicateValues" dxfId="9219" priority="4924"/>
    <cfRule type="duplicateValues" dxfId="9218" priority="4925"/>
    <cfRule type="duplicateValues" dxfId="9217" priority="4926"/>
    <cfRule type="duplicateValues" dxfId="9216" priority="4927"/>
    <cfRule type="duplicateValues" dxfId="9215" priority="4928"/>
    <cfRule type="duplicateValues" dxfId="9214" priority="4929"/>
    <cfRule type="duplicateValues" dxfId="9213" priority="4930"/>
    <cfRule type="duplicateValues" dxfId="9212" priority="4931"/>
    <cfRule type="duplicateValues" dxfId="9211" priority="4932"/>
    <cfRule type="duplicateValues" dxfId="9210" priority="4933"/>
    <cfRule type="duplicateValues" dxfId="9209" priority="4934"/>
    <cfRule type="duplicateValues" dxfId="9208" priority="4935"/>
    <cfRule type="duplicateValues" dxfId="9207" priority="4936"/>
    <cfRule type="duplicateValues" dxfId="9206" priority="4937"/>
    <cfRule type="duplicateValues" dxfId="9205" priority="4938"/>
    <cfRule type="duplicateValues" dxfId="9204" priority="4939"/>
    <cfRule type="duplicateValues" dxfId="9203" priority="4940"/>
    <cfRule type="duplicateValues" dxfId="9202" priority="4941"/>
    <cfRule type="duplicateValues" dxfId="9201" priority="4942"/>
    <cfRule type="duplicateValues" dxfId="9200" priority="4943"/>
    <cfRule type="duplicateValues" dxfId="9199" priority="4944"/>
    <cfRule type="duplicateValues" dxfId="9198" priority="4945"/>
    <cfRule type="duplicateValues" dxfId="9197" priority="4946"/>
    <cfRule type="duplicateValues" dxfId="9196" priority="4947"/>
    <cfRule type="duplicateValues" dxfId="9195" priority="4948"/>
    <cfRule type="duplicateValues" dxfId="9194" priority="4949"/>
    <cfRule type="duplicateValues" dxfId="9193" priority="4950"/>
    <cfRule type="duplicateValues" dxfId="9192" priority="4951"/>
    <cfRule type="duplicateValues" dxfId="9191" priority="4952"/>
    <cfRule type="duplicateValues" dxfId="9190" priority="4953"/>
    <cfRule type="duplicateValues" dxfId="9189" priority="4954"/>
    <cfRule type="duplicateValues" dxfId="9188" priority="4955"/>
    <cfRule type="duplicateValues" dxfId="9187" priority="4956"/>
    <cfRule type="duplicateValues" dxfId="9186" priority="4957"/>
    <cfRule type="duplicateValues" dxfId="9185" priority="4958"/>
    <cfRule type="duplicateValues" dxfId="9184" priority="4959"/>
    <cfRule type="duplicateValues" dxfId="9183" priority="4960"/>
    <cfRule type="duplicateValues" dxfId="9182" priority="4961"/>
    <cfRule type="duplicateValues" dxfId="9181" priority="4962"/>
    <cfRule type="duplicateValues" dxfId="9180" priority="4963"/>
    <cfRule type="duplicateValues" dxfId="9179" priority="4964"/>
    <cfRule type="duplicateValues" dxfId="9178" priority="4965"/>
    <cfRule type="duplicateValues" dxfId="9177" priority="4966"/>
    <cfRule type="duplicateValues" dxfId="9176" priority="4967"/>
    <cfRule type="duplicateValues" dxfId="9175" priority="4968"/>
    <cfRule type="duplicateValues" dxfId="9174" priority="4969"/>
    <cfRule type="duplicateValues" dxfId="9173" priority="4970"/>
    <cfRule type="duplicateValues" dxfId="9172" priority="4971"/>
    <cfRule type="duplicateValues" dxfId="9171" priority="4972"/>
    <cfRule type="duplicateValues" dxfId="9170" priority="4973"/>
    <cfRule type="duplicateValues" dxfId="9169" priority="4974"/>
    <cfRule type="duplicateValues" dxfId="9168" priority="4975"/>
    <cfRule type="duplicateValues" dxfId="9167" priority="4976"/>
    <cfRule type="duplicateValues" dxfId="9166" priority="4977"/>
    <cfRule type="duplicateValues" dxfId="9165" priority="4978"/>
    <cfRule type="duplicateValues" dxfId="9164" priority="4979"/>
    <cfRule type="duplicateValues" dxfId="9163" priority="4980"/>
    <cfRule type="duplicateValues" dxfId="9162" priority="4981"/>
    <cfRule type="duplicateValues" dxfId="9161" priority="4982"/>
    <cfRule type="duplicateValues" dxfId="9160" priority="4983"/>
    <cfRule type="duplicateValues" dxfId="9159" priority="4984"/>
    <cfRule type="duplicateValues" dxfId="9158" priority="4985"/>
    <cfRule type="duplicateValues" dxfId="9157" priority="4986"/>
    <cfRule type="duplicateValues" dxfId="9156" priority="4987"/>
    <cfRule type="duplicateValues" dxfId="9155" priority="4988"/>
    <cfRule type="duplicateValues" dxfId="9154" priority="4989"/>
    <cfRule type="duplicateValues" dxfId="9153" priority="4990"/>
    <cfRule type="duplicateValues" dxfId="9152" priority="4991"/>
    <cfRule type="duplicateValues" dxfId="9151" priority="4992"/>
    <cfRule type="duplicateValues" dxfId="9150" priority="4993"/>
    <cfRule type="duplicateValues" dxfId="9149" priority="4994"/>
    <cfRule type="duplicateValues" dxfId="9148" priority="4995"/>
    <cfRule type="duplicateValues" dxfId="9147" priority="4996"/>
    <cfRule type="duplicateValues" dxfId="9146" priority="4997"/>
    <cfRule type="duplicateValues" dxfId="9145" priority="4998"/>
    <cfRule type="duplicateValues" dxfId="9144" priority="4999"/>
    <cfRule type="duplicateValues" dxfId="9143" priority="5000"/>
    <cfRule type="duplicateValues" dxfId="9142" priority="5001"/>
    <cfRule type="duplicateValues" dxfId="9141" priority="5002"/>
    <cfRule type="duplicateValues" dxfId="9140" priority="5003"/>
    <cfRule type="duplicateValues" dxfId="9139" priority="5004"/>
    <cfRule type="duplicateValues" dxfId="9138" priority="5005"/>
    <cfRule type="duplicateValues" dxfId="9137" priority="5006"/>
    <cfRule type="duplicateValues" dxfId="9136" priority="5007"/>
    <cfRule type="duplicateValues" dxfId="9135" priority="5008"/>
    <cfRule type="duplicateValues" dxfId="9134" priority="5009"/>
    <cfRule type="duplicateValues" dxfId="9133" priority="5010"/>
    <cfRule type="duplicateValues" dxfId="9132" priority="5011"/>
    <cfRule type="duplicateValues" dxfId="9131" priority="5012"/>
    <cfRule type="duplicateValues" dxfId="9130" priority="5013"/>
    <cfRule type="duplicateValues" dxfId="9129" priority="5014"/>
    <cfRule type="duplicateValues" dxfId="9128" priority="5015"/>
    <cfRule type="duplicateValues" dxfId="9127" priority="5016"/>
    <cfRule type="duplicateValues" dxfId="9126" priority="5017"/>
    <cfRule type="duplicateValues" dxfId="9125" priority="5018"/>
    <cfRule type="duplicateValues" dxfId="9124" priority="5019"/>
    <cfRule type="duplicateValues" dxfId="9123" priority="5020"/>
    <cfRule type="duplicateValues" dxfId="9122" priority="5021"/>
    <cfRule type="duplicateValues" dxfId="9121" priority="5022"/>
    <cfRule type="duplicateValues" dxfId="9120" priority="5023"/>
    <cfRule type="duplicateValues" dxfId="9119" priority="5024"/>
    <cfRule type="duplicateValues" dxfId="9118" priority="5025"/>
    <cfRule type="duplicateValues" dxfId="9117" priority="5026"/>
    <cfRule type="duplicateValues" dxfId="9116" priority="5027"/>
    <cfRule type="duplicateValues" dxfId="9115" priority="5028"/>
    <cfRule type="duplicateValues" dxfId="9114" priority="5029"/>
    <cfRule type="duplicateValues" dxfId="9113" priority="5030"/>
    <cfRule type="duplicateValues" dxfId="9112" priority="5031"/>
    <cfRule type="duplicateValues" dxfId="9111" priority="5032"/>
    <cfRule type="duplicateValues" dxfId="9110" priority="5033"/>
    <cfRule type="duplicateValues" dxfId="9109" priority="5034"/>
    <cfRule type="duplicateValues" dxfId="9108" priority="5035"/>
    <cfRule type="duplicateValues" dxfId="9107" priority="5036"/>
    <cfRule type="duplicateValues" dxfId="9106" priority="5037"/>
    <cfRule type="duplicateValues" dxfId="9105" priority="5038"/>
    <cfRule type="duplicateValues" dxfId="9104" priority="5039"/>
    <cfRule type="duplicateValues" dxfId="9103" priority="5040"/>
    <cfRule type="duplicateValues" dxfId="9102" priority="5041"/>
    <cfRule type="duplicateValues" dxfId="9101" priority="5042"/>
    <cfRule type="duplicateValues" dxfId="9100" priority="5043"/>
    <cfRule type="duplicateValues" dxfId="9099" priority="5044"/>
    <cfRule type="duplicateValues" dxfId="9098" priority="5045"/>
    <cfRule type="duplicateValues" dxfId="9097" priority="5046"/>
    <cfRule type="duplicateValues" dxfId="9096" priority="5047"/>
    <cfRule type="duplicateValues" dxfId="9095" priority="5048"/>
    <cfRule type="duplicateValues" dxfId="9094" priority="5049"/>
    <cfRule type="duplicateValues" dxfId="9093" priority="5050"/>
    <cfRule type="duplicateValues" dxfId="9092" priority="5051"/>
    <cfRule type="duplicateValues" dxfId="9091" priority="5052"/>
    <cfRule type="duplicateValues" dxfId="9090" priority="5053"/>
    <cfRule type="duplicateValues" dxfId="9089" priority="5054"/>
    <cfRule type="duplicateValues" dxfId="9088" priority="5055"/>
    <cfRule type="duplicateValues" dxfId="9087" priority="5056"/>
    <cfRule type="duplicateValues" dxfId="9086" priority="5057"/>
    <cfRule type="duplicateValues" dxfId="9085" priority="5058"/>
    <cfRule type="duplicateValues" dxfId="9084" priority="5059"/>
    <cfRule type="duplicateValues" dxfId="9083" priority="5060"/>
    <cfRule type="duplicateValues" dxfId="9082" priority="5061"/>
    <cfRule type="duplicateValues" dxfId="9081" priority="5062"/>
    <cfRule type="duplicateValues" dxfId="9080" priority="5063"/>
    <cfRule type="duplicateValues" dxfId="9079" priority="5064"/>
    <cfRule type="duplicateValues" dxfId="9078" priority="5065"/>
    <cfRule type="duplicateValues" dxfId="9077" priority="5066"/>
    <cfRule type="duplicateValues" dxfId="9076" priority="5067"/>
  </conditionalFormatting>
  <conditionalFormatting sqref="C269">
    <cfRule type="duplicateValues" dxfId="9075" priority="14667"/>
    <cfRule type="duplicateValues" dxfId="9074" priority="14668"/>
    <cfRule type="duplicateValues" dxfId="9073" priority="14669"/>
    <cfRule type="duplicateValues" dxfId="9072" priority="14670"/>
    <cfRule type="duplicateValues" dxfId="9071" priority="14671"/>
    <cfRule type="duplicateValues" dxfId="9070" priority="14672"/>
    <cfRule type="duplicateValues" dxfId="9069" priority="14673"/>
    <cfRule type="duplicateValues" dxfId="9068" priority="14674"/>
    <cfRule type="duplicateValues" dxfId="9067" priority="14675"/>
    <cfRule type="duplicateValues" dxfId="9066" priority="14676"/>
    <cfRule type="duplicateValues" dxfId="9065" priority="14677"/>
    <cfRule type="duplicateValues" dxfId="9064" priority="14678"/>
    <cfRule type="duplicateValues" dxfId="9063" priority="14679"/>
    <cfRule type="duplicateValues" dxfId="9062" priority="14680"/>
    <cfRule type="duplicateValues" dxfId="9061" priority="14681"/>
    <cfRule type="duplicateValues" dxfId="9060" priority="14682"/>
    <cfRule type="duplicateValues" dxfId="9059" priority="14683"/>
    <cfRule type="duplicateValues" dxfId="9058" priority="14684"/>
    <cfRule type="duplicateValues" dxfId="9057" priority="14685"/>
    <cfRule type="duplicateValues" dxfId="9056" priority="14686"/>
    <cfRule type="duplicateValues" dxfId="9055" priority="14687"/>
    <cfRule type="duplicateValues" dxfId="9054" priority="14688"/>
    <cfRule type="duplicateValues" dxfId="9053" priority="14689"/>
    <cfRule type="duplicateValues" dxfId="9052" priority="14690"/>
    <cfRule type="duplicateValues" dxfId="9051" priority="14691"/>
    <cfRule type="duplicateValues" dxfId="9050" priority="14692"/>
    <cfRule type="duplicateValues" dxfId="9049" priority="14693"/>
    <cfRule type="duplicateValues" dxfId="9048" priority="14694"/>
    <cfRule type="duplicateValues" dxfId="9047" priority="14695"/>
    <cfRule type="duplicateValues" dxfId="9046" priority="14696"/>
    <cfRule type="duplicateValues" dxfId="9045" priority="14697"/>
    <cfRule type="duplicateValues" dxfId="9044" priority="14698"/>
    <cfRule type="duplicateValues" dxfId="9043" priority="14699"/>
    <cfRule type="duplicateValues" dxfId="9042" priority="14700"/>
    <cfRule type="duplicateValues" dxfId="9041" priority="14701"/>
    <cfRule type="duplicateValues" dxfId="9040" priority="14702"/>
    <cfRule type="duplicateValues" dxfId="9039" priority="14703"/>
    <cfRule type="duplicateValues" dxfId="9038" priority="14704"/>
    <cfRule type="duplicateValues" dxfId="9037" priority="14705"/>
    <cfRule type="duplicateValues" dxfId="9036" priority="14706"/>
    <cfRule type="duplicateValues" dxfId="9035" priority="14707"/>
    <cfRule type="duplicateValues" dxfId="9034" priority="14708"/>
    <cfRule type="duplicateValues" dxfId="9033" priority="14709"/>
    <cfRule type="duplicateValues" dxfId="9032" priority="14710"/>
    <cfRule type="duplicateValues" dxfId="9031" priority="14711"/>
    <cfRule type="duplicateValues" dxfId="9030" priority="14712"/>
    <cfRule type="duplicateValues" dxfId="9029" priority="14713"/>
    <cfRule type="duplicateValues" dxfId="9028" priority="14714"/>
    <cfRule type="duplicateValues" dxfId="9027" priority="14715"/>
    <cfRule type="duplicateValues" dxfId="9026" priority="14716"/>
    <cfRule type="duplicateValues" dxfId="9025" priority="14717"/>
    <cfRule type="duplicateValues" dxfId="9024" priority="14718"/>
    <cfRule type="duplicateValues" dxfId="9023" priority="14719"/>
    <cfRule type="duplicateValues" dxfId="9022" priority="14720"/>
    <cfRule type="duplicateValues" dxfId="9021" priority="14721"/>
    <cfRule type="duplicateValues" dxfId="9020" priority="14722"/>
    <cfRule type="duplicateValues" dxfId="9019" priority="14723"/>
    <cfRule type="duplicateValues" dxfId="9018" priority="14724"/>
    <cfRule type="duplicateValues" dxfId="9017" priority="14725"/>
    <cfRule type="duplicateValues" dxfId="9016" priority="14726"/>
    <cfRule type="duplicateValues" dxfId="9015" priority="14727"/>
    <cfRule type="duplicateValues" dxfId="9014" priority="14728"/>
    <cfRule type="duplicateValues" dxfId="9013" priority="14729"/>
    <cfRule type="duplicateValues" dxfId="9012" priority="14730"/>
    <cfRule type="duplicateValues" dxfId="9011" priority="14731"/>
    <cfRule type="duplicateValues" dxfId="9010" priority="14732"/>
    <cfRule type="duplicateValues" dxfId="9009" priority="14733"/>
    <cfRule type="duplicateValues" dxfId="9008" priority="14734"/>
    <cfRule type="duplicateValues" dxfId="9007" priority="14735"/>
    <cfRule type="duplicateValues" dxfId="9006" priority="14736"/>
    <cfRule type="duplicateValues" dxfId="9005" priority="14737"/>
    <cfRule type="duplicateValues" dxfId="9004" priority="14738"/>
    <cfRule type="duplicateValues" dxfId="9003" priority="14739"/>
    <cfRule type="duplicateValues" dxfId="9002" priority="14740"/>
    <cfRule type="duplicateValues" dxfId="9001" priority="14741"/>
    <cfRule type="duplicateValues" dxfId="9000" priority="14742"/>
    <cfRule type="duplicateValues" dxfId="8999" priority="14743"/>
    <cfRule type="duplicateValues" dxfId="8998" priority="14744"/>
    <cfRule type="duplicateValues" dxfId="8997" priority="14745"/>
    <cfRule type="duplicateValues" dxfId="8996" priority="14746"/>
    <cfRule type="duplicateValues" dxfId="8995" priority="14747"/>
    <cfRule type="duplicateValues" dxfId="8994" priority="14748"/>
    <cfRule type="duplicateValues" dxfId="8993" priority="14749"/>
    <cfRule type="duplicateValues" dxfId="8992" priority="14750"/>
    <cfRule type="duplicateValues" dxfId="8991" priority="14751"/>
    <cfRule type="duplicateValues" dxfId="8990" priority="14752"/>
    <cfRule type="duplicateValues" dxfId="8989" priority="14753"/>
    <cfRule type="duplicateValues" dxfId="8988" priority="14754"/>
    <cfRule type="duplicateValues" dxfId="8987" priority="14755"/>
    <cfRule type="duplicateValues" dxfId="8986" priority="14756"/>
    <cfRule type="duplicateValues" dxfId="8985" priority="14757"/>
    <cfRule type="duplicateValues" dxfId="8984" priority="14758"/>
    <cfRule type="duplicateValues" dxfId="8983" priority="14759"/>
    <cfRule type="duplicateValues" dxfId="8982" priority="14760"/>
    <cfRule type="duplicateValues" dxfId="8981" priority="14761"/>
    <cfRule type="duplicateValues" dxfId="8980" priority="14762"/>
    <cfRule type="duplicateValues" dxfId="8979" priority="14763"/>
    <cfRule type="duplicateValues" dxfId="8978" priority="14764"/>
    <cfRule type="duplicateValues" dxfId="8977" priority="14765"/>
    <cfRule type="duplicateValues" dxfId="8976" priority="14766"/>
    <cfRule type="duplicateValues" dxfId="8975" priority="14767"/>
    <cfRule type="duplicateValues" dxfId="8974" priority="14768"/>
    <cfRule type="duplicateValues" dxfId="8973" priority="14769"/>
    <cfRule type="duplicateValues" dxfId="8972" priority="14770"/>
    <cfRule type="duplicateValues" dxfId="8971" priority="14771"/>
    <cfRule type="duplicateValues" dxfId="8970" priority="14772"/>
    <cfRule type="duplicateValues" dxfId="8969" priority="14773"/>
    <cfRule type="duplicateValues" dxfId="8968" priority="14774"/>
    <cfRule type="duplicateValues" dxfId="8967" priority="14775"/>
    <cfRule type="duplicateValues" dxfId="8966" priority="14776"/>
    <cfRule type="duplicateValues" dxfId="8965" priority="14777"/>
    <cfRule type="duplicateValues" dxfId="8964" priority="14778"/>
    <cfRule type="duplicateValues" dxfId="8963" priority="14779"/>
    <cfRule type="duplicateValues" dxfId="8962" priority="14780"/>
    <cfRule type="duplicateValues" dxfId="8961" priority="14781"/>
    <cfRule type="duplicateValues" dxfId="8960" priority="14782"/>
    <cfRule type="duplicateValues" dxfId="8959" priority="14783"/>
    <cfRule type="duplicateValues" dxfId="8958" priority="14784"/>
    <cfRule type="duplicateValues" dxfId="8957" priority="14785"/>
    <cfRule type="duplicateValues" dxfId="8956" priority="14786"/>
    <cfRule type="duplicateValues" dxfId="8955" priority="14787"/>
    <cfRule type="duplicateValues" dxfId="8954" priority="14788"/>
    <cfRule type="duplicateValues" dxfId="8953" priority="14789"/>
    <cfRule type="duplicateValues" dxfId="8952" priority="14790"/>
    <cfRule type="duplicateValues" dxfId="8951" priority="14791"/>
    <cfRule type="duplicateValues" dxfId="8950" priority="14792"/>
    <cfRule type="duplicateValues" dxfId="8949" priority="14793"/>
    <cfRule type="duplicateValues" dxfId="8948" priority="14794"/>
    <cfRule type="duplicateValues" dxfId="8947" priority="14795"/>
    <cfRule type="duplicateValues" dxfId="8946" priority="14796"/>
    <cfRule type="duplicateValues" dxfId="8945" priority="14797"/>
    <cfRule type="duplicateValues" dxfId="8944" priority="14798"/>
    <cfRule type="duplicateValues" dxfId="8943" priority="14799"/>
    <cfRule type="duplicateValues" dxfId="8942" priority="14800"/>
    <cfRule type="duplicateValues" dxfId="8941" priority="14801"/>
    <cfRule type="duplicateValues" dxfId="8940" priority="14802"/>
    <cfRule type="duplicateValues" dxfId="8939" priority="14803"/>
    <cfRule type="duplicateValues" dxfId="8938" priority="14804"/>
    <cfRule type="duplicateValues" dxfId="8937" priority="14805"/>
    <cfRule type="duplicateValues" dxfId="8936" priority="14806"/>
    <cfRule type="duplicateValues" dxfId="8935" priority="14807"/>
    <cfRule type="duplicateValues" dxfId="8934" priority="14808"/>
    <cfRule type="duplicateValues" dxfId="8933" priority="14809"/>
    <cfRule type="duplicateValues" dxfId="8932" priority="14810"/>
    <cfRule type="duplicateValues" dxfId="8931" priority="14811"/>
    <cfRule type="duplicateValues" dxfId="8930" priority="14812"/>
    <cfRule type="duplicateValues" dxfId="8929" priority="14813"/>
    <cfRule type="duplicateValues" dxfId="8928" priority="14814"/>
    <cfRule type="duplicateValues" dxfId="8927" priority="14815"/>
    <cfRule type="duplicateValues" dxfId="8926" priority="14816"/>
    <cfRule type="duplicateValues" dxfId="8925" priority="14817"/>
    <cfRule type="duplicateValues" dxfId="8924" priority="14818"/>
    <cfRule type="duplicateValues" dxfId="8923" priority="14819"/>
    <cfRule type="duplicateValues" dxfId="8922" priority="14820"/>
    <cfRule type="duplicateValues" dxfId="8921" priority="14821"/>
    <cfRule type="duplicateValues" dxfId="8920" priority="14822"/>
    <cfRule type="duplicateValues" dxfId="8919" priority="14823"/>
    <cfRule type="duplicateValues" dxfId="8918" priority="14824"/>
    <cfRule type="duplicateValues" dxfId="8917" priority="14825"/>
    <cfRule type="duplicateValues" dxfId="8916" priority="14826"/>
    <cfRule type="duplicateValues" dxfId="8915" priority="14827"/>
    <cfRule type="duplicateValues" dxfId="8914" priority="14828"/>
    <cfRule type="duplicateValues" dxfId="8913" priority="14829"/>
    <cfRule type="duplicateValues" dxfId="8912" priority="14830"/>
    <cfRule type="duplicateValues" dxfId="8911" priority="14831"/>
    <cfRule type="duplicateValues" dxfId="8910" priority="14832"/>
    <cfRule type="duplicateValues" dxfId="8909" priority="14833"/>
    <cfRule type="duplicateValues" dxfId="8908" priority="14834"/>
    <cfRule type="duplicateValues" dxfId="8907" priority="14835"/>
    <cfRule type="duplicateValues" dxfId="8906" priority="14836"/>
    <cfRule type="duplicateValues" dxfId="8905" priority="14837"/>
    <cfRule type="duplicateValues" dxfId="8904" priority="14838"/>
    <cfRule type="duplicateValues" dxfId="8903" priority="14839"/>
    <cfRule type="duplicateValues" dxfId="8902" priority="14840"/>
    <cfRule type="duplicateValues" dxfId="8901" priority="14841"/>
    <cfRule type="duplicateValues" dxfId="8900" priority="14842"/>
    <cfRule type="duplicateValues" dxfId="8899" priority="14843"/>
    <cfRule type="duplicateValues" dxfId="8898" priority="14844"/>
    <cfRule type="duplicateValues" dxfId="8897" priority="14845"/>
    <cfRule type="duplicateValues" dxfId="8896" priority="14846"/>
    <cfRule type="duplicateValues" dxfId="8895" priority="14847"/>
    <cfRule type="duplicateValues" dxfId="8894" priority="14848"/>
    <cfRule type="duplicateValues" dxfId="8893" priority="14849"/>
    <cfRule type="duplicateValues" dxfId="8892" priority="14850"/>
    <cfRule type="duplicateValues" dxfId="8891" priority="14851"/>
    <cfRule type="duplicateValues" dxfId="8890" priority="14852"/>
    <cfRule type="duplicateValues" dxfId="8889" priority="14853"/>
    <cfRule type="duplicateValues" dxfId="8888" priority="14854"/>
    <cfRule type="duplicateValues" dxfId="8887" priority="14855"/>
    <cfRule type="duplicateValues" dxfId="8886" priority="14856"/>
    <cfRule type="duplicateValues" dxfId="8885" priority="14857"/>
    <cfRule type="duplicateValues" dxfId="8884" priority="14858"/>
    <cfRule type="duplicateValues" dxfId="8883" priority="14859"/>
    <cfRule type="duplicateValues" dxfId="8882" priority="14860"/>
    <cfRule type="duplicateValues" dxfId="8881" priority="14861"/>
    <cfRule type="duplicateValues" dxfId="8880" priority="14862"/>
    <cfRule type="duplicateValues" dxfId="8879" priority="14863"/>
    <cfRule type="duplicateValues" dxfId="8878" priority="14864"/>
    <cfRule type="duplicateValues" dxfId="8877" priority="14865"/>
    <cfRule type="duplicateValues" dxfId="8876" priority="14866"/>
    <cfRule type="duplicateValues" dxfId="8875" priority="14867"/>
    <cfRule type="duplicateValues" dxfId="8874" priority="14868"/>
    <cfRule type="duplicateValues" dxfId="8873" priority="14869"/>
    <cfRule type="duplicateValues" dxfId="8872" priority="14870"/>
    <cfRule type="duplicateValues" dxfId="8871" priority="14871"/>
    <cfRule type="duplicateValues" dxfId="8870" priority="14872"/>
    <cfRule type="duplicateValues" dxfId="8869" priority="14873"/>
    <cfRule type="duplicateValues" dxfId="8868" priority="14874"/>
    <cfRule type="duplicateValues" dxfId="8867" priority="14875"/>
    <cfRule type="duplicateValues" dxfId="8866" priority="14876"/>
    <cfRule type="duplicateValues" dxfId="8865" priority="14877"/>
    <cfRule type="duplicateValues" dxfId="8864" priority="14878"/>
    <cfRule type="duplicateValues" dxfId="8863" priority="14879"/>
    <cfRule type="duplicateValues" dxfId="8862" priority="14880"/>
    <cfRule type="duplicateValues" dxfId="8861" priority="14881"/>
    <cfRule type="duplicateValues" dxfId="8860" priority="14882"/>
    <cfRule type="duplicateValues" dxfId="8859" priority="14883"/>
    <cfRule type="duplicateValues" dxfId="8858" priority="14884"/>
    <cfRule type="duplicateValues" dxfId="8857" priority="14885"/>
    <cfRule type="duplicateValues" dxfId="8856" priority="14886"/>
    <cfRule type="duplicateValues" dxfId="8855" priority="14887"/>
    <cfRule type="duplicateValues" dxfId="8854" priority="14888"/>
    <cfRule type="duplicateValues" dxfId="8853" priority="14889"/>
    <cfRule type="duplicateValues" dxfId="8852" priority="14890"/>
    <cfRule type="duplicateValues" dxfId="8851" priority="14891"/>
    <cfRule type="duplicateValues" dxfId="8850" priority="14892"/>
    <cfRule type="duplicateValues" dxfId="8849" priority="14893"/>
    <cfRule type="duplicateValues" dxfId="8848" priority="14894"/>
    <cfRule type="duplicateValues" dxfId="8847" priority="14895"/>
    <cfRule type="duplicateValues" dxfId="8846" priority="14896"/>
    <cfRule type="duplicateValues" dxfId="8845" priority="14897"/>
    <cfRule type="duplicateValues" dxfId="8844" priority="14898"/>
    <cfRule type="duplicateValues" dxfId="8843" priority="14899"/>
    <cfRule type="duplicateValues" dxfId="8842" priority="14900"/>
    <cfRule type="duplicateValues" dxfId="8841" priority="14901"/>
    <cfRule type="duplicateValues" dxfId="8840" priority="14902"/>
    <cfRule type="duplicateValues" dxfId="8839" priority="14903"/>
    <cfRule type="duplicateValues" dxfId="8838" priority="14904"/>
    <cfRule type="duplicateValues" dxfId="8837" priority="14905"/>
    <cfRule type="duplicateValues" dxfId="8836" priority="14906"/>
    <cfRule type="duplicateValues" dxfId="8835" priority="14907"/>
    <cfRule type="duplicateValues" dxfId="8834" priority="14908"/>
    <cfRule type="duplicateValues" dxfId="8833" priority="14909"/>
    <cfRule type="duplicateValues" dxfId="8832" priority="14910"/>
    <cfRule type="duplicateValues" dxfId="8831" priority="14911"/>
    <cfRule type="duplicateValues" dxfId="8830" priority="14912"/>
    <cfRule type="duplicateValues" dxfId="8829" priority="14913"/>
    <cfRule type="duplicateValues" dxfId="8828" priority="14914"/>
    <cfRule type="duplicateValues" dxfId="8827" priority="14915"/>
    <cfRule type="duplicateValues" dxfId="8826" priority="14916"/>
    <cfRule type="duplicateValues" dxfId="8825" priority="14917"/>
    <cfRule type="duplicateValues" dxfId="8824" priority="14918"/>
    <cfRule type="duplicateValues" dxfId="8823" priority="14919"/>
    <cfRule type="duplicateValues" dxfId="8822" priority="14920"/>
    <cfRule type="duplicateValues" dxfId="8821" priority="14921"/>
    <cfRule type="duplicateValues" dxfId="8820" priority="14922"/>
    <cfRule type="duplicateValues" dxfId="8819" priority="14923"/>
    <cfRule type="duplicateValues" dxfId="8818" priority="14924"/>
    <cfRule type="duplicateValues" dxfId="8817" priority="14925"/>
    <cfRule type="duplicateValues" dxfId="8816" priority="14926"/>
    <cfRule type="duplicateValues" dxfId="8815" priority="14927"/>
    <cfRule type="duplicateValues" dxfId="8814" priority="14928"/>
    <cfRule type="duplicateValues" dxfId="8813" priority="14929"/>
    <cfRule type="duplicateValues" dxfId="8812" priority="14930"/>
    <cfRule type="duplicateValues" dxfId="8811" priority="14931"/>
    <cfRule type="duplicateValues" dxfId="8810" priority="14932"/>
    <cfRule type="duplicateValues" dxfId="8809" priority="14933"/>
    <cfRule type="duplicateValues" dxfId="8808" priority="14934"/>
    <cfRule type="duplicateValues" dxfId="8807" priority="14935"/>
    <cfRule type="duplicateValues" dxfId="8806" priority="14936"/>
    <cfRule type="duplicateValues" dxfId="8805" priority="14937"/>
    <cfRule type="duplicateValues" dxfId="8804" priority="14938"/>
    <cfRule type="duplicateValues" dxfId="8803" priority="14939"/>
    <cfRule type="duplicateValues" dxfId="8802" priority="14940"/>
    <cfRule type="duplicateValues" dxfId="8801" priority="14941"/>
    <cfRule type="duplicateValues" dxfId="8800" priority="14942"/>
    <cfRule type="duplicateValues" dxfId="8799" priority="14943"/>
    <cfRule type="duplicateValues" dxfId="8798" priority="14944"/>
    <cfRule type="duplicateValues" dxfId="8797" priority="14945"/>
    <cfRule type="duplicateValues" dxfId="8796" priority="14946"/>
    <cfRule type="duplicateValues" dxfId="8795" priority="14947"/>
    <cfRule type="duplicateValues" dxfId="8794" priority="14948"/>
    <cfRule type="duplicateValues" dxfId="8793" priority="14949"/>
    <cfRule type="duplicateValues" dxfId="8792" priority="14950"/>
    <cfRule type="duplicateValues" dxfId="8791" priority="14951"/>
    <cfRule type="duplicateValues" dxfId="8790" priority="14952"/>
    <cfRule type="duplicateValues" dxfId="8789" priority="14953"/>
    <cfRule type="duplicateValues" dxfId="8788" priority="14954"/>
    <cfRule type="duplicateValues" dxfId="8787" priority="14955"/>
    <cfRule type="duplicateValues" dxfId="8786" priority="14956"/>
    <cfRule type="duplicateValues" dxfId="8785" priority="14957"/>
    <cfRule type="duplicateValues" dxfId="8784" priority="14958"/>
    <cfRule type="duplicateValues" dxfId="8783" priority="14959"/>
    <cfRule type="duplicateValues" dxfId="8782" priority="14960"/>
    <cfRule type="duplicateValues" dxfId="8781" priority="14961"/>
    <cfRule type="duplicateValues" dxfId="8780" priority="14962"/>
    <cfRule type="duplicateValues" dxfId="8779" priority="14963"/>
    <cfRule type="duplicateValues" dxfId="8778" priority="14964"/>
    <cfRule type="duplicateValues" dxfId="8777" priority="14965"/>
    <cfRule type="duplicateValues" dxfId="8776" priority="14966"/>
    <cfRule type="duplicateValues" dxfId="8775" priority="14967"/>
    <cfRule type="duplicateValues" dxfId="8774" priority="14968"/>
    <cfRule type="duplicateValues" dxfId="8773" priority="14969"/>
    <cfRule type="duplicateValues" dxfId="8772" priority="14970"/>
    <cfRule type="duplicateValues" dxfId="8771" priority="14971"/>
    <cfRule type="duplicateValues" dxfId="8770" priority="14972"/>
    <cfRule type="duplicateValues" dxfId="8769" priority="14973"/>
    <cfRule type="duplicateValues" dxfId="8768" priority="14974"/>
    <cfRule type="duplicateValues" dxfId="8767" priority="14975"/>
    <cfRule type="duplicateValues" dxfId="8766" priority="14976"/>
    <cfRule type="duplicateValues" dxfId="8765" priority="14977"/>
    <cfRule type="duplicateValues" dxfId="8764" priority="14978"/>
    <cfRule type="duplicateValues" dxfId="8763" priority="14979"/>
    <cfRule type="duplicateValues" dxfId="8762" priority="14980"/>
    <cfRule type="duplicateValues" dxfId="8761" priority="14981"/>
    <cfRule type="duplicateValues" dxfId="8760" priority="14982"/>
    <cfRule type="duplicateValues" dxfId="8759" priority="14983"/>
    <cfRule type="duplicateValues" dxfId="8758" priority="14984"/>
    <cfRule type="duplicateValues" dxfId="8757" priority="14985"/>
    <cfRule type="duplicateValues" dxfId="8756" priority="14986"/>
    <cfRule type="duplicateValues" dxfId="8755" priority="14987"/>
    <cfRule type="duplicateValues" dxfId="8754" priority="14988"/>
    <cfRule type="duplicateValues" dxfId="8753" priority="14989"/>
    <cfRule type="duplicateValues" dxfId="8752" priority="14990"/>
    <cfRule type="duplicateValues" dxfId="8751" priority="14991"/>
    <cfRule type="duplicateValues" dxfId="8750" priority="14992"/>
    <cfRule type="duplicateValues" dxfId="8749" priority="14993"/>
    <cfRule type="duplicateValues" dxfId="8748" priority="14994"/>
    <cfRule type="duplicateValues" dxfId="8747" priority="14995"/>
    <cfRule type="duplicateValues" dxfId="8746" priority="14996"/>
    <cfRule type="duplicateValues" dxfId="8745" priority="14997"/>
    <cfRule type="duplicateValues" dxfId="8744" priority="14998"/>
    <cfRule type="duplicateValues" dxfId="8743" priority="14999"/>
    <cfRule type="duplicateValues" dxfId="8742" priority="15000"/>
    <cfRule type="duplicateValues" dxfId="8741" priority="15001"/>
    <cfRule type="duplicateValues" dxfId="8740" priority="15002"/>
    <cfRule type="duplicateValues" dxfId="8739" priority="15003"/>
    <cfRule type="duplicateValues" dxfId="8738" priority="15004"/>
    <cfRule type="duplicateValues" dxfId="8737" priority="15005"/>
    <cfRule type="duplicateValues" dxfId="8736" priority="15006"/>
    <cfRule type="duplicateValues" dxfId="8735" priority="15007"/>
    <cfRule type="duplicateValues" dxfId="8734" priority="15008"/>
    <cfRule type="duplicateValues" dxfId="8733" priority="15009"/>
    <cfRule type="duplicateValues" dxfId="8732" priority="15010"/>
    <cfRule type="duplicateValues" dxfId="8731" priority="15011"/>
  </conditionalFormatting>
  <conditionalFormatting sqref="C270">
    <cfRule type="duplicateValues" dxfId="8730" priority="14322"/>
    <cfRule type="duplicateValues" dxfId="8729" priority="14323"/>
    <cfRule type="duplicateValues" dxfId="8728" priority="14324"/>
    <cfRule type="duplicateValues" dxfId="8727" priority="14325"/>
    <cfRule type="duplicateValues" dxfId="8726" priority="14326"/>
    <cfRule type="duplicateValues" dxfId="8725" priority="14327"/>
    <cfRule type="duplicateValues" dxfId="8724" priority="14328"/>
    <cfRule type="duplicateValues" dxfId="8723" priority="14329"/>
    <cfRule type="duplicateValues" dxfId="8722" priority="14330"/>
    <cfRule type="duplicateValues" dxfId="8721" priority="14331"/>
    <cfRule type="duplicateValues" dxfId="8720" priority="14332"/>
    <cfRule type="duplicateValues" dxfId="8719" priority="14333"/>
    <cfRule type="duplicateValues" dxfId="8718" priority="14334"/>
    <cfRule type="duplicateValues" dxfId="8717" priority="14335"/>
    <cfRule type="duplicateValues" dxfId="8716" priority="14336"/>
    <cfRule type="duplicateValues" dxfId="8715" priority="14337"/>
    <cfRule type="duplicateValues" dxfId="8714" priority="14338"/>
    <cfRule type="duplicateValues" dxfId="8713" priority="14339"/>
    <cfRule type="duplicateValues" dxfId="8712" priority="14340"/>
    <cfRule type="duplicateValues" dxfId="8711" priority="14341"/>
    <cfRule type="duplicateValues" dxfId="8710" priority="14342"/>
    <cfRule type="duplicateValues" dxfId="8709" priority="14343"/>
    <cfRule type="duplicateValues" dxfId="8708" priority="14344"/>
    <cfRule type="duplicateValues" dxfId="8707" priority="14345"/>
    <cfRule type="duplicateValues" dxfId="8706" priority="14346"/>
    <cfRule type="duplicateValues" dxfId="8705" priority="14347"/>
    <cfRule type="duplicateValues" dxfId="8704" priority="14348"/>
    <cfRule type="duplicateValues" dxfId="8703" priority="14349"/>
    <cfRule type="duplicateValues" dxfId="8702" priority="14350"/>
    <cfRule type="duplicateValues" dxfId="8701" priority="14351"/>
    <cfRule type="duplicateValues" dxfId="8700" priority="14352"/>
    <cfRule type="duplicateValues" dxfId="8699" priority="14353"/>
    <cfRule type="duplicateValues" dxfId="8698" priority="14354"/>
    <cfRule type="duplicateValues" dxfId="8697" priority="14355"/>
    <cfRule type="duplicateValues" dxfId="8696" priority="14356"/>
    <cfRule type="duplicateValues" dxfId="8695" priority="14357"/>
    <cfRule type="duplicateValues" dxfId="8694" priority="14358"/>
    <cfRule type="duplicateValues" dxfId="8693" priority="14359"/>
    <cfRule type="duplicateValues" dxfId="8692" priority="14360"/>
    <cfRule type="duplicateValues" dxfId="8691" priority="14361"/>
    <cfRule type="duplicateValues" dxfId="8690" priority="14362"/>
    <cfRule type="duplicateValues" dxfId="8689" priority="14363"/>
    <cfRule type="duplicateValues" dxfId="8688" priority="14364"/>
    <cfRule type="duplicateValues" dxfId="8687" priority="14365"/>
    <cfRule type="duplicateValues" dxfId="8686" priority="14366"/>
    <cfRule type="duplicateValues" dxfId="8685" priority="14367"/>
    <cfRule type="duplicateValues" dxfId="8684" priority="14368"/>
    <cfRule type="duplicateValues" dxfId="8683" priority="14369"/>
    <cfRule type="duplicateValues" dxfId="8682" priority="14370"/>
    <cfRule type="duplicateValues" dxfId="8681" priority="14371"/>
    <cfRule type="duplicateValues" dxfId="8680" priority="14372"/>
    <cfRule type="duplicateValues" dxfId="8679" priority="14373"/>
    <cfRule type="duplicateValues" dxfId="8678" priority="14374"/>
    <cfRule type="duplicateValues" dxfId="8677" priority="14375"/>
    <cfRule type="duplicateValues" dxfId="8676" priority="14376"/>
    <cfRule type="duplicateValues" dxfId="8675" priority="14377"/>
    <cfRule type="duplicateValues" dxfId="8674" priority="14378"/>
    <cfRule type="duplicateValues" dxfId="8673" priority="14379"/>
    <cfRule type="duplicateValues" dxfId="8672" priority="14380"/>
    <cfRule type="duplicateValues" dxfId="8671" priority="14381"/>
    <cfRule type="duplicateValues" dxfId="8670" priority="14382"/>
    <cfRule type="duplicateValues" dxfId="8669" priority="14383"/>
    <cfRule type="duplicateValues" dxfId="8668" priority="14384"/>
    <cfRule type="duplicateValues" dxfId="8667" priority="14385"/>
    <cfRule type="duplicateValues" dxfId="8666" priority="14386"/>
    <cfRule type="duplicateValues" dxfId="8665" priority="14387"/>
    <cfRule type="duplicateValues" dxfId="8664" priority="14388"/>
    <cfRule type="duplicateValues" dxfId="8663" priority="14389"/>
    <cfRule type="duplicateValues" dxfId="8662" priority="14390"/>
    <cfRule type="duplicateValues" dxfId="8661" priority="14391"/>
    <cfRule type="duplicateValues" dxfId="8660" priority="14392"/>
    <cfRule type="duplicateValues" dxfId="8659" priority="14393"/>
    <cfRule type="duplicateValues" dxfId="8658" priority="14394"/>
    <cfRule type="duplicateValues" dxfId="8657" priority="14395"/>
    <cfRule type="duplicateValues" dxfId="8656" priority="14396"/>
    <cfRule type="duplicateValues" dxfId="8655" priority="14397"/>
    <cfRule type="duplicateValues" dxfId="8654" priority="14398"/>
    <cfRule type="duplicateValues" dxfId="8653" priority="14399"/>
    <cfRule type="duplicateValues" dxfId="8652" priority="14400"/>
    <cfRule type="duplicateValues" dxfId="8651" priority="14401"/>
    <cfRule type="duplicateValues" dxfId="8650" priority="14402"/>
    <cfRule type="duplicateValues" dxfId="8649" priority="14403"/>
    <cfRule type="duplicateValues" dxfId="8648" priority="14404"/>
    <cfRule type="duplicateValues" dxfId="8647" priority="14405"/>
    <cfRule type="duplicateValues" dxfId="8646" priority="14406"/>
    <cfRule type="duplicateValues" dxfId="8645" priority="14407"/>
    <cfRule type="duplicateValues" dxfId="8644" priority="14408"/>
    <cfRule type="duplicateValues" dxfId="8643" priority="14409"/>
    <cfRule type="duplicateValues" dxfId="8642" priority="14410"/>
    <cfRule type="duplicateValues" dxfId="8641" priority="14411"/>
    <cfRule type="duplicateValues" dxfId="8640" priority="14412"/>
    <cfRule type="duplicateValues" dxfId="8639" priority="14413"/>
    <cfRule type="duplicateValues" dxfId="8638" priority="14414"/>
    <cfRule type="duplicateValues" dxfId="8637" priority="14415"/>
    <cfRule type="duplicateValues" dxfId="8636" priority="14416"/>
    <cfRule type="duplicateValues" dxfId="8635" priority="14417"/>
    <cfRule type="duplicateValues" dxfId="8634" priority="14418"/>
    <cfRule type="duplicateValues" dxfId="8633" priority="14419"/>
    <cfRule type="duplicateValues" dxfId="8632" priority="14420"/>
    <cfRule type="duplicateValues" dxfId="8631" priority="14421"/>
    <cfRule type="duplicateValues" dxfId="8630" priority="14422"/>
    <cfRule type="duplicateValues" dxfId="8629" priority="14423"/>
    <cfRule type="duplicateValues" dxfId="8628" priority="14424"/>
    <cfRule type="duplicateValues" dxfId="8627" priority="14425"/>
    <cfRule type="duplicateValues" dxfId="8626" priority="14426"/>
    <cfRule type="duplicateValues" dxfId="8625" priority="14427"/>
    <cfRule type="duplicateValues" dxfId="8624" priority="14428"/>
    <cfRule type="duplicateValues" dxfId="8623" priority="14429"/>
    <cfRule type="duplicateValues" dxfId="8622" priority="14430"/>
    <cfRule type="duplicateValues" dxfId="8621" priority="14431"/>
    <cfRule type="duplicateValues" dxfId="8620" priority="14432"/>
    <cfRule type="duplicateValues" dxfId="8619" priority="14433"/>
    <cfRule type="duplicateValues" dxfId="8618" priority="14434"/>
    <cfRule type="duplicateValues" dxfId="8617" priority="14435"/>
    <cfRule type="duplicateValues" dxfId="8616" priority="14436"/>
    <cfRule type="duplicateValues" dxfId="8615" priority="14437"/>
    <cfRule type="duplicateValues" dxfId="8614" priority="14438"/>
    <cfRule type="duplicateValues" dxfId="8613" priority="14439"/>
    <cfRule type="duplicateValues" dxfId="8612" priority="14440"/>
    <cfRule type="duplicateValues" dxfId="8611" priority="14441"/>
    <cfRule type="duplicateValues" dxfId="8610" priority="14442"/>
    <cfRule type="duplicateValues" dxfId="8609" priority="14443"/>
    <cfRule type="duplicateValues" dxfId="8608" priority="14444"/>
    <cfRule type="duplicateValues" dxfId="8607" priority="14445"/>
    <cfRule type="duplicateValues" dxfId="8606" priority="14446"/>
    <cfRule type="duplicateValues" dxfId="8605" priority="14447"/>
    <cfRule type="duplicateValues" dxfId="8604" priority="14448"/>
    <cfRule type="duplicateValues" dxfId="8603" priority="14449"/>
    <cfRule type="duplicateValues" dxfId="8602" priority="14450"/>
    <cfRule type="duplicateValues" dxfId="8601" priority="14451"/>
    <cfRule type="duplicateValues" dxfId="8600" priority="14452"/>
    <cfRule type="duplicateValues" dxfId="8599" priority="14453"/>
    <cfRule type="duplicateValues" dxfId="8598" priority="14454"/>
    <cfRule type="duplicateValues" dxfId="8597" priority="14455"/>
    <cfRule type="duplicateValues" dxfId="8596" priority="14456"/>
    <cfRule type="duplicateValues" dxfId="8595" priority="14457"/>
    <cfRule type="duplicateValues" dxfId="8594" priority="14458"/>
    <cfRule type="duplicateValues" dxfId="8593" priority="14459"/>
    <cfRule type="duplicateValues" dxfId="8592" priority="14460"/>
    <cfRule type="duplicateValues" dxfId="8591" priority="14461"/>
    <cfRule type="duplicateValues" dxfId="8590" priority="14462"/>
    <cfRule type="duplicateValues" dxfId="8589" priority="14463"/>
    <cfRule type="duplicateValues" dxfId="8588" priority="14464"/>
    <cfRule type="duplicateValues" dxfId="8587" priority="14465"/>
    <cfRule type="duplicateValues" dxfId="8586" priority="14466"/>
    <cfRule type="duplicateValues" dxfId="8585" priority="14467"/>
    <cfRule type="duplicateValues" dxfId="8584" priority="14468"/>
    <cfRule type="duplicateValues" dxfId="8583" priority="14469"/>
    <cfRule type="duplicateValues" dxfId="8582" priority="14470"/>
    <cfRule type="duplicateValues" dxfId="8581" priority="14471"/>
    <cfRule type="duplicateValues" dxfId="8580" priority="14472"/>
    <cfRule type="duplicateValues" dxfId="8579" priority="14473"/>
    <cfRule type="duplicateValues" dxfId="8578" priority="14474"/>
    <cfRule type="duplicateValues" dxfId="8577" priority="14475"/>
    <cfRule type="duplicateValues" dxfId="8576" priority="14476"/>
    <cfRule type="duplicateValues" dxfId="8575" priority="14477"/>
    <cfRule type="duplicateValues" dxfId="8574" priority="14478"/>
    <cfRule type="duplicateValues" dxfId="8573" priority="14479"/>
    <cfRule type="duplicateValues" dxfId="8572" priority="14480"/>
    <cfRule type="duplicateValues" dxfId="8571" priority="14481"/>
    <cfRule type="duplicateValues" dxfId="8570" priority="14482"/>
    <cfRule type="duplicateValues" dxfId="8569" priority="14483"/>
    <cfRule type="duplicateValues" dxfId="8568" priority="14484"/>
    <cfRule type="duplicateValues" dxfId="8567" priority="14485"/>
    <cfRule type="duplicateValues" dxfId="8566" priority="14486"/>
    <cfRule type="duplicateValues" dxfId="8565" priority="14487"/>
    <cfRule type="duplicateValues" dxfId="8564" priority="14488"/>
    <cfRule type="duplicateValues" dxfId="8563" priority="14489"/>
    <cfRule type="duplicateValues" dxfId="8562" priority="14490"/>
    <cfRule type="duplicateValues" dxfId="8561" priority="14491"/>
    <cfRule type="duplicateValues" dxfId="8560" priority="14492"/>
    <cfRule type="duplicateValues" dxfId="8559" priority="14493"/>
    <cfRule type="duplicateValues" dxfId="8558" priority="14494"/>
    <cfRule type="duplicateValues" dxfId="8557" priority="14495"/>
    <cfRule type="duplicateValues" dxfId="8556" priority="14496"/>
    <cfRule type="duplicateValues" dxfId="8555" priority="14497"/>
    <cfRule type="duplicateValues" dxfId="8554" priority="14498"/>
    <cfRule type="duplicateValues" dxfId="8553" priority="14499"/>
    <cfRule type="duplicateValues" dxfId="8552" priority="14500"/>
    <cfRule type="duplicateValues" dxfId="8551" priority="14501"/>
    <cfRule type="duplicateValues" dxfId="8550" priority="14502"/>
    <cfRule type="duplicateValues" dxfId="8549" priority="14503"/>
    <cfRule type="duplicateValues" dxfId="8548" priority="14504"/>
    <cfRule type="duplicateValues" dxfId="8547" priority="14505"/>
    <cfRule type="duplicateValues" dxfId="8546" priority="14506"/>
    <cfRule type="duplicateValues" dxfId="8545" priority="14507"/>
    <cfRule type="duplicateValues" dxfId="8544" priority="14508"/>
    <cfRule type="duplicateValues" dxfId="8543" priority="14509"/>
    <cfRule type="duplicateValues" dxfId="8542" priority="14510"/>
    <cfRule type="duplicateValues" dxfId="8541" priority="14511"/>
    <cfRule type="duplicateValues" dxfId="8540" priority="14512"/>
    <cfRule type="duplicateValues" dxfId="8539" priority="14513"/>
    <cfRule type="duplicateValues" dxfId="8538" priority="14514"/>
    <cfRule type="duplicateValues" dxfId="8537" priority="14515"/>
    <cfRule type="duplicateValues" dxfId="8536" priority="14516"/>
    <cfRule type="duplicateValues" dxfId="8535" priority="14517"/>
    <cfRule type="duplicateValues" dxfId="8534" priority="14518"/>
    <cfRule type="duplicateValues" dxfId="8533" priority="14519"/>
    <cfRule type="duplicateValues" dxfId="8532" priority="14520"/>
    <cfRule type="duplicateValues" dxfId="8531" priority="14521"/>
    <cfRule type="duplicateValues" dxfId="8530" priority="14522"/>
    <cfRule type="duplicateValues" dxfId="8529" priority="14523"/>
    <cfRule type="duplicateValues" dxfId="8528" priority="14524"/>
    <cfRule type="duplicateValues" dxfId="8527" priority="14525"/>
    <cfRule type="duplicateValues" dxfId="8526" priority="14526"/>
    <cfRule type="duplicateValues" dxfId="8525" priority="14527"/>
    <cfRule type="duplicateValues" dxfId="8524" priority="14528"/>
    <cfRule type="duplicateValues" dxfId="8523" priority="14529"/>
    <cfRule type="duplicateValues" dxfId="8522" priority="14530"/>
    <cfRule type="duplicateValues" dxfId="8521" priority="14531"/>
    <cfRule type="duplicateValues" dxfId="8520" priority="14532"/>
    <cfRule type="duplicateValues" dxfId="8519" priority="14533"/>
    <cfRule type="duplicateValues" dxfId="8518" priority="14534"/>
    <cfRule type="duplicateValues" dxfId="8517" priority="14535"/>
    <cfRule type="duplicateValues" dxfId="8516" priority="14536"/>
    <cfRule type="duplicateValues" dxfId="8515" priority="14537"/>
    <cfRule type="duplicateValues" dxfId="8514" priority="14538"/>
    <cfRule type="duplicateValues" dxfId="8513" priority="14539"/>
    <cfRule type="duplicateValues" dxfId="8512" priority="14540"/>
    <cfRule type="duplicateValues" dxfId="8511" priority="14541"/>
    <cfRule type="duplicateValues" dxfId="8510" priority="14542"/>
    <cfRule type="duplicateValues" dxfId="8509" priority="14543"/>
    <cfRule type="duplicateValues" dxfId="8508" priority="14544"/>
    <cfRule type="duplicateValues" dxfId="8507" priority="14545"/>
    <cfRule type="duplicateValues" dxfId="8506" priority="14546"/>
    <cfRule type="duplicateValues" dxfId="8505" priority="14547"/>
    <cfRule type="duplicateValues" dxfId="8504" priority="14548"/>
    <cfRule type="duplicateValues" dxfId="8503" priority="14549"/>
    <cfRule type="duplicateValues" dxfId="8502" priority="14550"/>
    <cfRule type="duplicateValues" dxfId="8501" priority="14551"/>
    <cfRule type="duplicateValues" dxfId="8500" priority="14552"/>
    <cfRule type="duplicateValues" dxfId="8499" priority="14553"/>
    <cfRule type="duplicateValues" dxfId="8498" priority="14554"/>
    <cfRule type="duplicateValues" dxfId="8497" priority="14555"/>
    <cfRule type="duplicateValues" dxfId="8496" priority="14556"/>
    <cfRule type="duplicateValues" dxfId="8495" priority="14557"/>
    <cfRule type="duplicateValues" dxfId="8494" priority="14558"/>
    <cfRule type="duplicateValues" dxfId="8493" priority="14559"/>
    <cfRule type="duplicateValues" dxfId="8492" priority="14560"/>
    <cfRule type="duplicateValues" dxfId="8491" priority="14561"/>
    <cfRule type="duplicateValues" dxfId="8490" priority="14562"/>
    <cfRule type="duplicateValues" dxfId="8489" priority="14563"/>
    <cfRule type="duplicateValues" dxfId="8488" priority="14564"/>
    <cfRule type="duplicateValues" dxfId="8487" priority="14565"/>
    <cfRule type="duplicateValues" dxfId="8486" priority="14566"/>
    <cfRule type="duplicateValues" dxfId="8485" priority="14567"/>
    <cfRule type="duplicateValues" dxfId="8484" priority="14568"/>
    <cfRule type="duplicateValues" dxfId="8483" priority="14569"/>
    <cfRule type="duplicateValues" dxfId="8482" priority="14570"/>
    <cfRule type="duplicateValues" dxfId="8481" priority="14571"/>
    <cfRule type="duplicateValues" dxfId="8480" priority="14572"/>
    <cfRule type="duplicateValues" dxfId="8479" priority="14573"/>
    <cfRule type="duplicateValues" dxfId="8478" priority="14574"/>
    <cfRule type="duplicateValues" dxfId="8477" priority="14575"/>
    <cfRule type="duplicateValues" dxfId="8476" priority="14576"/>
    <cfRule type="duplicateValues" dxfId="8475" priority="14577"/>
    <cfRule type="duplicateValues" dxfId="8474" priority="14578"/>
    <cfRule type="duplicateValues" dxfId="8473" priority="14579"/>
    <cfRule type="duplicateValues" dxfId="8472" priority="14580"/>
    <cfRule type="duplicateValues" dxfId="8471" priority="14581"/>
    <cfRule type="duplicateValues" dxfId="8470" priority="14582"/>
    <cfRule type="duplicateValues" dxfId="8469" priority="14583"/>
    <cfRule type="duplicateValues" dxfId="8468" priority="14584"/>
    <cfRule type="duplicateValues" dxfId="8467" priority="14585"/>
    <cfRule type="duplicateValues" dxfId="8466" priority="14586"/>
    <cfRule type="duplicateValues" dxfId="8465" priority="14587"/>
    <cfRule type="duplicateValues" dxfId="8464" priority="14588"/>
    <cfRule type="duplicateValues" dxfId="8463" priority="14589"/>
    <cfRule type="duplicateValues" dxfId="8462" priority="14590"/>
    <cfRule type="duplicateValues" dxfId="8461" priority="14591"/>
    <cfRule type="duplicateValues" dxfId="8460" priority="14592"/>
    <cfRule type="duplicateValues" dxfId="8459" priority="14593"/>
    <cfRule type="duplicateValues" dxfId="8458" priority="14594"/>
    <cfRule type="duplicateValues" dxfId="8457" priority="14595"/>
    <cfRule type="duplicateValues" dxfId="8456" priority="14596"/>
    <cfRule type="duplicateValues" dxfId="8455" priority="14597"/>
    <cfRule type="duplicateValues" dxfId="8454" priority="14598"/>
    <cfRule type="duplicateValues" dxfId="8453" priority="14599"/>
    <cfRule type="duplicateValues" dxfId="8452" priority="14600"/>
    <cfRule type="duplicateValues" dxfId="8451" priority="14601"/>
    <cfRule type="duplicateValues" dxfId="8450" priority="14602"/>
    <cfRule type="duplicateValues" dxfId="8449" priority="14603"/>
    <cfRule type="duplicateValues" dxfId="8448" priority="14604"/>
    <cfRule type="duplicateValues" dxfId="8447" priority="14605"/>
    <cfRule type="duplicateValues" dxfId="8446" priority="14606"/>
    <cfRule type="duplicateValues" dxfId="8445" priority="14607"/>
    <cfRule type="duplicateValues" dxfId="8444" priority="14608"/>
    <cfRule type="duplicateValues" dxfId="8443" priority="14609"/>
    <cfRule type="duplicateValues" dxfId="8442" priority="14610"/>
    <cfRule type="duplicateValues" dxfId="8441" priority="14611"/>
    <cfRule type="duplicateValues" dxfId="8440" priority="14612"/>
    <cfRule type="duplicateValues" dxfId="8439" priority="14613"/>
    <cfRule type="duplicateValues" dxfId="8438" priority="14614"/>
    <cfRule type="duplicateValues" dxfId="8437" priority="14615"/>
    <cfRule type="duplicateValues" dxfId="8436" priority="14616"/>
    <cfRule type="duplicateValues" dxfId="8435" priority="14617"/>
    <cfRule type="duplicateValues" dxfId="8434" priority="14618"/>
    <cfRule type="duplicateValues" dxfId="8433" priority="14619"/>
    <cfRule type="duplicateValues" dxfId="8432" priority="14620"/>
    <cfRule type="duplicateValues" dxfId="8431" priority="14621"/>
    <cfRule type="duplicateValues" dxfId="8430" priority="14622"/>
    <cfRule type="duplicateValues" dxfId="8429" priority="14623"/>
    <cfRule type="duplicateValues" dxfId="8428" priority="14624"/>
    <cfRule type="duplicateValues" dxfId="8427" priority="14625"/>
    <cfRule type="duplicateValues" dxfId="8426" priority="14626"/>
    <cfRule type="duplicateValues" dxfId="8425" priority="14627"/>
    <cfRule type="duplicateValues" dxfId="8424" priority="14628"/>
    <cfRule type="duplicateValues" dxfId="8423" priority="14629"/>
    <cfRule type="duplicateValues" dxfId="8422" priority="14630"/>
    <cfRule type="duplicateValues" dxfId="8421" priority="14631"/>
    <cfRule type="duplicateValues" dxfId="8420" priority="14632"/>
    <cfRule type="duplicateValues" dxfId="8419" priority="14633"/>
    <cfRule type="duplicateValues" dxfId="8418" priority="14634"/>
    <cfRule type="duplicateValues" dxfId="8417" priority="14635"/>
    <cfRule type="duplicateValues" dxfId="8416" priority="14636"/>
    <cfRule type="duplicateValues" dxfId="8415" priority="14637"/>
    <cfRule type="duplicateValues" dxfId="8414" priority="14638"/>
    <cfRule type="duplicateValues" dxfId="8413" priority="14639"/>
    <cfRule type="duplicateValues" dxfId="8412" priority="14640"/>
    <cfRule type="duplicateValues" dxfId="8411" priority="14641"/>
    <cfRule type="duplicateValues" dxfId="8410" priority="14642"/>
    <cfRule type="duplicateValues" dxfId="8409" priority="14643"/>
    <cfRule type="duplicateValues" dxfId="8408" priority="14644"/>
    <cfRule type="duplicateValues" dxfId="8407" priority="14645"/>
    <cfRule type="duplicateValues" dxfId="8406" priority="14646"/>
    <cfRule type="duplicateValues" dxfId="8405" priority="14647"/>
    <cfRule type="duplicateValues" dxfId="8404" priority="14648"/>
    <cfRule type="duplicateValues" dxfId="8403" priority="14649"/>
    <cfRule type="duplicateValues" dxfId="8402" priority="14650"/>
    <cfRule type="duplicateValues" dxfId="8401" priority="14651"/>
    <cfRule type="duplicateValues" dxfId="8400" priority="14652"/>
    <cfRule type="duplicateValues" dxfId="8399" priority="14653"/>
    <cfRule type="duplicateValues" dxfId="8398" priority="14654"/>
    <cfRule type="duplicateValues" dxfId="8397" priority="14655"/>
    <cfRule type="duplicateValues" dxfId="8396" priority="14656"/>
    <cfRule type="duplicateValues" dxfId="8395" priority="14657"/>
    <cfRule type="duplicateValues" dxfId="8394" priority="14658"/>
    <cfRule type="duplicateValues" dxfId="8393" priority="14659"/>
    <cfRule type="duplicateValues" dxfId="8392" priority="14660"/>
    <cfRule type="duplicateValues" dxfId="8391" priority="14661"/>
    <cfRule type="duplicateValues" dxfId="8390" priority="14662"/>
    <cfRule type="duplicateValues" dxfId="8389" priority="14663"/>
    <cfRule type="duplicateValues" dxfId="8388" priority="14664"/>
    <cfRule type="duplicateValues" dxfId="8387" priority="14665"/>
    <cfRule type="duplicateValues" dxfId="8386" priority="14666"/>
  </conditionalFormatting>
  <conditionalFormatting sqref="C271">
    <cfRule type="duplicateValues" dxfId="8385" priority="13977"/>
    <cfRule type="duplicateValues" dxfId="8384" priority="13978"/>
    <cfRule type="duplicateValues" dxfId="8383" priority="13979"/>
    <cfRule type="duplicateValues" dxfId="8382" priority="13980"/>
    <cfRule type="duplicateValues" dxfId="8381" priority="13981"/>
    <cfRule type="duplicateValues" dxfId="8380" priority="13982"/>
    <cfRule type="duplicateValues" dxfId="8379" priority="13983"/>
    <cfRule type="duplicateValues" dxfId="8378" priority="13984"/>
    <cfRule type="duplicateValues" dxfId="8377" priority="13985"/>
    <cfRule type="duplicateValues" dxfId="8376" priority="13986"/>
    <cfRule type="duplicateValues" dxfId="8375" priority="13987"/>
    <cfRule type="duplicateValues" dxfId="8374" priority="13988"/>
    <cfRule type="duplicateValues" dxfId="8373" priority="13989"/>
    <cfRule type="duplicateValues" dxfId="8372" priority="13990"/>
    <cfRule type="duplicateValues" dxfId="8371" priority="13991"/>
    <cfRule type="duplicateValues" dxfId="8370" priority="13992"/>
    <cfRule type="duplicateValues" dxfId="8369" priority="13993"/>
    <cfRule type="duplicateValues" dxfId="8368" priority="13994"/>
    <cfRule type="duplicateValues" dxfId="8367" priority="13995"/>
    <cfRule type="duplicateValues" dxfId="8366" priority="13996"/>
    <cfRule type="duplicateValues" dxfId="8365" priority="13997"/>
    <cfRule type="duplicateValues" dxfId="8364" priority="13998"/>
    <cfRule type="duplicateValues" dxfId="8363" priority="13999"/>
    <cfRule type="duplicateValues" dxfId="8362" priority="14000"/>
    <cfRule type="duplicateValues" dxfId="8361" priority="14001"/>
    <cfRule type="duplicateValues" dxfId="8360" priority="14002"/>
    <cfRule type="duplicateValues" dxfId="8359" priority="14003"/>
    <cfRule type="duplicateValues" dxfId="8358" priority="14004"/>
    <cfRule type="duplicateValues" dxfId="8357" priority="14005"/>
    <cfRule type="duplicateValues" dxfId="8356" priority="14006"/>
    <cfRule type="duplicateValues" dxfId="8355" priority="14007"/>
    <cfRule type="duplicateValues" dxfId="8354" priority="14008"/>
    <cfRule type="duplicateValues" dxfId="8353" priority="14009"/>
    <cfRule type="duplicateValues" dxfId="8352" priority="14010"/>
    <cfRule type="duplicateValues" dxfId="8351" priority="14011"/>
    <cfRule type="duplicateValues" dxfId="8350" priority="14012"/>
    <cfRule type="duplicateValues" dxfId="8349" priority="14013"/>
    <cfRule type="duplicateValues" dxfId="8348" priority="14014"/>
    <cfRule type="duplicateValues" dxfId="8347" priority="14015"/>
    <cfRule type="duplicateValues" dxfId="8346" priority="14016"/>
    <cfRule type="duplicateValues" dxfId="8345" priority="14017"/>
    <cfRule type="duplicateValues" dxfId="8344" priority="14018"/>
    <cfRule type="duplicateValues" dxfId="8343" priority="14019"/>
    <cfRule type="duplicateValues" dxfId="8342" priority="14020"/>
    <cfRule type="duplicateValues" dxfId="8341" priority="14021"/>
    <cfRule type="duplicateValues" dxfId="8340" priority="14022"/>
    <cfRule type="duplicateValues" dxfId="8339" priority="14023"/>
    <cfRule type="duplicateValues" dxfId="8338" priority="14024"/>
    <cfRule type="duplicateValues" dxfId="8337" priority="14025"/>
    <cfRule type="duplicateValues" dxfId="8336" priority="14026"/>
    <cfRule type="duplicateValues" dxfId="8335" priority="14027"/>
    <cfRule type="duplicateValues" dxfId="8334" priority="14028"/>
    <cfRule type="duplicateValues" dxfId="8333" priority="14029"/>
    <cfRule type="duplicateValues" dxfId="8332" priority="14030"/>
    <cfRule type="duplicateValues" dxfId="8331" priority="14031"/>
    <cfRule type="duplicateValues" dxfId="8330" priority="14032"/>
    <cfRule type="duplicateValues" dxfId="8329" priority="14033"/>
    <cfRule type="duplicateValues" dxfId="8328" priority="14034"/>
    <cfRule type="duplicateValues" dxfId="8327" priority="14035"/>
    <cfRule type="duplicateValues" dxfId="8326" priority="14036"/>
    <cfRule type="duplicateValues" dxfId="8325" priority="14037"/>
    <cfRule type="duplicateValues" dxfId="8324" priority="14038"/>
    <cfRule type="duplicateValues" dxfId="8323" priority="14039"/>
    <cfRule type="duplicateValues" dxfId="8322" priority="14040"/>
    <cfRule type="duplicateValues" dxfId="8321" priority="14041"/>
    <cfRule type="duplicateValues" dxfId="8320" priority="14042"/>
    <cfRule type="duplicateValues" dxfId="8319" priority="14043"/>
    <cfRule type="duplicateValues" dxfId="8318" priority="14044"/>
    <cfRule type="duplicateValues" dxfId="8317" priority="14045"/>
    <cfRule type="duplicateValues" dxfId="8316" priority="14046"/>
    <cfRule type="duplicateValues" dxfId="8315" priority="14047"/>
    <cfRule type="duplicateValues" dxfId="8314" priority="14048"/>
    <cfRule type="duplicateValues" dxfId="8313" priority="14049"/>
    <cfRule type="duplicateValues" dxfId="8312" priority="14050"/>
    <cfRule type="duplicateValues" dxfId="8311" priority="14051"/>
    <cfRule type="duplicateValues" dxfId="8310" priority="14052"/>
    <cfRule type="duplicateValues" dxfId="8309" priority="14053"/>
    <cfRule type="duplicateValues" dxfId="8308" priority="14054"/>
    <cfRule type="duplicateValues" dxfId="8307" priority="14055"/>
    <cfRule type="duplicateValues" dxfId="8306" priority="14056"/>
    <cfRule type="duplicateValues" dxfId="8305" priority="14057"/>
    <cfRule type="duplicateValues" dxfId="8304" priority="14058"/>
    <cfRule type="duplicateValues" dxfId="8303" priority="14059"/>
    <cfRule type="duplicateValues" dxfId="8302" priority="14060"/>
    <cfRule type="duplicateValues" dxfId="8301" priority="14061"/>
    <cfRule type="duplicateValues" dxfId="8300" priority="14062"/>
    <cfRule type="duplicateValues" dxfId="8299" priority="14063"/>
    <cfRule type="duplicateValues" dxfId="8298" priority="14064"/>
    <cfRule type="duplicateValues" dxfId="8297" priority="14065"/>
    <cfRule type="duplicateValues" dxfId="8296" priority="14066"/>
    <cfRule type="duplicateValues" dxfId="8295" priority="14067"/>
    <cfRule type="duplicateValues" dxfId="8294" priority="14068"/>
    <cfRule type="duplicateValues" dxfId="8293" priority="14069"/>
    <cfRule type="duplicateValues" dxfId="8292" priority="14070"/>
    <cfRule type="duplicateValues" dxfId="8291" priority="14071"/>
    <cfRule type="duplicateValues" dxfId="8290" priority="14072"/>
    <cfRule type="duplicateValues" dxfId="8289" priority="14073"/>
    <cfRule type="duplicateValues" dxfId="8288" priority="14074"/>
    <cfRule type="duplicateValues" dxfId="8287" priority="14075"/>
    <cfRule type="duplicateValues" dxfId="8286" priority="14076"/>
    <cfRule type="duplicateValues" dxfId="8285" priority="14077"/>
    <cfRule type="duplicateValues" dxfId="8284" priority="14078"/>
    <cfRule type="duplicateValues" dxfId="8283" priority="14079"/>
    <cfRule type="duplicateValues" dxfId="8282" priority="14080"/>
    <cfRule type="duplicateValues" dxfId="8281" priority="14081"/>
    <cfRule type="duplicateValues" dxfId="8280" priority="14082"/>
    <cfRule type="duplicateValues" dxfId="8279" priority="14083"/>
    <cfRule type="duplicateValues" dxfId="8278" priority="14084"/>
    <cfRule type="duplicateValues" dxfId="8277" priority="14085"/>
    <cfRule type="duplicateValues" dxfId="8276" priority="14086"/>
    <cfRule type="duplicateValues" dxfId="8275" priority="14087"/>
    <cfRule type="duplicateValues" dxfId="8274" priority="14088"/>
    <cfRule type="duplicateValues" dxfId="8273" priority="14089"/>
    <cfRule type="duplicateValues" dxfId="8272" priority="14090"/>
    <cfRule type="duplicateValues" dxfId="8271" priority="14091"/>
    <cfRule type="duplicateValues" dxfId="8270" priority="14092"/>
    <cfRule type="duplicateValues" dxfId="8269" priority="14093"/>
    <cfRule type="duplicateValues" dxfId="8268" priority="14094"/>
    <cfRule type="duplicateValues" dxfId="8267" priority="14095"/>
    <cfRule type="duplicateValues" dxfId="8266" priority="14096"/>
    <cfRule type="duplicateValues" dxfId="8265" priority="14097"/>
    <cfRule type="duplicateValues" dxfId="8264" priority="14098"/>
    <cfRule type="duplicateValues" dxfId="8263" priority="14099"/>
    <cfRule type="duplicateValues" dxfId="8262" priority="14100"/>
    <cfRule type="duplicateValues" dxfId="8261" priority="14101"/>
    <cfRule type="duplicateValues" dxfId="8260" priority="14102"/>
    <cfRule type="duplicateValues" dxfId="8259" priority="14103"/>
    <cfRule type="duplicateValues" dxfId="8258" priority="14104"/>
    <cfRule type="duplicateValues" dxfId="8257" priority="14105"/>
    <cfRule type="duplicateValues" dxfId="8256" priority="14106"/>
    <cfRule type="duplicateValues" dxfId="8255" priority="14107"/>
    <cfRule type="duplicateValues" dxfId="8254" priority="14108"/>
    <cfRule type="duplicateValues" dxfId="8253" priority="14109"/>
    <cfRule type="duplicateValues" dxfId="8252" priority="14110"/>
    <cfRule type="duplicateValues" dxfId="8251" priority="14111"/>
    <cfRule type="duplicateValues" dxfId="8250" priority="14112"/>
    <cfRule type="duplicateValues" dxfId="8249" priority="14113"/>
    <cfRule type="duplicateValues" dxfId="8248" priority="14114"/>
    <cfRule type="duplicateValues" dxfId="8247" priority="14115"/>
    <cfRule type="duplicateValues" dxfId="8246" priority="14116"/>
    <cfRule type="duplicateValues" dxfId="8245" priority="14117"/>
    <cfRule type="duplicateValues" dxfId="8244" priority="14118"/>
    <cfRule type="duplicateValues" dxfId="8243" priority="14119"/>
    <cfRule type="duplicateValues" dxfId="8242" priority="14120"/>
    <cfRule type="duplicateValues" dxfId="8241" priority="14121"/>
    <cfRule type="duplicateValues" dxfId="8240" priority="14122"/>
    <cfRule type="duplicateValues" dxfId="8239" priority="14123"/>
    <cfRule type="duplicateValues" dxfId="8238" priority="14124"/>
    <cfRule type="duplicateValues" dxfId="8237" priority="14125"/>
    <cfRule type="duplicateValues" dxfId="8236" priority="14126"/>
    <cfRule type="duplicateValues" dxfId="8235" priority="14127"/>
    <cfRule type="duplicateValues" dxfId="8234" priority="14128"/>
    <cfRule type="duplicateValues" dxfId="8233" priority="14129"/>
    <cfRule type="duplicateValues" dxfId="8232" priority="14130"/>
    <cfRule type="duplicateValues" dxfId="8231" priority="14131"/>
    <cfRule type="duplicateValues" dxfId="8230" priority="14132"/>
    <cfRule type="duplicateValues" dxfId="8229" priority="14133"/>
    <cfRule type="duplicateValues" dxfId="8228" priority="14134"/>
    <cfRule type="duplicateValues" dxfId="8227" priority="14135"/>
    <cfRule type="duplicateValues" dxfId="8226" priority="14136"/>
    <cfRule type="duplicateValues" dxfId="8225" priority="14137"/>
    <cfRule type="duplicateValues" dxfId="8224" priority="14138"/>
    <cfRule type="duplicateValues" dxfId="8223" priority="14139"/>
    <cfRule type="duplicateValues" dxfId="8222" priority="14140"/>
    <cfRule type="duplicateValues" dxfId="8221" priority="14141"/>
    <cfRule type="duplicateValues" dxfId="8220" priority="14142"/>
    <cfRule type="duplicateValues" dxfId="8219" priority="14143"/>
    <cfRule type="duplicateValues" dxfId="8218" priority="14144"/>
    <cfRule type="duplicateValues" dxfId="8217" priority="14145"/>
    <cfRule type="duplicateValues" dxfId="8216" priority="14146"/>
    <cfRule type="duplicateValues" dxfId="8215" priority="14147"/>
    <cfRule type="duplicateValues" dxfId="8214" priority="14148"/>
    <cfRule type="duplicateValues" dxfId="8213" priority="14149"/>
    <cfRule type="duplicateValues" dxfId="8212" priority="14150"/>
    <cfRule type="duplicateValues" dxfId="8211" priority="14151"/>
    <cfRule type="duplicateValues" dxfId="8210" priority="14152"/>
    <cfRule type="duplicateValues" dxfId="8209" priority="14153"/>
    <cfRule type="duplicateValues" dxfId="8208" priority="14154"/>
    <cfRule type="duplicateValues" dxfId="8207" priority="14155"/>
    <cfRule type="duplicateValues" dxfId="8206" priority="14156"/>
    <cfRule type="duplicateValues" dxfId="8205" priority="14157"/>
    <cfRule type="duplicateValues" dxfId="8204" priority="14158"/>
    <cfRule type="duplicateValues" dxfId="8203" priority="14159"/>
    <cfRule type="duplicateValues" dxfId="8202" priority="14160"/>
    <cfRule type="duplicateValues" dxfId="8201" priority="14161"/>
    <cfRule type="duplicateValues" dxfId="8200" priority="14162"/>
    <cfRule type="duplicateValues" dxfId="8199" priority="14163"/>
    <cfRule type="duplicateValues" dxfId="8198" priority="14164"/>
    <cfRule type="duplicateValues" dxfId="8197" priority="14165"/>
    <cfRule type="duplicateValues" dxfId="8196" priority="14166"/>
    <cfRule type="duplicateValues" dxfId="8195" priority="14167"/>
    <cfRule type="duplicateValues" dxfId="8194" priority="14168"/>
    <cfRule type="duplicateValues" dxfId="8193" priority="14169"/>
    <cfRule type="duplicateValues" dxfId="8192" priority="14170"/>
    <cfRule type="duplicateValues" dxfId="8191" priority="14171"/>
    <cfRule type="duplicateValues" dxfId="8190" priority="14172"/>
    <cfRule type="duplicateValues" dxfId="8189" priority="14173"/>
    <cfRule type="duplicateValues" dxfId="8188" priority="14174"/>
    <cfRule type="duplicateValues" dxfId="8187" priority="14175"/>
    <cfRule type="duplicateValues" dxfId="8186" priority="14176"/>
    <cfRule type="duplicateValues" dxfId="8185" priority="14177"/>
    <cfRule type="duplicateValues" dxfId="8184" priority="14178"/>
    <cfRule type="duplicateValues" dxfId="8183" priority="14179"/>
    <cfRule type="duplicateValues" dxfId="8182" priority="14180"/>
    <cfRule type="duplicateValues" dxfId="8181" priority="14181"/>
    <cfRule type="duplicateValues" dxfId="8180" priority="14182"/>
    <cfRule type="duplicateValues" dxfId="8179" priority="14183"/>
    <cfRule type="duplicateValues" dxfId="8178" priority="14184"/>
    <cfRule type="duplicateValues" dxfId="8177" priority="14185"/>
    <cfRule type="duplicateValues" dxfId="8176" priority="14186"/>
    <cfRule type="duplicateValues" dxfId="8175" priority="14187"/>
    <cfRule type="duplicateValues" dxfId="8174" priority="14188"/>
    <cfRule type="duplicateValues" dxfId="8173" priority="14189"/>
    <cfRule type="duplicateValues" dxfId="8172" priority="14190"/>
    <cfRule type="duplicateValues" dxfId="8171" priority="14191"/>
    <cfRule type="duplicateValues" dxfId="8170" priority="14192"/>
    <cfRule type="duplicateValues" dxfId="8169" priority="14193"/>
    <cfRule type="duplicateValues" dxfId="8168" priority="14194"/>
    <cfRule type="duplicateValues" dxfId="8167" priority="14195"/>
    <cfRule type="duplicateValues" dxfId="8166" priority="14196"/>
    <cfRule type="duplicateValues" dxfId="8165" priority="14197"/>
    <cfRule type="duplicateValues" dxfId="8164" priority="14198"/>
    <cfRule type="duplicateValues" dxfId="8163" priority="14199"/>
    <cfRule type="duplicateValues" dxfId="8162" priority="14200"/>
    <cfRule type="duplicateValues" dxfId="8161" priority="14201"/>
    <cfRule type="duplicateValues" dxfId="8160" priority="14202"/>
    <cfRule type="duplicateValues" dxfId="8159" priority="14203"/>
    <cfRule type="duplicateValues" dxfId="8158" priority="14204"/>
    <cfRule type="duplicateValues" dxfId="8157" priority="14205"/>
    <cfRule type="duplicateValues" dxfId="8156" priority="14206"/>
    <cfRule type="duplicateValues" dxfId="8155" priority="14207"/>
    <cfRule type="duplicateValues" dxfId="8154" priority="14208"/>
    <cfRule type="duplicateValues" dxfId="8153" priority="14209"/>
    <cfRule type="duplicateValues" dxfId="8152" priority="14210"/>
    <cfRule type="duplicateValues" dxfId="8151" priority="14211"/>
    <cfRule type="duplicateValues" dxfId="8150" priority="14212"/>
    <cfRule type="duplicateValues" dxfId="8149" priority="14213"/>
    <cfRule type="duplicateValues" dxfId="8148" priority="14214"/>
    <cfRule type="duplicateValues" dxfId="8147" priority="14215"/>
    <cfRule type="duplicateValues" dxfId="8146" priority="14216"/>
    <cfRule type="duplicateValues" dxfId="8145" priority="14217"/>
    <cfRule type="duplicateValues" dxfId="8144" priority="14218"/>
    <cfRule type="duplicateValues" dxfId="8143" priority="14219"/>
    <cfRule type="duplicateValues" dxfId="8142" priority="14220"/>
    <cfRule type="duplicateValues" dxfId="8141" priority="14221"/>
    <cfRule type="duplicateValues" dxfId="8140" priority="14222"/>
    <cfRule type="duplicateValues" dxfId="8139" priority="14223"/>
    <cfRule type="duplicateValues" dxfId="8138" priority="14224"/>
    <cfRule type="duplicateValues" dxfId="8137" priority="14225"/>
    <cfRule type="duplicateValues" dxfId="8136" priority="14226"/>
    <cfRule type="duplicateValues" dxfId="8135" priority="14227"/>
    <cfRule type="duplicateValues" dxfId="8134" priority="14228"/>
    <cfRule type="duplicateValues" dxfId="8133" priority="14229"/>
    <cfRule type="duplicateValues" dxfId="8132" priority="14230"/>
    <cfRule type="duplicateValues" dxfId="8131" priority="14231"/>
    <cfRule type="duplicateValues" dxfId="8130" priority="14232"/>
    <cfRule type="duplicateValues" dxfId="8129" priority="14233"/>
    <cfRule type="duplicateValues" dxfId="8128" priority="14234"/>
    <cfRule type="duplicateValues" dxfId="8127" priority="14235"/>
    <cfRule type="duplicateValues" dxfId="8126" priority="14236"/>
    <cfRule type="duplicateValues" dxfId="8125" priority="14237"/>
    <cfRule type="duplicateValues" dxfId="8124" priority="14238"/>
    <cfRule type="duplicateValues" dxfId="8123" priority="14239"/>
    <cfRule type="duplicateValues" dxfId="8122" priority="14240"/>
    <cfRule type="duplicateValues" dxfId="8121" priority="14241"/>
    <cfRule type="duplicateValues" dxfId="8120" priority="14242"/>
    <cfRule type="duplicateValues" dxfId="8119" priority="14243"/>
    <cfRule type="duplicateValues" dxfId="8118" priority="14244"/>
    <cfRule type="duplicateValues" dxfId="8117" priority="14245"/>
    <cfRule type="duplicateValues" dxfId="8116" priority="14246"/>
    <cfRule type="duplicateValues" dxfId="8115" priority="14247"/>
    <cfRule type="duplicateValues" dxfId="8114" priority="14248"/>
    <cfRule type="duplicateValues" dxfId="8113" priority="14249"/>
    <cfRule type="duplicateValues" dxfId="8112" priority="14250"/>
    <cfRule type="duplicateValues" dxfId="8111" priority="14251"/>
    <cfRule type="duplicateValues" dxfId="8110" priority="14252"/>
    <cfRule type="duplicateValues" dxfId="8109" priority="14253"/>
    <cfRule type="duplicateValues" dxfId="8108" priority="14254"/>
    <cfRule type="duplicateValues" dxfId="8107" priority="14255"/>
    <cfRule type="duplicateValues" dxfId="8106" priority="14256"/>
    <cfRule type="duplicateValues" dxfId="8105" priority="14257"/>
    <cfRule type="duplicateValues" dxfId="8104" priority="14258"/>
    <cfRule type="duplicateValues" dxfId="8103" priority="14259"/>
    <cfRule type="duplicateValues" dxfId="8102" priority="14260"/>
    <cfRule type="duplicateValues" dxfId="8101" priority="14261"/>
    <cfRule type="duplicateValues" dxfId="8100" priority="14262"/>
    <cfRule type="duplicateValues" dxfId="8099" priority="14263"/>
    <cfRule type="duplicateValues" dxfId="8098" priority="14264"/>
    <cfRule type="duplicateValues" dxfId="8097" priority="14265"/>
    <cfRule type="duplicateValues" dxfId="8096" priority="14266"/>
    <cfRule type="duplicateValues" dxfId="8095" priority="14267"/>
    <cfRule type="duplicateValues" dxfId="8094" priority="14268"/>
    <cfRule type="duplicateValues" dxfId="8093" priority="14269"/>
    <cfRule type="duplicateValues" dxfId="8092" priority="14270"/>
    <cfRule type="duplicateValues" dxfId="8091" priority="14271"/>
    <cfRule type="duplicateValues" dxfId="8090" priority="14272"/>
    <cfRule type="duplicateValues" dxfId="8089" priority="14273"/>
    <cfRule type="duplicateValues" dxfId="8088" priority="14274"/>
    <cfRule type="duplicateValues" dxfId="8087" priority="14275"/>
    <cfRule type="duplicateValues" dxfId="8086" priority="14276"/>
    <cfRule type="duplicateValues" dxfId="8085" priority="14277"/>
    <cfRule type="duplicateValues" dxfId="8084" priority="14278"/>
    <cfRule type="duplicateValues" dxfId="8083" priority="14279"/>
    <cfRule type="duplicateValues" dxfId="8082" priority="14280"/>
    <cfRule type="duplicateValues" dxfId="8081" priority="14281"/>
    <cfRule type="duplicateValues" dxfId="8080" priority="14282"/>
    <cfRule type="duplicateValues" dxfId="8079" priority="14283"/>
    <cfRule type="duplicateValues" dxfId="8078" priority="14284"/>
    <cfRule type="duplicateValues" dxfId="8077" priority="14285"/>
    <cfRule type="duplicateValues" dxfId="8076" priority="14286"/>
    <cfRule type="duplicateValues" dxfId="8075" priority="14287"/>
    <cfRule type="duplicateValues" dxfId="8074" priority="14288"/>
    <cfRule type="duplicateValues" dxfId="8073" priority="14289"/>
    <cfRule type="duplicateValues" dxfId="8072" priority="14290"/>
    <cfRule type="duplicateValues" dxfId="8071" priority="14291"/>
    <cfRule type="duplicateValues" dxfId="8070" priority="14292"/>
    <cfRule type="duplicateValues" dxfId="8069" priority="14293"/>
    <cfRule type="duplicateValues" dxfId="8068" priority="14294"/>
    <cfRule type="duplicateValues" dxfId="8067" priority="14295"/>
    <cfRule type="duplicateValues" dxfId="8066" priority="14296"/>
    <cfRule type="duplicateValues" dxfId="8065" priority="14297"/>
    <cfRule type="duplicateValues" dxfId="8064" priority="14298"/>
    <cfRule type="duplicateValues" dxfId="8063" priority="14299"/>
    <cfRule type="duplicateValues" dxfId="8062" priority="14300"/>
    <cfRule type="duplicateValues" dxfId="8061" priority="14301"/>
    <cfRule type="duplicateValues" dxfId="8060" priority="14302"/>
    <cfRule type="duplicateValues" dxfId="8059" priority="14303"/>
    <cfRule type="duplicateValues" dxfId="8058" priority="14304"/>
    <cfRule type="duplicateValues" dxfId="8057" priority="14305"/>
    <cfRule type="duplicateValues" dxfId="8056" priority="14306"/>
    <cfRule type="duplicateValues" dxfId="8055" priority="14307"/>
    <cfRule type="duplicateValues" dxfId="8054" priority="14308"/>
    <cfRule type="duplicateValues" dxfId="8053" priority="14309"/>
    <cfRule type="duplicateValues" dxfId="8052" priority="14310"/>
    <cfRule type="duplicateValues" dxfId="8051" priority="14311"/>
    <cfRule type="duplicateValues" dxfId="8050" priority="14312"/>
    <cfRule type="duplicateValues" dxfId="8049" priority="14313"/>
    <cfRule type="duplicateValues" dxfId="8048" priority="14314"/>
    <cfRule type="duplicateValues" dxfId="8047" priority="14315"/>
    <cfRule type="duplicateValues" dxfId="8046" priority="14316"/>
    <cfRule type="duplicateValues" dxfId="8045" priority="14317"/>
    <cfRule type="duplicateValues" dxfId="8044" priority="14318"/>
    <cfRule type="duplicateValues" dxfId="8043" priority="14319"/>
    <cfRule type="duplicateValues" dxfId="8042" priority="14320"/>
    <cfRule type="duplicateValues" dxfId="8041" priority="14321"/>
  </conditionalFormatting>
  <conditionalFormatting sqref="C272:C273">
    <cfRule type="duplicateValues" dxfId="8040" priority="4378"/>
    <cfRule type="duplicateValues" dxfId="8039" priority="4379"/>
    <cfRule type="duplicateValues" dxfId="8038" priority="4380"/>
    <cfRule type="duplicateValues" dxfId="8037" priority="4381"/>
    <cfRule type="duplicateValues" dxfId="8036" priority="4382"/>
    <cfRule type="duplicateValues" dxfId="8035" priority="4383"/>
    <cfRule type="duplicateValues" dxfId="8034" priority="4384"/>
    <cfRule type="duplicateValues" dxfId="8033" priority="4385"/>
    <cfRule type="duplicateValues" dxfId="8032" priority="4386"/>
    <cfRule type="duplicateValues" dxfId="8031" priority="4387"/>
    <cfRule type="duplicateValues" dxfId="8030" priority="4388"/>
    <cfRule type="duplicateValues" dxfId="8029" priority="4389"/>
    <cfRule type="duplicateValues" dxfId="8028" priority="4390"/>
    <cfRule type="duplicateValues" dxfId="8027" priority="4391"/>
    <cfRule type="duplicateValues" dxfId="8026" priority="4392"/>
    <cfRule type="duplicateValues" dxfId="8025" priority="4393"/>
    <cfRule type="duplicateValues" dxfId="8024" priority="4394"/>
    <cfRule type="duplicateValues" dxfId="8023" priority="4395"/>
    <cfRule type="duplicateValues" dxfId="8022" priority="4396"/>
    <cfRule type="duplicateValues" dxfId="8021" priority="4397"/>
    <cfRule type="duplicateValues" dxfId="8020" priority="4398"/>
    <cfRule type="duplicateValues" dxfId="8019" priority="4399"/>
    <cfRule type="duplicateValues" dxfId="8018" priority="4400"/>
    <cfRule type="duplicateValues" dxfId="8017" priority="4401"/>
    <cfRule type="duplicateValues" dxfId="8016" priority="4402"/>
    <cfRule type="duplicateValues" dxfId="8015" priority="4403"/>
    <cfRule type="duplicateValues" dxfId="8014" priority="4404"/>
    <cfRule type="duplicateValues" dxfId="8013" priority="4405"/>
    <cfRule type="duplicateValues" dxfId="8012" priority="4406"/>
    <cfRule type="duplicateValues" dxfId="8011" priority="4407"/>
    <cfRule type="duplicateValues" dxfId="8010" priority="4408"/>
    <cfRule type="duplicateValues" dxfId="8009" priority="4409"/>
    <cfRule type="duplicateValues" dxfId="8008" priority="4410"/>
    <cfRule type="duplicateValues" dxfId="8007" priority="4411"/>
    <cfRule type="duplicateValues" dxfId="8006" priority="4412"/>
    <cfRule type="duplicateValues" dxfId="8005" priority="4413"/>
    <cfRule type="duplicateValues" dxfId="8004" priority="4414"/>
    <cfRule type="duplicateValues" dxfId="8003" priority="4415"/>
    <cfRule type="duplicateValues" dxfId="8002" priority="4416"/>
    <cfRule type="duplicateValues" dxfId="8001" priority="4417"/>
    <cfRule type="duplicateValues" dxfId="8000" priority="4418"/>
    <cfRule type="duplicateValues" dxfId="7999" priority="4419"/>
    <cfRule type="duplicateValues" dxfId="7998" priority="4420"/>
    <cfRule type="duplicateValues" dxfId="7997" priority="4421"/>
    <cfRule type="duplicateValues" dxfId="7996" priority="4422"/>
    <cfRule type="duplicateValues" dxfId="7995" priority="4423"/>
    <cfRule type="duplicateValues" dxfId="7994" priority="4424"/>
    <cfRule type="duplicateValues" dxfId="7993" priority="4425"/>
    <cfRule type="duplicateValues" dxfId="7992" priority="4426"/>
    <cfRule type="duplicateValues" dxfId="7991" priority="4427"/>
    <cfRule type="duplicateValues" dxfId="7990" priority="4428"/>
    <cfRule type="duplicateValues" dxfId="7989" priority="4429"/>
    <cfRule type="duplicateValues" dxfId="7988" priority="4430"/>
    <cfRule type="duplicateValues" dxfId="7987" priority="4431"/>
    <cfRule type="duplicateValues" dxfId="7986" priority="4432"/>
    <cfRule type="duplicateValues" dxfId="7985" priority="4433"/>
    <cfRule type="duplicateValues" dxfId="7984" priority="4434"/>
    <cfRule type="duplicateValues" dxfId="7983" priority="4435"/>
    <cfRule type="duplicateValues" dxfId="7982" priority="4436"/>
    <cfRule type="duplicateValues" dxfId="7981" priority="4437"/>
    <cfRule type="duplicateValues" dxfId="7980" priority="4438"/>
    <cfRule type="duplicateValues" dxfId="7979" priority="4439"/>
    <cfRule type="duplicateValues" dxfId="7978" priority="4440"/>
    <cfRule type="duplicateValues" dxfId="7977" priority="4441"/>
    <cfRule type="duplicateValues" dxfId="7976" priority="4442"/>
    <cfRule type="duplicateValues" dxfId="7975" priority="4443"/>
    <cfRule type="duplicateValues" dxfId="7974" priority="4444"/>
    <cfRule type="duplicateValues" dxfId="7973" priority="4445"/>
    <cfRule type="duplicateValues" dxfId="7972" priority="4446"/>
    <cfRule type="duplicateValues" dxfId="7971" priority="4447"/>
    <cfRule type="duplicateValues" dxfId="7970" priority="4448"/>
    <cfRule type="duplicateValues" dxfId="7969" priority="4449"/>
    <cfRule type="duplicateValues" dxfId="7968" priority="4450"/>
    <cfRule type="duplicateValues" dxfId="7967" priority="4451"/>
    <cfRule type="duplicateValues" dxfId="7966" priority="4452"/>
    <cfRule type="duplicateValues" dxfId="7965" priority="4453"/>
    <cfRule type="duplicateValues" dxfId="7964" priority="4454"/>
    <cfRule type="duplicateValues" dxfId="7963" priority="4455"/>
    <cfRule type="duplicateValues" dxfId="7962" priority="4456"/>
    <cfRule type="duplicateValues" dxfId="7961" priority="4457"/>
    <cfRule type="duplicateValues" dxfId="7960" priority="4458"/>
    <cfRule type="duplicateValues" dxfId="7959" priority="4459"/>
    <cfRule type="duplicateValues" dxfId="7958" priority="4460"/>
    <cfRule type="duplicateValues" dxfId="7957" priority="4461"/>
    <cfRule type="duplicateValues" dxfId="7956" priority="4462"/>
    <cfRule type="duplicateValues" dxfId="7955" priority="4463"/>
    <cfRule type="duplicateValues" dxfId="7954" priority="4464"/>
    <cfRule type="duplicateValues" dxfId="7953" priority="4465"/>
    <cfRule type="duplicateValues" dxfId="7952" priority="4466"/>
    <cfRule type="duplicateValues" dxfId="7951" priority="4467"/>
    <cfRule type="duplicateValues" dxfId="7950" priority="4468"/>
    <cfRule type="duplicateValues" dxfId="7949" priority="4469"/>
    <cfRule type="duplicateValues" dxfId="7948" priority="4470"/>
    <cfRule type="duplicateValues" dxfId="7947" priority="4471"/>
    <cfRule type="duplicateValues" dxfId="7946" priority="4472"/>
    <cfRule type="duplicateValues" dxfId="7945" priority="4473"/>
    <cfRule type="duplicateValues" dxfId="7944" priority="4474"/>
    <cfRule type="duplicateValues" dxfId="7943" priority="4475"/>
    <cfRule type="duplicateValues" dxfId="7942" priority="4476"/>
    <cfRule type="duplicateValues" dxfId="7941" priority="4477"/>
    <cfRule type="duplicateValues" dxfId="7940" priority="4478"/>
    <cfRule type="duplicateValues" dxfId="7939" priority="4479"/>
    <cfRule type="duplicateValues" dxfId="7938" priority="4480"/>
    <cfRule type="duplicateValues" dxfId="7937" priority="4481"/>
    <cfRule type="duplicateValues" dxfId="7936" priority="4482"/>
    <cfRule type="duplicateValues" dxfId="7935" priority="4483"/>
    <cfRule type="duplicateValues" dxfId="7934" priority="4484"/>
    <cfRule type="duplicateValues" dxfId="7933" priority="4485"/>
    <cfRule type="duplicateValues" dxfId="7932" priority="4486"/>
    <cfRule type="duplicateValues" dxfId="7931" priority="4487"/>
    <cfRule type="duplicateValues" dxfId="7930" priority="4488"/>
    <cfRule type="duplicateValues" dxfId="7929" priority="4489"/>
    <cfRule type="duplicateValues" dxfId="7928" priority="4490"/>
    <cfRule type="duplicateValues" dxfId="7927" priority="4491"/>
    <cfRule type="duplicateValues" dxfId="7926" priority="4492"/>
    <cfRule type="duplicateValues" dxfId="7925" priority="4493"/>
    <cfRule type="duplicateValues" dxfId="7924" priority="4494"/>
    <cfRule type="duplicateValues" dxfId="7923" priority="4495"/>
    <cfRule type="duplicateValues" dxfId="7922" priority="4496"/>
    <cfRule type="duplicateValues" dxfId="7921" priority="4497"/>
    <cfRule type="duplicateValues" dxfId="7920" priority="4498"/>
    <cfRule type="duplicateValues" dxfId="7919" priority="4499"/>
    <cfRule type="duplicateValues" dxfId="7918" priority="4500"/>
    <cfRule type="duplicateValues" dxfId="7917" priority="4501"/>
    <cfRule type="duplicateValues" dxfId="7916" priority="4502"/>
    <cfRule type="duplicateValues" dxfId="7915" priority="4503"/>
    <cfRule type="duplicateValues" dxfId="7914" priority="4504"/>
    <cfRule type="duplicateValues" dxfId="7913" priority="4505"/>
    <cfRule type="duplicateValues" dxfId="7912" priority="4506"/>
    <cfRule type="duplicateValues" dxfId="7911" priority="4507"/>
    <cfRule type="duplicateValues" dxfId="7910" priority="4508"/>
    <cfRule type="duplicateValues" dxfId="7909" priority="4509"/>
    <cfRule type="duplicateValues" dxfId="7908" priority="4510"/>
    <cfRule type="duplicateValues" dxfId="7907" priority="4511"/>
    <cfRule type="duplicateValues" dxfId="7906" priority="4512"/>
    <cfRule type="duplicateValues" dxfId="7905" priority="4513"/>
    <cfRule type="duplicateValues" dxfId="7904" priority="4514"/>
    <cfRule type="duplicateValues" dxfId="7903" priority="4515"/>
    <cfRule type="duplicateValues" dxfId="7902" priority="4516"/>
    <cfRule type="duplicateValues" dxfId="7901" priority="4517"/>
    <cfRule type="duplicateValues" dxfId="7900" priority="4518"/>
    <cfRule type="duplicateValues" dxfId="7899" priority="4519"/>
    <cfRule type="duplicateValues" dxfId="7898" priority="4520"/>
    <cfRule type="duplicateValues" dxfId="7897" priority="4521"/>
    <cfRule type="duplicateValues" dxfId="7896" priority="4522"/>
    <cfRule type="duplicateValues" dxfId="7895" priority="4523"/>
    <cfRule type="duplicateValues" dxfId="7894" priority="4524"/>
    <cfRule type="duplicateValues" dxfId="7893" priority="4525"/>
    <cfRule type="duplicateValues" dxfId="7892" priority="4526"/>
    <cfRule type="duplicateValues" dxfId="7891" priority="4527"/>
    <cfRule type="duplicateValues" dxfId="7890" priority="4528"/>
    <cfRule type="duplicateValues" dxfId="7889" priority="4529"/>
    <cfRule type="duplicateValues" dxfId="7888" priority="4530"/>
    <cfRule type="duplicateValues" dxfId="7887" priority="4531"/>
    <cfRule type="duplicateValues" dxfId="7886" priority="4532"/>
    <cfRule type="duplicateValues" dxfId="7885" priority="4533"/>
    <cfRule type="duplicateValues" dxfId="7884" priority="4534"/>
    <cfRule type="duplicateValues" dxfId="7883" priority="4535"/>
    <cfRule type="duplicateValues" dxfId="7882" priority="4536"/>
    <cfRule type="duplicateValues" dxfId="7881" priority="4537"/>
    <cfRule type="duplicateValues" dxfId="7880" priority="4538"/>
    <cfRule type="duplicateValues" dxfId="7879" priority="4539"/>
    <cfRule type="duplicateValues" dxfId="7878" priority="4540"/>
    <cfRule type="duplicateValues" dxfId="7877" priority="4541"/>
    <cfRule type="duplicateValues" dxfId="7876" priority="4542"/>
    <cfRule type="duplicateValues" dxfId="7875" priority="4543"/>
    <cfRule type="duplicateValues" dxfId="7874" priority="4544"/>
    <cfRule type="duplicateValues" dxfId="7873" priority="4545"/>
    <cfRule type="duplicateValues" dxfId="7872" priority="4546"/>
    <cfRule type="duplicateValues" dxfId="7871" priority="4547"/>
    <cfRule type="duplicateValues" dxfId="7870" priority="4548"/>
    <cfRule type="duplicateValues" dxfId="7869" priority="4549"/>
    <cfRule type="duplicateValues" dxfId="7868" priority="4550"/>
    <cfRule type="duplicateValues" dxfId="7867" priority="4551"/>
    <cfRule type="duplicateValues" dxfId="7866" priority="4552"/>
    <cfRule type="duplicateValues" dxfId="7865" priority="4553"/>
    <cfRule type="duplicateValues" dxfId="7864" priority="4554"/>
    <cfRule type="duplicateValues" dxfId="7863" priority="4555"/>
    <cfRule type="duplicateValues" dxfId="7862" priority="4556"/>
    <cfRule type="duplicateValues" dxfId="7861" priority="4557"/>
    <cfRule type="duplicateValues" dxfId="7860" priority="4558"/>
    <cfRule type="duplicateValues" dxfId="7859" priority="4559"/>
    <cfRule type="duplicateValues" dxfId="7858" priority="4560"/>
    <cfRule type="duplicateValues" dxfId="7857" priority="4561"/>
    <cfRule type="duplicateValues" dxfId="7856" priority="4562"/>
    <cfRule type="duplicateValues" dxfId="7855" priority="4563"/>
    <cfRule type="duplicateValues" dxfId="7854" priority="4564"/>
    <cfRule type="duplicateValues" dxfId="7853" priority="4565"/>
    <cfRule type="duplicateValues" dxfId="7852" priority="4566"/>
    <cfRule type="duplicateValues" dxfId="7851" priority="4567"/>
    <cfRule type="duplicateValues" dxfId="7850" priority="4568"/>
    <cfRule type="duplicateValues" dxfId="7849" priority="4569"/>
    <cfRule type="duplicateValues" dxfId="7848" priority="4570"/>
    <cfRule type="duplicateValues" dxfId="7847" priority="4571"/>
    <cfRule type="duplicateValues" dxfId="7846" priority="4572"/>
    <cfRule type="duplicateValues" dxfId="7845" priority="4573"/>
    <cfRule type="duplicateValues" dxfId="7844" priority="4574"/>
    <cfRule type="duplicateValues" dxfId="7843" priority="4575"/>
    <cfRule type="duplicateValues" dxfId="7842" priority="4576"/>
    <cfRule type="duplicateValues" dxfId="7841" priority="4577"/>
    <cfRule type="duplicateValues" dxfId="7840" priority="4578"/>
    <cfRule type="duplicateValues" dxfId="7839" priority="4579"/>
    <cfRule type="duplicateValues" dxfId="7838" priority="4580"/>
    <cfRule type="duplicateValues" dxfId="7837" priority="4581"/>
    <cfRule type="duplicateValues" dxfId="7836" priority="4582"/>
    <cfRule type="duplicateValues" dxfId="7835" priority="4583"/>
    <cfRule type="duplicateValues" dxfId="7834" priority="4584"/>
    <cfRule type="duplicateValues" dxfId="7833" priority="4585"/>
    <cfRule type="duplicateValues" dxfId="7832" priority="4586"/>
    <cfRule type="duplicateValues" dxfId="7831" priority="4587"/>
    <cfRule type="duplicateValues" dxfId="7830" priority="4588"/>
    <cfRule type="duplicateValues" dxfId="7829" priority="4589"/>
    <cfRule type="duplicateValues" dxfId="7828" priority="4590"/>
    <cfRule type="duplicateValues" dxfId="7827" priority="4591"/>
    <cfRule type="duplicateValues" dxfId="7826" priority="4592"/>
    <cfRule type="duplicateValues" dxfId="7825" priority="4593"/>
    <cfRule type="duplicateValues" dxfId="7824" priority="4594"/>
    <cfRule type="duplicateValues" dxfId="7823" priority="4595"/>
    <cfRule type="duplicateValues" dxfId="7822" priority="4596"/>
    <cfRule type="duplicateValues" dxfId="7821" priority="4597"/>
    <cfRule type="duplicateValues" dxfId="7820" priority="4598"/>
    <cfRule type="duplicateValues" dxfId="7819" priority="4599"/>
    <cfRule type="duplicateValues" dxfId="7818" priority="4600"/>
    <cfRule type="duplicateValues" dxfId="7817" priority="4601"/>
    <cfRule type="duplicateValues" dxfId="7816" priority="4602"/>
    <cfRule type="duplicateValues" dxfId="7815" priority="4603"/>
    <cfRule type="duplicateValues" dxfId="7814" priority="4604"/>
    <cfRule type="duplicateValues" dxfId="7813" priority="4605"/>
    <cfRule type="duplicateValues" dxfId="7812" priority="4606"/>
    <cfRule type="duplicateValues" dxfId="7811" priority="4607"/>
    <cfRule type="duplicateValues" dxfId="7810" priority="4608"/>
    <cfRule type="duplicateValues" dxfId="7809" priority="4609"/>
    <cfRule type="duplicateValues" dxfId="7808" priority="4610"/>
    <cfRule type="duplicateValues" dxfId="7807" priority="4611"/>
    <cfRule type="duplicateValues" dxfId="7806" priority="4612"/>
    <cfRule type="duplicateValues" dxfId="7805" priority="4613"/>
    <cfRule type="duplicateValues" dxfId="7804" priority="4614"/>
    <cfRule type="duplicateValues" dxfId="7803" priority="4615"/>
    <cfRule type="duplicateValues" dxfId="7802" priority="4616"/>
    <cfRule type="duplicateValues" dxfId="7801" priority="4617"/>
    <cfRule type="duplicateValues" dxfId="7800" priority="4618"/>
    <cfRule type="duplicateValues" dxfId="7799" priority="4619"/>
    <cfRule type="duplicateValues" dxfId="7798" priority="4620"/>
    <cfRule type="duplicateValues" dxfId="7797" priority="4621"/>
    <cfRule type="duplicateValues" dxfId="7796" priority="4622"/>
    <cfRule type="duplicateValues" dxfId="7795" priority="4623"/>
    <cfRule type="duplicateValues" dxfId="7794" priority="4624"/>
    <cfRule type="duplicateValues" dxfId="7793" priority="4625"/>
    <cfRule type="duplicateValues" dxfId="7792" priority="4626"/>
    <cfRule type="duplicateValues" dxfId="7791" priority="4627"/>
    <cfRule type="duplicateValues" dxfId="7790" priority="4628"/>
    <cfRule type="duplicateValues" dxfId="7789" priority="4629"/>
    <cfRule type="duplicateValues" dxfId="7788" priority="4630"/>
    <cfRule type="duplicateValues" dxfId="7787" priority="4631"/>
    <cfRule type="duplicateValues" dxfId="7786" priority="4632"/>
    <cfRule type="duplicateValues" dxfId="7785" priority="4633"/>
    <cfRule type="duplicateValues" dxfId="7784" priority="4634"/>
    <cfRule type="duplicateValues" dxfId="7783" priority="4635"/>
    <cfRule type="duplicateValues" dxfId="7782" priority="4636"/>
    <cfRule type="duplicateValues" dxfId="7781" priority="4637"/>
    <cfRule type="duplicateValues" dxfId="7780" priority="4638"/>
    <cfRule type="duplicateValues" dxfId="7779" priority="4639"/>
    <cfRule type="duplicateValues" dxfId="7778" priority="4640"/>
    <cfRule type="duplicateValues" dxfId="7777" priority="4641"/>
    <cfRule type="duplicateValues" dxfId="7776" priority="4642"/>
    <cfRule type="duplicateValues" dxfId="7775" priority="4643"/>
    <cfRule type="duplicateValues" dxfId="7774" priority="4644"/>
    <cfRule type="duplicateValues" dxfId="7773" priority="4645"/>
    <cfRule type="duplicateValues" dxfId="7772" priority="4646"/>
    <cfRule type="duplicateValues" dxfId="7771" priority="4647"/>
    <cfRule type="duplicateValues" dxfId="7770" priority="4648"/>
    <cfRule type="duplicateValues" dxfId="7769" priority="4649"/>
    <cfRule type="duplicateValues" dxfId="7768" priority="4650"/>
    <cfRule type="duplicateValues" dxfId="7767" priority="4651"/>
    <cfRule type="duplicateValues" dxfId="7766" priority="4652"/>
    <cfRule type="duplicateValues" dxfId="7765" priority="4653"/>
    <cfRule type="duplicateValues" dxfId="7764" priority="4654"/>
    <cfRule type="duplicateValues" dxfId="7763" priority="4655"/>
    <cfRule type="duplicateValues" dxfId="7762" priority="4656"/>
    <cfRule type="duplicateValues" dxfId="7761" priority="4657"/>
    <cfRule type="duplicateValues" dxfId="7760" priority="4658"/>
    <cfRule type="duplicateValues" dxfId="7759" priority="4659"/>
    <cfRule type="duplicateValues" dxfId="7758" priority="4660"/>
    <cfRule type="duplicateValues" dxfId="7757" priority="4661"/>
    <cfRule type="duplicateValues" dxfId="7756" priority="4662"/>
    <cfRule type="duplicateValues" dxfId="7755" priority="4663"/>
    <cfRule type="duplicateValues" dxfId="7754" priority="4664"/>
    <cfRule type="duplicateValues" dxfId="7753" priority="4665"/>
    <cfRule type="duplicateValues" dxfId="7752" priority="4666"/>
    <cfRule type="duplicateValues" dxfId="7751" priority="4667"/>
    <cfRule type="duplicateValues" dxfId="7750" priority="4668"/>
    <cfRule type="duplicateValues" dxfId="7749" priority="4669"/>
    <cfRule type="duplicateValues" dxfId="7748" priority="4670"/>
    <cfRule type="duplicateValues" dxfId="7747" priority="4671"/>
    <cfRule type="duplicateValues" dxfId="7746" priority="4672"/>
    <cfRule type="duplicateValues" dxfId="7745" priority="4673"/>
    <cfRule type="duplicateValues" dxfId="7744" priority="4674"/>
    <cfRule type="duplicateValues" dxfId="7743" priority="4675"/>
    <cfRule type="duplicateValues" dxfId="7742" priority="4676"/>
    <cfRule type="duplicateValues" dxfId="7741" priority="4677"/>
    <cfRule type="duplicateValues" dxfId="7740" priority="4678"/>
    <cfRule type="duplicateValues" dxfId="7739" priority="4679"/>
    <cfRule type="duplicateValues" dxfId="7738" priority="4680"/>
    <cfRule type="duplicateValues" dxfId="7737" priority="4681"/>
    <cfRule type="duplicateValues" dxfId="7736" priority="4682"/>
    <cfRule type="duplicateValues" dxfId="7735" priority="4683"/>
    <cfRule type="duplicateValues" dxfId="7734" priority="4684"/>
    <cfRule type="duplicateValues" dxfId="7733" priority="4685"/>
    <cfRule type="duplicateValues" dxfId="7732" priority="4686"/>
    <cfRule type="duplicateValues" dxfId="7731" priority="4687"/>
    <cfRule type="duplicateValues" dxfId="7730" priority="4688"/>
    <cfRule type="duplicateValues" dxfId="7729" priority="4689"/>
    <cfRule type="duplicateValues" dxfId="7728" priority="4690"/>
    <cfRule type="duplicateValues" dxfId="7727" priority="4691"/>
    <cfRule type="duplicateValues" dxfId="7726" priority="4692"/>
    <cfRule type="duplicateValues" dxfId="7725" priority="4693"/>
    <cfRule type="duplicateValues" dxfId="7724" priority="4694"/>
    <cfRule type="duplicateValues" dxfId="7723" priority="4695"/>
    <cfRule type="duplicateValues" dxfId="7722" priority="4696"/>
    <cfRule type="duplicateValues" dxfId="7721" priority="4697"/>
    <cfRule type="duplicateValues" dxfId="7720" priority="4698"/>
    <cfRule type="duplicateValues" dxfId="7719" priority="4699"/>
    <cfRule type="duplicateValues" dxfId="7718" priority="4700"/>
    <cfRule type="duplicateValues" dxfId="7717" priority="4701"/>
    <cfRule type="duplicateValues" dxfId="7716" priority="4702"/>
    <cfRule type="duplicateValues" dxfId="7715" priority="4703"/>
    <cfRule type="duplicateValues" dxfId="7714" priority="4704"/>
    <cfRule type="duplicateValues" dxfId="7713" priority="4705"/>
    <cfRule type="duplicateValues" dxfId="7712" priority="4706"/>
    <cfRule type="duplicateValues" dxfId="7711" priority="4707"/>
    <cfRule type="duplicateValues" dxfId="7710" priority="4708"/>
    <cfRule type="duplicateValues" dxfId="7709" priority="4709"/>
    <cfRule type="duplicateValues" dxfId="7708" priority="4710"/>
    <cfRule type="duplicateValues" dxfId="7707" priority="4711"/>
    <cfRule type="duplicateValues" dxfId="7706" priority="4712"/>
    <cfRule type="duplicateValues" dxfId="7705" priority="4713"/>
    <cfRule type="duplicateValues" dxfId="7704" priority="4714"/>
    <cfRule type="duplicateValues" dxfId="7703" priority="4715"/>
    <cfRule type="duplicateValues" dxfId="7702" priority="4716"/>
    <cfRule type="duplicateValues" dxfId="7701" priority="4717"/>
    <cfRule type="duplicateValues" dxfId="7700" priority="4718"/>
    <cfRule type="duplicateValues" dxfId="7699" priority="4719"/>
    <cfRule type="duplicateValues" dxfId="7698" priority="4720"/>
    <cfRule type="duplicateValues" dxfId="7697" priority="4721"/>
    <cfRule type="duplicateValues" dxfId="7696" priority="4722"/>
  </conditionalFormatting>
  <conditionalFormatting sqref="C274:C276">
    <cfRule type="duplicateValues" dxfId="7695" priority="4033"/>
    <cfRule type="duplicateValues" dxfId="7694" priority="4034"/>
    <cfRule type="duplicateValues" dxfId="7693" priority="4035"/>
    <cfRule type="duplicateValues" dxfId="7692" priority="4036"/>
    <cfRule type="duplicateValues" dxfId="7691" priority="4037"/>
    <cfRule type="duplicateValues" dxfId="7690" priority="4038"/>
    <cfRule type="duplicateValues" dxfId="7689" priority="4039"/>
    <cfRule type="duplicateValues" dxfId="7688" priority="4040"/>
    <cfRule type="duplicateValues" dxfId="7687" priority="4041"/>
    <cfRule type="duplicateValues" dxfId="7686" priority="4042"/>
    <cfRule type="duplicateValues" dxfId="7685" priority="4043"/>
    <cfRule type="duplicateValues" dxfId="7684" priority="4044"/>
    <cfRule type="duplicateValues" dxfId="7683" priority="4045"/>
    <cfRule type="duplicateValues" dxfId="7682" priority="4046"/>
    <cfRule type="duplicateValues" dxfId="7681" priority="4047"/>
    <cfRule type="duplicateValues" dxfId="7680" priority="4048"/>
    <cfRule type="duplicateValues" dxfId="7679" priority="4049"/>
    <cfRule type="duplicateValues" dxfId="7678" priority="4050"/>
    <cfRule type="duplicateValues" dxfId="7677" priority="4051"/>
    <cfRule type="duplicateValues" dxfId="7676" priority="4052"/>
    <cfRule type="duplicateValues" dxfId="7675" priority="4053"/>
    <cfRule type="duplicateValues" dxfId="7674" priority="4054"/>
    <cfRule type="duplicateValues" dxfId="7673" priority="4055"/>
    <cfRule type="duplicateValues" dxfId="7672" priority="4056"/>
    <cfRule type="duplicateValues" dxfId="7671" priority="4057"/>
    <cfRule type="duplicateValues" dxfId="7670" priority="4058"/>
    <cfRule type="duplicateValues" dxfId="7669" priority="4059"/>
    <cfRule type="duplicateValues" dxfId="7668" priority="4060"/>
    <cfRule type="duplicateValues" dxfId="7667" priority="4061"/>
    <cfRule type="duplicateValues" dxfId="7666" priority="4062"/>
    <cfRule type="duplicateValues" dxfId="7665" priority="4063"/>
    <cfRule type="duplicateValues" dxfId="7664" priority="4064"/>
    <cfRule type="duplicateValues" dxfId="7663" priority="4065"/>
    <cfRule type="duplicateValues" dxfId="7662" priority="4066"/>
    <cfRule type="duplicateValues" dxfId="7661" priority="4067"/>
    <cfRule type="duplicateValues" dxfId="7660" priority="4068"/>
    <cfRule type="duplicateValues" dxfId="7659" priority="4069"/>
    <cfRule type="duplicateValues" dxfId="7658" priority="4070"/>
    <cfRule type="duplicateValues" dxfId="7657" priority="4071"/>
    <cfRule type="duplicateValues" dxfId="7656" priority="4072"/>
    <cfRule type="duplicateValues" dxfId="7655" priority="4073"/>
    <cfRule type="duplicateValues" dxfId="7654" priority="4074"/>
    <cfRule type="duplicateValues" dxfId="7653" priority="4075"/>
    <cfRule type="duplicateValues" dxfId="7652" priority="4076"/>
    <cfRule type="duplicateValues" dxfId="7651" priority="4077"/>
    <cfRule type="duplicateValues" dxfId="7650" priority="4078"/>
    <cfRule type="duplicateValues" dxfId="7649" priority="4079"/>
    <cfRule type="duplicateValues" dxfId="7648" priority="4080"/>
    <cfRule type="duplicateValues" dxfId="7647" priority="4081"/>
    <cfRule type="duplicateValues" dxfId="7646" priority="4082"/>
    <cfRule type="duplicateValues" dxfId="7645" priority="4083"/>
    <cfRule type="duplicateValues" dxfId="7644" priority="4084"/>
    <cfRule type="duplicateValues" dxfId="7643" priority="4085"/>
    <cfRule type="duplicateValues" dxfId="7642" priority="4086"/>
    <cfRule type="duplicateValues" dxfId="7641" priority="4087"/>
    <cfRule type="duplicateValues" dxfId="7640" priority="4088"/>
    <cfRule type="duplicateValues" dxfId="7639" priority="4089"/>
    <cfRule type="duplicateValues" dxfId="7638" priority="4090"/>
    <cfRule type="duplicateValues" dxfId="7637" priority="4091"/>
    <cfRule type="duplicateValues" dxfId="7636" priority="4092"/>
    <cfRule type="duplicateValues" dxfId="7635" priority="4093"/>
    <cfRule type="duplicateValues" dxfId="7634" priority="4094"/>
    <cfRule type="duplicateValues" dxfId="7633" priority="4095"/>
    <cfRule type="duplicateValues" dxfId="7632" priority="4096"/>
    <cfRule type="duplicateValues" dxfId="7631" priority="4097"/>
    <cfRule type="duplicateValues" dxfId="7630" priority="4098"/>
    <cfRule type="duplicateValues" dxfId="7629" priority="4099"/>
    <cfRule type="duplicateValues" dxfId="7628" priority="4100"/>
    <cfRule type="duplicateValues" dxfId="7627" priority="4101"/>
    <cfRule type="duplicateValues" dxfId="7626" priority="4102"/>
    <cfRule type="duplicateValues" dxfId="7625" priority="4103"/>
    <cfRule type="duplicateValues" dxfId="7624" priority="4104"/>
    <cfRule type="duplicateValues" dxfId="7623" priority="4105"/>
    <cfRule type="duplicateValues" dxfId="7622" priority="4106"/>
    <cfRule type="duplicateValues" dxfId="7621" priority="4107"/>
    <cfRule type="duplicateValues" dxfId="7620" priority="4108"/>
    <cfRule type="duplicateValues" dxfId="7619" priority="4109"/>
    <cfRule type="duplicateValues" dxfId="7618" priority="4110"/>
    <cfRule type="duplicateValues" dxfId="7617" priority="4111"/>
    <cfRule type="duplicateValues" dxfId="7616" priority="4112"/>
    <cfRule type="duplicateValues" dxfId="7615" priority="4113"/>
    <cfRule type="duplicateValues" dxfId="7614" priority="4114"/>
    <cfRule type="duplicateValues" dxfId="7613" priority="4115"/>
    <cfRule type="duplicateValues" dxfId="7612" priority="4116"/>
    <cfRule type="duplicateValues" dxfId="7611" priority="4117"/>
    <cfRule type="duplicateValues" dxfId="7610" priority="4118"/>
    <cfRule type="duplicateValues" dxfId="7609" priority="4119"/>
    <cfRule type="duplicateValues" dxfId="7608" priority="4120"/>
    <cfRule type="duplicateValues" dxfId="7607" priority="4121"/>
    <cfRule type="duplicateValues" dxfId="7606" priority="4122"/>
    <cfRule type="duplicateValues" dxfId="7605" priority="4123"/>
    <cfRule type="duplicateValues" dxfId="7604" priority="4124"/>
    <cfRule type="duplicateValues" dxfId="7603" priority="4125"/>
    <cfRule type="duplicateValues" dxfId="7602" priority="4126"/>
    <cfRule type="duplicateValues" dxfId="7601" priority="4127"/>
    <cfRule type="duplicateValues" dxfId="7600" priority="4128"/>
    <cfRule type="duplicateValues" dxfId="7599" priority="4129"/>
    <cfRule type="duplicateValues" dxfId="7598" priority="4130"/>
    <cfRule type="duplicateValues" dxfId="7597" priority="4131"/>
    <cfRule type="duplicateValues" dxfId="7596" priority="4132"/>
    <cfRule type="duplicateValues" dxfId="7595" priority="4133"/>
    <cfRule type="duplicateValues" dxfId="7594" priority="4134"/>
    <cfRule type="duplicateValues" dxfId="7593" priority="4135"/>
    <cfRule type="duplicateValues" dxfId="7592" priority="4136"/>
    <cfRule type="duplicateValues" dxfId="7591" priority="4137"/>
    <cfRule type="duplicateValues" dxfId="7590" priority="4138"/>
    <cfRule type="duplicateValues" dxfId="7589" priority="4139"/>
    <cfRule type="duplicateValues" dxfId="7588" priority="4140"/>
    <cfRule type="duplicateValues" dxfId="7587" priority="4141"/>
    <cfRule type="duplicateValues" dxfId="7586" priority="4142"/>
    <cfRule type="duplicateValues" dxfId="7585" priority="4143"/>
    <cfRule type="duplicateValues" dxfId="7584" priority="4144"/>
    <cfRule type="duplicateValues" dxfId="7583" priority="4145"/>
    <cfRule type="duplicateValues" dxfId="7582" priority="4146"/>
    <cfRule type="duplicateValues" dxfId="7581" priority="4147"/>
    <cfRule type="duplicateValues" dxfId="7580" priority="4148"/>
    <cfRule type="duplicateValues" dxfId="7579" priority="4149"/>
    <cfRule type="duplicateValues" dxfId="7578" priority="4150"/>
    <cfRule type="duplicateValues" dxfId="7577" priority="4151"/>
    <cfRule type="duplicateValues" dxfId="7576" priority="4152"/>
    <cfRule type="duplicateValues" dxfId="7575" priority="4153"/>
    <cfRule type="duplicateValues" dxfId="7574" priority="4154"/>
    <cfRule type="duplicateValues" dxfId="7573" priority="4155"/>
    <cfRule type="duplicateValues" dxfId="7572" priority="4156"/>
    <cfRule type="duplicateValues" dxfId="7571" priority="4157"/>
    <cfRule type="duplicateValues" dxfId="7570" priority="4158"/>
    <cfRule type="duplicateValues" dxfId="7569" priority="4159"/>
    <cfRule type="duplicateValues" dxfId="7568" priority="4160"/>
    <cfRule type="duplicateValues" dxfId="7567" priority="4161"/>
    <cfRule type="duplicateValues" dxfId="7566" priority="4162"/>
    <cfRule type="duplicateValues" dxfId="7565" priority="4163"/>
    <cfRule type="duplicateValues" dxfId="7564" priority="4164"/>
    <cfRule type="duplicateValues" dxfId="7563" priority="4165"/>
    <cfRule type="duplicateValues" dxfId="7562" priority="4166"/>
    <cfRule type="duplicateValues" dxfId="7561" priority="4167"/>
    <cfRule type="duplicateValues" dxfId="7560" priority="4168"/>
    <cfRule type="duplicateValues" dxfId="7559" priority="4169"/>
    <cfRule type="duplicateValues" dxfId="7558" priority="4170"/>
    <cfRule type="duplicateValues" dxfId="7557" priority="4171"/>
    <cfRule type="duplicateValues" dxfId="7556" priority="4172"/>
    <cfRule type="duplicateValues" dxfId="7555" priority="4173"/>
    <cfRule type="duplicateValues" dxfId="7554" priority="4174"/>
    <cfRule type="duplicateValues" dxfId="7553" priority="4175"/>
    <cfRule type="duplicateValues" dxfId="7552" priority="4176"/>
    <cfRule type="duplicateValues" dxfId="7551" priority="4177"/>
    <cfRule type="duplicateValues" dxfId="7550" priority="4178"/>
    <cfRule type="duplicateValues" dxfId="7549" priority="4179"/>
    <cfRule type="duplicateValues" dxfId="7548" priority="4180"/>
    <cfRule type="duplicateValues" dxfId="7547" priority="4181"/>
    <cfRule type="duplicateValues" dxfId="7546" priority="4182"/>
    <cfRule type="duplicateValues" dxfId="7545" priority="4183"/>
    <cfRule type="duplicateValues" dxfId="7544" priority="4184"/>
    <cfRule type="duplicateValues" dxfId="7543" priority="4185"/>
    <cfRule type="duplicateValues" dxfId="7542" priority="4186"/>
    <cfRule type="duplicateValues" dxfId="7541" priority="4187"/>
    <cfRule type="duplicateValues" dxfId="7540" priority="4188"/>
    <cfRule type="duplicateValues" dxfId="7539" priority="4189"/>
    <cfRule type="duplicateValues" dxfId="7538" priority="4190"/>
    <cfRule type="duplicateValues" dxfId="7537" priority="4191"/>
    <cfRule type="duplicateValues" dxfId="7536" priority="4192"/>
    <cfRule type="duplicateValues" dxfId="7535" priority="4193"/>
    <cfRule type="duplicateValues" dxfId="7534" priority="4194"/>
    <cfRule type="duplicateValues" dxfId="7533" priority="4195"/>
    <cfRule type="duplicateValues" dxfId="7532" priority="4196"/>
    <cfRule type="duplicateValues" dxfId="7531" priority="4197"/>
    <cfRule type="duplicateValues" dxfId="7530" priority="4198"/>
    <cfRule type="duplicateValues" dxfId="7529" priority="4199"/>
    <cfRule type="duplicateValues" dxfId="7528" priority="4200"/>
    <cfRule type="duplicateValues" dxfId="7527" priority="4201"/>
    <cfRule type="duplicateValues" dxfId="7526" priority="4202"/>
    <cfRule type="duplicateValues" dxfId="7525" priority="4203"/>
    <cfRule type="duplicateValues" dxfId="7524" priority="4204"/>
    <cfRule type="duplicateValues" dxfId="7523" priority="4205"/>
    <cfRule type="duplicateValues" dxfId="7522" priority="4206"/>
    <cfRule type="duplicateValues" dxfId="7521" priority="4207"/>
    <cfRule type="duplicateValues" dxfId="7520" priority="4208"/>
    <cfRule type="duplicateValues" dxfId="7519" priority="4209"/>
    <cfRule type="duplicateValues" dxfId="7518" priority="4210"/>
    <cfRule type="duplicateValues" dxfId="7517" priority="4211"/>
    <cfRule type="duplicateValues" dxfId="7516" priority="4212"/>
    <cfRule type="duplicateValues" dxfId="7515" priority="4213"/>
    <cfRule type="duplicateValues" dxfId="7514" priority="4214"/>
    <cfRule type="duplicateValues" dxfId="7513" priority="4215"/>
    <cfRule type="duplicateValues" dxfId="7512" priority="4216"/>
    <cfRule type="duplicateValues" dxfId="7511" priority="4217"/>
    <cfRule type="duplicateValues" dxfId="7510" priority="4218"/>
    <cfRule type="duplicateValues" dxfId="7509" priority="4219"/>
    <cfRule type="duplicateValues" dxfId="7508" priority="4220"/>
    <cfRule type="duplicateValues" dxfId="7507" priority="4221"/>
    <cfRule type="duplicateValues" dxfId="7506" priority="4222"/>
    <cfRule type="duplicateValues" dxfId="7505" priority="4223"/>
    <cfRule type="duplicateValues" dxfId="7504" priority="4224"/>
    <cfRule type="duplicateValues" dxfId="7503" priority="4225"/>
    <cfRule type="duplicateValues" dxfId="7502" priority="4226"/>
    <cfRule type="duplicateValues" dxfId="7501" priority="4227"/>
    <cfRule type="duplicateValues" dxfId="7500" priority="4228"/>
    <cfRule type="duplicateValues" dxfId="7499" priority="4229"/>
    <cfRule type="duplicateValues" dxfId="7498" priority="4230"/>
    <cfRule type="duplicateValues" dxfId="7497" priority="4231"/>
    <cfRule type="duplicateValues" dxfId="7496" priority="4232"/>
    <cfRule type="duplicateValues" dxfId="7495" priority="4233"/>
    <cfRule type="duplicateValues" dxfId="7494" priority="4234"/>
    <cfRule type="duplicateValues" dxfId="7493" priority="4235"/>
    <cfRule type="duplicateValues" dxfId="7492" priority="4236"/>
    <cfRule type="duplicateValues" dxfId="7491" priority="4237"/>
    <cfRule type="duplicateValues" dxfId="7490" priority="4238"/>
    <cfRule type="duplicateValues" dxfId="7489" priority="4239"/>
    <cfRule type="duplicateValues" dxfId="7488" priority="4240"/>
    <cfRule type="duplicateValues" dxfId="7487" priority="4241"/>
    <cfRule type="duplicateValues" dxfId="7486" priority="4242"/>
    <cfRule type="duplicateValues" dxfId="7485" priority="4243"/>
    <cfRule type="duplicateValues" dxfId="7484" priority="4244"/>
    <cfRule type="duplicateValues" dxfId="7483" priority="4245"/>
    <cfRule type="duplicateValues" dxfId="7482" priority="4246"/>
    <cfRule type="duplicateValues" dxfId="7481" priority="4247"/>
    <cfRule type="duplicateValues" dxfId="7480" priority="4248"/>
    <cfRule type="duplicateValues" dxfId="7479" priority="4249"/>
    <cfRule type="duplicateValues" dxfId="7478" priority="4250"/>
    <cfRule type="duplicateValues" dxfId="7477" priority="4251"/>
    <cfRule type="duplicateValues" dxfId="7476" priority="4252"/>
    <cfRule type="duplicateValues" dxfId="7475" priority="4253"/>
    <cfRule type="duplicateValues" dxfId="7474" priority="4254"/>
    <cfRule type="duplicateValues" dxfId="7473" priority="4255"/>
    <cfRule type="duplicateValues" dxfId="7472" priority="4256"/>
    <cfRule type="duplicateValues" dxfId="7471" priority="4257"/>
    <cfRule type="duplicateValues" dxfId="7470" priority="4258"/>
    <cfRule type="duplicateValues" dxfId="7469" priority="4259"/>
    <cfRule type="duplicateValues" dxfId="7468" priority="4260"/>
    <cfRule type="duplicateValues" dxfId="7467" priority="4261"/>
    <cfRule type="duplicateValues" dxfId="7466" priority="4262"/>
    <cfRule type="duplicateValues" dxfId="7465" priority="4263"/>
    <cfRule type="duplicateValues" dxfId="7464" priority="4264"/>
    <cfRule type="duplicateValues" dxfId="7463" priority="4265"/>
    <cfRule type="duplicateValues" dxfId="7462" priority="4266"/>
    <cfRule type="duplicateValues" dxfId="7461" priority="4267"/>
    <cfRule type="duplicateValues" dxfId="7460" priority="4268"/>
    <cfRule type="duplicateValues" dxfId="7459" priority="4269"/>
    <cfRule type="duplicateValues" dxfId="7458" priority="4270"/>
    <cfRule type="duplicateValues" dxfId="7457" priority="4271"/>
    <cfRule type="duplicateValues" dxfId="7456" priority="4272"/>
    <cfRule type="duplicateValues" dxfId="7455" priority="4273"/>
    <cfRule type="duplicateValues" dxfId="7454" priority="4274"/>
    <cfRule type="duplicateValues" dxfId="7453" priority="4275"/>
    <cfRule type="duplicateValues" dxfId="7452" priority="4276"/>
    <cfRule type="duplicateValues" dxfId="7451" priority="4277"/>
    <cfRule type="duplicateValues" dxfId="7450" priority="4278"/>
    <cfRule type="duplicateValues" dxfId="7449" priority="4279"/>
    <cfRule type="duplicateValues" dxfId="7448" priority="4280"/>
    <cfRule type="duplicateValues" dxfId="7447" priority="4281"/>
    <cfRule type="duplicateValues" dxfId="7446" priority="4282"/>
    <cfRule type="duplicateValues" dxfId="7445" priority="4283"/>
    <cfRule type="duplicateValues" dxfId="7444" priority="4284"/>
    <cfRule type="duplicateValues" dxfId="7443" priority="4285"/>
    <cfRule type="duplicateValues" dxfId="7442" priority="4286"/>
    <cfRule type="duplicateValues" dxfId="7441" priority="4287"/>
    <cfRule type="duplicateValues" dxfId="7440" priority="4288"/>
    <cfRule type="duplicateValues" dxfId="7439" priority="4289"/>
    <cfRule type="duplicateValues" dxfId="7438" priority="4290"/>
    <cfRule type="duplicateValues" dxfId="7437" priority="4291"/>
    <cfRule type="duplicateValues" dxfId="7436" priority="4292"/>
    <cfRule type="duplicateValues" dxfId="7435" priority="4293"/>
    <cfRule type="duplicateValues" dxfId="7434" priority="4294"/>
    <cfRule type="duplicateValues" dxfId="7433" priority="4295"/>
    <cfRule type="duplicateValues" dxfId="7432" priority="4296"/>
    <cfRule type="duplicateValues" dxfId="7431" priority="4297"/>
    <cfRule type="duplicateValues" dxfId="7430" priority="4298"/>
    <cfRule type="duplicateValues" dxfId="7429" priority="4299"/>
    <cfRule type="duplicateValues" dxfId="7428" priority="4300"/>
    <cfRule type="duplicateValues" dxfId="7427" priority="4301"/>
    <cfRule type="duplicateValues" dxfId="7426" priority="4302"/>
    <cfRule type="duplicateValues" dxfId="7425" priority="4303"/>
    <cfRule type="duplicateValues" dxfId="7424" priority="4304"/>
    <cfRule type="duplicateValues" dxfId="7423" priority="4305"/>
    <cfRule type="duplicateValues" dxfId="7422" priority="4306"/>
    <cfRule type="duplicateValues" dxfId="7421" priority="4307"/>
    <cfRule type="duplicateValues" dxfId="7420" priority="4308"/>
    <cfRule type="duplicateValues" dxfId="7419" priority="4309"/>
    <cfRule type="duplicateValues" dxfId="7418" priority="4310"/>
    <cfRule type="duplicateValues" dxfId="7417" priority="4311"/>
    <cfRule type="duplicateValues" dxfId="7416" priority="4312"/>
    <cfRule type="duplicateValues" dxfId="7415" priority="4313"/>
    <cfRule type="duplicateValues" dxfId="7414" priority="4314"/>
    <cfRule type="duplicateValues" dxfId="7413" priority="4315"/>
    <cfRule type="duplicateValues" dxfId="7412" priority="4316"/>
    <cfRule type="duplicateValues" dxfId="7411" priority="4317"/>
    <cfRule type="duplicateValues" dxfId="7410" priority="4318"/>
    <cfRule type="duplicateValues" dxfId="7409" priority="4319"/>
    <cfRule type="duplicateValues" dxfId="7408" priority="4320"/>
    <cfRule type="duplicateValues" dxfId="7407" priority="4321"/>
    <cfRule type="duplicateValues" dxfId="7406" priority="4322"/>
    <cfRule type="duplicateValues" dxfId="7405" priority="4323"/>
    <cfRule type="duplicateValues" dxfId="7404" priority="4324"/>
    <cfRule type="duplicateValues" dxfId="7403" priority="4325"/>
    <cfRule type="duplicateValues" dxfId="7402" priority="4326"/>
    <cfRule type="duplicateValues" dxfId="7401" priority="4327"/>
    <cfRule type="duplicateValues" dxfId="7400" priority="4328"/>
    <cfRule type="duplicateValues" dxfId="7399" priority="4329"/>
    <cfRule type="duplicateValues" dxfId="7398" priority="4330"/>
    <cfRule type="duplicateValues" dxfId="7397" priority="4331"/>
    <cfRule type="duplicateValues" dxfId="7396" priority="4332"/>
    <cfRule type="duplicateValues" dxfId="7395" priority="4333"/>
    <cfRule type="duplicateValues" dxfId="7394" priority="4334"/>
    <cfRule type="duplicateValues" dxfId="7393" priority="4335"/>
    <cfRule type="duplicateValues" dxfId="7392" priority="4336"/>
    <cfRule type="duplicateValues" dxfId="7391" priority="4337"/>
    <cfRule type="duplicateValues" dxfId="7390" priority="4338"/>
    <cfRule type="duplicateValues" dxfId="7389" priority="4339"/>
    <cfRule type="duplicateValues" dxfId="7388" priority="4340"/>
    <cfRule type="duplicateValues" dxfId="7387" priority="4341"/>
    <cfRule type="duplicateValues" dxfId="7386" priority="4342"/>
    <cfRule type="duplicateValues" dxfId="7385" priority="4343"/>
    <cfRule type="duplicateValues" dxfId="7384" priority="4344"/>
    <cfRule type="duplicateValues" dxfId="7383" priority="4345"/>
    <cfRule type="duplicateValues" dxfId="7382" priority="4346"/>
    <cfRule type="duplicateValues" dxfId="7381" priority="4347"/>
    <cfRule type="duplicateValues" dxfId="7380" priority="4348"/>
    <cfRule type="duplicateValues" dxfId="7379" priority="4349"/>
    <cfRule type="duplicateValues" dxfId="7378" priority="4350"/>
    <cfRule type="duplicateValues" dxfId="7377" priority="4351"/>
    <cfRule type="duplicateValues" dxfId="7376" priority="4352"/>
    <cfRule type="duplicateValues" dxfId="7375" priority="4353"/>
    <cfRule type="duplicateValues" dxfId="7374" priority="4354"/>
    <cfRule type="duplicateValues" dxfId="7373" priority="4355"/>
    <cfRule type="duplicateValues" dxfId="7372" priority="4356"/>
    <cfRule type="duplicateValues" dxfId="7371" priority="4357"/>
    <cfRule type="duplicateValues" dxfId="7370" priority="4358"/>
    <cfRule type="duplicateValues" dxfId="7369" priority="4359"/>
    <cfRule type="duplicateValues" dxfId="7368" priority="4360"/>
    <cfRule type="duplicateValues" dxfId="7367" priority="4361"/>
    <cfRule type="duplicateValues" dxfId="7366" priority="4362"/>
    <cfRule type="duplicateValues" dxfId="7365" priority="4363"/>
    <cfRule type="duplicateValues" dxfId="7364" priority="4364"/>
    <cfRule type="duplicateValues" dxfId="7363" priority="4365"/>
    <cfRule type="duplicateValues" dxfId="7362" priority="4366"/>
    <cfRule type="duplicateValues" dxfId="7361" priority="4367"/>
    <cfRule type="duplicateValues" dxfId="7360" priority="4368"/>
    <cfRule type="duplicateValues" dxfId="7359" priority="4369"/>
    <cfRule type="duplicateValues" dxfId="7358" priority="4370"/>
    <cfRule type="duplicateValues" dxfId="7357" priority="4371"/>
    <cfRule type="duplicateValues" dxfId="7356" priority="4372"/>
    <cfRule type="duplicateValues" dxfId="7355" priority="4373"/>
    <cfRule type="duplicateValues" dxfId="7354" priority="4374"/>
    <cfRule type="duplicateValues" dxfId="7353" priority="4375"/>
    <cfRule type="duplicateValues" dxfId="7352" priority="4376"/>
    <cfRule type="duplicateValues" dxfId="7351" priority="4377"/>
  </conditionalFormatting>
  <conditionalFormatting sqref="C277:C278">
    <cfRule type="duplicateValues" dxfId="7350" priority="3688"/>
    <cfRule type="duplicateValues" dxfId="7349" priority="3689"/>
    <cfRule type="duplicateValues" dxfId="7348" priority="3690"/>
    <cfRule type="duplicateValues" dxfId="7347" priority="3691"/>
    <cfRule type="duplicateValues" dxfId="7346" priority="3692"/>
    <cfRule type="duplicateValues" dxfId="7345" priority="3693"/>
    <cfRule type="duplicateValues" dxfId="7344" priority="3694"/>
    <cfRule type="duplicateValues" dxfId="7343" priority="3695"/>
    <cfRule type="duplicateValues" dxfId="7342" priority="3696"/>
    <cfRule type="duplicateValues" dxfId="7341" priority="3697"/>
    <cfRule type="duplicateValues" dxfId="7340" priority="3698"/>
    <cfRule type="duplicateValues" dxfId="7339" priority="3699"/>
    <cfRule type="duplicateValues" dxfId="7338" priority="3700"/>
    <cfRule type="duplicateValues" dxfId="7337" priority="3701"/>
    <cfRule type="duplicateValues" dxfId="7336" priority="3702"/>
    <cfRule type="duplicateValues" dxfId="7335" priority="3703"/>
    <cfRule type="duplicateValues" dxfId="7334" priority="3704"/>
    <cfRule type="duplicateValues" dxfId="7333" priority="3705"/>
    <cfRule type="duplicateValues" dxfId="7332" priority="3706"/>
    <cfRule type="duplicateValues" dxfId="7331" priority="3707"/>
    <cfRule type="duplicateValues" dxfId="7330" priority="3708"/>
    <cfRule type="duplicateValues" dxfId="7329" priority="3709"/>
    <cfRule type="duplicateValues" dxfId="7328" priority="3710"/>
    <cfRule type="duplicateValues" dxfId="7327" priority="3711"/>
    <cfRule type="duplicateValues" dxfId="7326" priority="3712"/>
    <cfRule type="duplicateValues" dxfId="7325" priority="3713"/>
    <cfRule type="duplicateValues" dxfId="7324" priority="3714"/>
    <cfRule type="duplicateValues" dxfId="7323" priority="3715"/>
    <cfRule type="duplicateValues" dxfId="7322" priority="3716"/>
    <cfRule type="duplicateValues" dxfId="7321" priority="3717"/>
    <cfRule type="duplicateValues" dxfId="7320" priority="3718"/>
    <cfRule type="duplicateValues" dxfId="7319" priority="3719"/>
    <cfRule type="duplicateValues" dxfId="7318" priority="3720"/>
    <cfRule type="duplicateValues" dxfId="7317" priority="3721"/>
    <cfRule type="duplicateValues" dxfId="7316" priority="3722"/>
    <cfRule type="duplicateValues" dxfId="7315" priority="3723"/>
    <cfRule type="duplicateValues" dxfId="7314" priority="3724"/>
    <cfRule type="duplicateValues" dxfId="7313" priority="3725"/>
    <cfRule type="duplicateValues" dxfId="7312" priority="3726"/>
    <cfRule type="duplicateValues" dxfId="7311" priority="3727"/>
    <cfRule type="duplicateValues" dxfId="7310" priority="3728"/>
    <cfRule type="duplicateValues" dxfId="7309" priority="3729"/>
    <cfRule type="duplicateValues" dxfId="7308" priority="3730"/>
    <cfRule type="duplicateValues" dxfId="7307" priority="3731"/>
    <cfRule type="duplicateValues" dxfId="7306" priority="3732"/>
    <cfRule type="duplicateValues" dxfId="7305" priority="3733"/>
    <cfRule type="duplicateValues" dxfId="7304" priority="3734"/>
    <cfRule type="duplicateValues" dxfId="7303" priority="3735"/>
    <cfRule type="duplicateValues" dxfId="7302" priority="3736"/>
    <cfRule type="duplicateValues" dxfId="7301" priority="3737"/>
    <cfRule type="duplicateValues" dxfId="7300" priority="3738"/>
    <cfRule type="duplicateValues" dxfId="7299" priority="3739"/>
    <cfRule type="duplicateValues" dxfId="7298" priority="3740"/>
    <cfRule type="duplicateValues" dxfId="7297" priority="3741"/>
    <cfRule type="duplicateValues" dxfId="7296" priority="3742"/>
    <cfRule type="duplicateValues" dxfId="7295" priority="3743"/>
    <cfRule type="duplicateValues" dxfId="7294" priority="3744"/>
    <cfRule type="duplicateValues" dxfId="7293" priority="3745"/>
    <cfRule type="duplicateValues" dxfId="7292" priority="3746"/>
    <cfRule type="duplicateValues" dxfId="7291" priority="3747"/>
    <cfRule type="duplicateValues" dxfId="7290" priority="3748"/>
    <cfRule type="duplicateValues" dxfId="7289" priority="3749"/>
    <cfRule type="duplicateValues" dxfId="7288" priority="3750"/>
    <cfRule type="duplicateValues" dxfId="7287" priority="3751"/>
    <cfRule type="duplicateValues" dxfId="7286" priority="3752"/>
    <cfRule type="duplicateValues" dxfId="7285" priority="3753"/>
    <cfRule type="duplicateValues" dxfId="7284" priority="3754"/>
    <cfRule type="duplicateValues" dxfId="7283" priority="3755"/>
    <cfRule type="duplicateValues" dxfId="7282" priority="3756"/>
    <cfRule type="duplicateValues" dxfId="7281" priority="3757"/>
    <cfRule type="duplicateValues" dxfId="7280" priority="3758"/>
    <cfRule type="duplicateValues" dxfId="7279" priority="3759"/>
    <cfRule type="duplicateValues" dxfId="7278" priority="3760"/>
    <cfRule type="duplicateValues" dxfId="7277" priority="3761"/>
    <cfRule type="duplicateValues" dxfId="7276" priority="3762"/>
    <cfRule type="duplicateValues" dxfId="7275" priority="3763"/>
    <cfRule type="duplicateValues" dxfId="7274" priority="3764"/>
    <cfRule type="duplicateValues" dxfId="7273" priority="3765"/>
    <cfRule type="duplicateValues" dxfId="7272" priority="3766"/>
    <cfRule type="duplicateValues" dxfId="7271" priority="3767"/>
    <cfRule type="duplicateValues" dxfId="7270" priority="3768"/>
    <cfRule type="duplicateValues" dxfId="7269" priority="3769"/>
    <cfRule type="duplicateValues" dxfId="7268" priority="3770"/>
    <cfRule type="duplicateValues" dxfId="7267" priority="3771"/>
    <cfRule type="duplicateValues" dxfId="7266" priority="3772"/>
    <cfRule type="duplicateValues" dxfId="7265" priority="3773"/>
    <cfRule type="duplicateValues" dxfId="7264" priority="3774"/>
    <cfRule type="duplicateValues" dxfId="7263" priority="3775"/>
    <cfRule type="duplicateValues" dxfId="7262" priority="3776"/>
    <cfRule type="duplicateValues" dxfId="7261" priority="3777"/>
    <cfRule type="duplicateValues" dxfId="7260" priority="3778"/>
    <cfRule type="duplicateValues" dxfId="7259" priority="3779"/>
    <cfRule type="duplicateValues" dxfId="7258" priority="3780"/>
    <cfRule type="duplicateValues" dxfId="7257" priority="3781"/>
    <cfRule type="duplicateValues" dxfId="7256" priority="3782"/>
    <cfRule type="duplicateValues" dxfId="7255" priority="3783"/>
    <cfRule type="duplicateValues" dxfId="7254" priority="3784"/>
    <cfRule type="duplicateValues" dxfId="7253" priority="3785"/>
    <cfRule type="duplicateValues" dxfId="7252" priority="3786"/>
    <cfRule type="duplicateValues" dxfId="7251" priority="3787"/>
    <cfRule type="duplicateValues" dxfId="7250" priority="3788"/>
    <cfRule type="duplicateValues" dxfId="7249" priority="3789"/>
    <cfRule type="duplicateValues" dxfId="7248" priority="3790"/>
    <cfRule type="duplicateValues" dxfId="7247" priority="3791"/>
    <cfRule type="duplicateValues" dxfId="7246" priority="3792"/>
    <cfRule type="duplicateValues" dxfId="7245" priority="3793"/>
    <cfRule type="duplicateValues" dxfId="7244" priority="3794"/>
    <cfRule type="duplicateValues" dxfId="7243" priority="3795"/>
    <cfRule type="duplicateValues" dxfId="7242" priority="3796"/>
    <cfRule type="duplicateValues" dxfId="7241" priority="3797"/>
    <cfRule type="duplicateValues" dxfId="7240" priority="3798"/>
    <cfRule type="duplicateValues" dxfId="7239" priority="3799"/>
    <cfRule type="duplicateValues" dxfId="7238" priority="3800"/>
    <cfRule type="duplicateValues" dxfId="7237" priority="3801"/>
    <cfRule type="duplicateValues" dxfId="7236" priority="3802"/>
    <cfRule type="duplicateValues" dxfId="7235" priority="3803"/>
    <cfRule type="duplicateValues" dxfId="7234" priority="3804"/>
    <cfRule type="duplicateValues" dxfId="7233" priority="3805"/>
    <cfRule type="duplicateValues" dxfId="7232" priority="3806"/>
    <cfRule type="duplicateValues" dxfId="7231" priority="3807"/>
    <cfRule type="duplicateValues" dxfId="7230" priority="3808"/>
    <cfRule type="duplicateValues" dxfId="7229" priority="3809"/>
    <cfRule type="duplicateValues" dxfId="7228" priority="3810"/>
    <cfRule type="duplicateValues" dxfId="7227" priority="3811"/>
    <cfRule type="duplicateValues" dxfId="7226" priority="3812"/>
    <cfRule type="duplicateValues" dxfId="7225" priority="3813"/>
    <cfRule type="duplicateValues" dxfId="7224" priority="3814"/>
    <cfRule type="duplicateValues" dxfId="7223" priority="3815"/>
    <cfRule type="duplicateValues" dxfId="7222" priority="3816"/>
    <cfRule type="duplicateValues" dxfId="7221" priority="3817"/>
    <cfRule type="duplicateValues" dxfId="7220" priority="3818"/>
    <cfRule type="duplicateValues" dxfId="7219" priority="3819"/>
    <cfRule type="duplicateValues" dxfId="7218" priority="3820"/>
    <cfRule type="duplicateValues" dxfId="7217" priority="3821"/>
    <cfRule type="duplicateValues" dxfId="7216" priority="3822"/>
    <cfRule type="duplicateValues" dxfId="7215" priority="3823"/>
    <cfRule type="duplicateValues" dxfId="7214" priority="3824"/>
    <cfRule type="duplicateValues" dxfId="7213" priority="3825"/>
    <cfRule type="duplicateValues" dxfId="7212" priority="3826"/>
    <cfRule type="duplicateValues" dxfId="7211" priority="3827"/>
    <cfRule type="duplicateValues" dxfId="7210" priority="3828"/>
    <cfRule type="duplicateValues" dxfId="7209" priority="3829"/>
    <cfRule type="duplicateValues" dxfId="7208" priority="3830"/>
    <cfRule type="duplicateValues" dxfId="7207" priority="3831"/>
    <cfRule type="duplicateValues" dxfId="7206" priority="3832"/>
    <cfRule type="duplicateValues" dxfId="7205" priority="3833"/>
    <cfRule type="duplicateValues" dxfId="7204" priority="3834"/>
    <cfRule type="duplicateValues" dxfId="7203" priority="3835"/>
    <cfRule type="duplicateValues" dxfId="7202" priority="3836"/>
    <cfRule type="duplicateValues" dxfId="7201" priority="3837"/>
    <cfRule type="duplicateValues" dxfId="7200" priority="3838"/>
    <cfRule type="duplicateValues" dxfId="7199" priority="3839"/>
    <cfRule type="duplicateValues" dxfId="7198" priority="3840"/>
    <cfRule type="duplicateValues" dxfId="7197" priority="3841"/>
    <cfRule type="duplicateValues" dxfId="7196" priority="3842"/>
    <cfRule type="duplicateValues" dxfId="7195" priority="3843"/>
    <cfRule type="duplicateValues" dxfId="7194" priority="3844"/>
    <cfRule type="duplicateValues" dxfId="7193" priority="3845"/>
    <cfRule type="duplicateValues" dxfId="7192" priority="3846"/>
    <cfRule type="duplicateValues" dxfId="7191" priority="3847"/>
    <cfRule type="duplicateValues" dxfId="7190" priority="3848"/>
    <cfRule type="duplicateValues" dxfId="7189" priority="3849"/>
    <cfRule type="duplicateValues" dxfId="7188" priority="3850"/>
    <cfRule type="duplicateValues" dxfId="7187" priority="3851"/>
    <cfRule type="duplicateValues" dxfId="7186" priority="3852"/>
    <cfRule type="duplicateValues" dxfId="7185" priority="3853"/>
    <cfRule type="duplicateValues" dxfId="7184" priority="3854"/>
    <cfRule type="duplicateValues" dxfId="7183" priority="3855"/>
    <cfRule type="duplicateValues" dxfId="7182" priority="3856"/>
    <cfRule type="duplicateValues" dxfId="7181" priority="3857"/>
    <cfRule type="duplicateValues" dxfId="7180" priority="3858"/>
    <cfRule type="duplicateValues" dxfId="7179" priority="3859"/>
    <cfRule type="duplicateValues" dxfId="7178" priority="3860"/>
    <cfRule type="duplicateValues" dxfId="7177" priority="3861"/>
    <cfRule type="duplicateValues" dxfId="7176" priority="3862"/>
    <cfRule type="duplicateValues" dxfId="7175" priority="3863"/>
    <cfRule type="duplicateValues" dxfId="7174" priority="3864"/>
    <cfRule type="duplicateValues" dxfId="7173" priority="3865"/>
    <cfRule type="duplicateValues" dxfId="7172" priority="3866"/>
    <cfRule type="duplicateValues" dxfId="7171" priority="3867"/>
    <cfRule type="duplicateValues" dxfId="7170" priority="3868"/>
    <cfRule type="duplicateValues" dxfId="7169" priority="3869"/>
    <cfRule type="duplicateValues" dxfId="7168" priority="3870"/>
    <cfRule type="duplicateValues" dxfId="7167" priority="3871"/>
    <cfRule type="duplicateValues" dxfId="7166" priority="3872"/>
    <cfRule type="duplicateValues" dxfId="7165" priority="3873"/>
    <cfRule type="duplicateValues" dxfId="7164" priority="3874"/>
    <cfRule type="duplicateValues" dxfId="7163" priority="3875"/>
    <cfRule type="duplicateValues" dxfId="7162" priority="3876"/>
    <cfRule type="duplicateValues" dxfId="7161" priority="3877"/>
    <cfRule type="duplicateValues" dxfId="7160" priority="3878"/>
    <cfRule type="duplicateValues" dxfId="7159" priority="3879"/>
    <cfRule type="duplicateValues" dxfId="7158" priority="3880"/>
    <cfRule type="duplicateValues" dxfId="7157" priority="3881"/>
    <cfRule type="duplicateValues" dxfId="7156" priority="3882"/>
    <cfRule type="duplicateValues" dxfId="7155" priority="3883"/>
    <cfRule type="duplicateValues" dxfId="7154" priority="3884"/>
    <cfRule type="duplicateValues" dxfId="7153" priority="3885"/>
    <cfRule type="duplicateValues" dxfId="7152" priority="3886"/>
    <cfRule type="duplicateValues" dxfId="7151" priority="3887"/>
    <cfRule type="duplicateValues" dxfId="7150" priority="3888"/>
    <cfRule type="duplicateValues" dxfId="7149" priority="3889"/>
    <cfRule type="duplicateValues" dxfId="7148" priority="3890"/>
    <cfRule type="duplicateValues" dxfId="7147" priority="3891"/>
    <cfRule type="duplicateValues" dxfId="7146" priority="3892"/>
    <cfRule type="duplicateValues" dxfId="7145" priority="3893"/>
    <cfRule type="duplicateValues" dxfId="7144" priority="3894"/>
    <cfRule type="duplicateValues" dxfId="7143" priority="3895"/>
    <cfRule type="duplicateValues" dxfId="7142" priority="3896"/>
    <cfRule type="duplicateValues" dxfId="7141" priority="3897"/>
    <cfRule type="duplicateValues" dxfId="7140" priority="3898"/>
    <cfRule type="duplicateValues" dxfId="7139" priority="3899"/>
    <cfRule type="duplicateValues" dxfId="7138" priority="3900"/>
    <cfRule type="duplicateValues" dxfId="7137" priority="3901"/>
    <cfRule type="duplicateValues" dxfId="7136" priority="3902"/>
    <cfRule type="duplicateValues" dxfId="7135" priority="3903"/>
    <cfRule type="duplicateValues" dxfId="7134" priority="3904"/>
    <cfRule type="duplicateValues" dxfId="7133" priority="3905"/>
    <cfRule type="duplicateValues" dxfId="7132" priority="3906"/>
    <cfRule type="duplicateValues" dxfId="7131" priority="3907"/>
    <cfRule type="duplicateValues" dxfId="7130" priority="3908"/>
    <cfRule type="duplicateValues" dxfId="7129" priority="3909"/>
    <cfRule type="duplicateValues" dxfId="7128" priority="3910"/>
    <cfRule type="duplicateValues" dxfId="7127" priority="3911"/>
    <cfRule type="duplicateValues" dxfId="7126" priority="3912"/>
    <cfRule type="duplicateValues" dxfId="7125" priority="3913"/>
    <cfRule type="duplicateValues" dxfId="7124" priority="3914"/>
    <cfRule type="duplicateValues" dxfId="7123" priority="3915"/>
    <cfRule type="duplicateValues" dxfId="7122" priority="3916"/>
    <cfRule type="duplicateValues" dxfId="7121" priority="3917"/>
    <cfRule type="duplicateValues" dxfId="7120" priority="3918"/>
    <cfRule type="duplicateValues" dxfId="7119" priority="3919"/>
    <cfRule type="duplicateValues" dxfId="7118" priority="3920"/>
    <cfRule type="duplicateValues" dxfId="7117" priority="3921"/>
    <cfRule type="duplicateValues" dxfId="7116" priority="3922"/>
    <cfRule type="duplicateValues" dxfId="7115" priority="3923"/>
    <cfRule type="duplicateValues" dxfId="7114" priority="3924"/>
    <cfRule type="duplicateValues" dxfId="7113" priority="3925"/>
    <cfRule type="duplicateValues" dxfId="7112" priority="3926"/>
    <cfRule type="duplicateValues" dxfId="7111" priority="3927"/>
    <cfRule type="duplicateValues" dxfId="7110" priority="3928"/>
    <cfRule type="duplicateValues" dxfId="7109" priority="3929"/>
    <cfRule type="duplicateValues" dxfId="7108" priority="3930"/>
    <cfRule type="duplicateValues" dxfId="7107" priority="3931"/>
    <cfRule type="duplicateValues" dxfId="7106" priority="3932"/>
    <cfRule type="duplicateValues" dxfId="7105" priority="3933"/>
    <cfRule type="duplicateValues" dxfId="7104" priority="3934"/>
    <cfRule type="duplicateValues" dxfId="7103" priority="3935"/>
    <cfRule type="duplicateValues" dxfId="7102" priority="3936"/>
    <cfRule type="duplicateValues" dxfId="7101" priority="3937"/>
    <cfRule type="duplicateValues" dxfId="7100" priority="3938"/>
    <cfRule type="duplicateValues" dxfId="7099" priority="3939"/>
    <cfRule type="duplicateValues" dxfId="7098" priority="3940"/>
    <cfRule type="duplicateValues" dxfId="7097" priority="3941"/>
    <cfRule type="duplicateValues" dxfId="7096" priority="3942"/>
    <cfRule type="duplicateValues" dxfId="7095" priority="3943"/>
    <cfRule type="duplicateValues" dxfId="7094" priority="3944"/>
    <cfRule type="duplicateValues" dxfId="7093" priority="3945"/>
    <cfRule type="duplicateValues" dxfId="7092" priority="3946"/>
    <cfRule type="duplicateValues" dxfId="7091" priority="3947"/>
    <cfRule type="duplicateValues" dxfId="7090" priority="3948"/>
    <cfRule type="duplicateValues" dxfId="7089" priority="3949"/>
    <cfRule type="duplicateValues" dxfId="7088" priority="3950"/>
    <cfRule type="duplicateValues" dxfId="7087" priority="3951"/>
    <cfRule type="duplicateValues" dxfId="7086" priority="3952"/>
    <cfRule type="duplicateValues" dxfId="7085" priority="3953"/>
    <cfRule type="duplicateValues" dxfId="7084" priority="3954"/>
    <cfRule type="duplicateValues" dxfId="7083" priority="3955"/>
    <cfRule type="duplicateValues" dxfId="7082" priority="3956"/>
    <cfRule type="duplicateValues" dxfId="7081" priority="3957"/>
    <cfRule type="duplicateValues" dxfId="7080" priority="3958"/>
    <cfRule type="duplicateValues" dxfId="7079" priority="3959"/>
    <cfRule type="duplicateValues" dxfId="7078" priority="3960"/>
    <cfRule type="duplicateValues" dxfId="7077" priority="3961"/>
    <cfRule type="duplicateValues" dxfId="7076" priority="3962"/>
    <cfRule type="duplicateValues" dxfId="7075" priority="3963"/>
    <cfRule type="duplicateValues" dxfId="7074" priority="3964"/>
    <cfRule type="duplicateValues" dxfId="7073" priority="3965"/>
    <cfRule type="duplicateValues" dxfId="7072" priority="3966"/>
    <cfRule type="duplicateValues" dxfId="7071" priority="3967"/>
    <cfRule type="duplicateValues" dxfId="7070" priority="3968"/>
    <cfRule type="duplicateValues" dxfId="7069" priority="3969"/>
    <cfRule type="duplicateValues" dxfId="7068" priority="3970"/>
    <cfRule type="duplicateValues" dxfId="7067" priority="3971"/>
    <cfRule type="duplicateValues" dxfId="7066" priority="3972"/>
    <cfRule type="duplicateValues" dxfId="7065" priority="3973"/>
    <cfRule type="duplicateValues" dxfId="7064" priority="3974"/>
    <cfRule type="duplicateValues" dxfId="7063" priority="3975"/>
    <cfRule type="duplicateValues" dxfId="7062" priority="3976"/>
    <cfRule type="duplicateValues" dxfId="7061" priority="3977"/>
    <cfRule type="duplicateValues" dxfId="7060" priority="3978"/>
    <cfRule type="duplicateValues" dxfId="7059" priority="3979"/>
    <cfRule type="duplicateValues" dxfId="7058" priority="3980"/>
    <cfRule type="duplicateValues" dxfId="7057" priority="3981"/>
    <cfRule type="duplicateValues" dxfId="7056" priority="3982"/>
    <cfRule type="duplicateValues" dxfId="7055" priority="3983"/>
    <cfRule type="duplicateValues" dxfId="7054" priority="3984"/>
    <cfRule type="duplicateValues" dxfId="7053" priority="3985"/>
    <cfRule type="duplicateValues" dxfId="7052" priority="3986"/>
    <cfRule type="duplicateValues" dxfId="7051" priority="3987"/>
    <cfRule type="duplicateValues" dxfId="7050" priority="3988"/>
    <cfRule type="duplicateValues" dxfId="7049" priority="3989"/>
    <cfRule type="duplicateValues" dxfId="7048" priority="3990"/>
    <cfRule type="duplicateValues" dxfId="7047" priority="3991"/>
    <cfRule type="duplicateValues" dxfId="7046" priority="3992"/>
    <cfRule type="duplicateValues" dxfId="7045" priority="3993"/>
    <cfRule type="duplicateValues" dxfId="7044" priority="3994"/>
    <cfRule type="duplicateValues" dxfId="7043" priority="3995"/>
    <cfRule type="duplicateValues" dxfId="7042" priority="3996"/>
    <cfRule type="duplicateValues" dxfId="7041" priority="3997"/>
    <cfRule type="duplicateValues" dxfId="7040" priority="3998"/>
    <cfRule type="duplicateValues" dxfId="7039" priority="3999"/>
    <cfRule type="duplicateValues" dxfId="7038" priority="4000"/>
    <cfRule type="duplicateValues" dxfId="7037" priority="4001"/>
    <cfRule type="duplicateValues" dxfId="7036" priority="4002"/>
    <cfRule type="duplicateValues" dxfId="7035" priority="4003"/>
    <cfRule type="duplicateValues" dxfId="7034" priority="4004"/>
    <cfRule type="duplicateValues" dxfId="7033" priority="4005"/>
    <cfRule type="duplicateValues" dxfId="7032" priority="4006"/>
    <cfRule type="duplicateValues" dxfId="7031" priority="4007"/>
    <cfRule type="duplicateValues" dxfId="7030" priority="4008"/>
    <cfRule type="duplicateValues" dxfId="7029" priority="4009"/>
    <cfRule type="duplicateValues" dxfId="7028" priority="4010"/>
    <cfRule type="duplicateValues" dxfId="7027" priority="4011"/>
    <cfRule type="duplicateValues" dxfId="7026" priority="4012"/>
    <cfRule type="duplicateValues" dxfId="7025" priority="4013"/>
    <cfRule type="duplicateValues" dxfId="7024" priority="4014"/>
    <cfRule type="duplicateValues" dxfId="7023" priority="4015"/>
    <cfRule type="duplicateValues" dxfId="7022" priority="4016"/>
    <cfRule type="duplicateValues" dxfId="7021" priority="4017"/>
    <cfRule type="duplicateValues" dxfId="7020" priority="4018"/>
    <cfRule type="duplicateValues" dxfId="7019" priority="4019"/>
    <cfRule type="duplicateValues" dxfId="7018" priority="4020"/>
    <cfRule type="duplicateValues" dxfId="7017" priority="4021"/>
    <cfRule type="duplicateValues" dxfId="7016" priority="4022"/>
    <cfRule type="duplicateValues" dxfId="7015" priority="4023"/>
    <cfRule type="duplicateValues" dxfId="7014" priority="4024"/>
    <cfRule type="duplicateValues" dxfId="7013" priority="4025"/>
    <cfRule type="duplicateValues" dxfId="7012" priority="4026"/>
    <cfRule type="duplicateValues" dxfId="7011" priority="4027"/>
    <cfRule type="duplicateValues" dxfId="7010" priority="4028"/>
    <cfRule type="duplicateValues" dxfId="7009" priority="4029"/>
    <cfRule type="duplicateValues" dxfId="7008" priority="4030"/>
    <cfRule type="duplicateValues" dxfId="7007" priority="4031"/>
    <cfRule type="duplicateValues" dxfId="7006" priority="4032"/>
  </conditionalFormatting>
  <conditionalFormatting sqref="C279">
    <cfRule type="duplicateValues" dxfId="7005" priority="13632"/>
    <cfRule type="duplicateValues" dxfId="7004" priority="13633"/>
    <cfRule type="duplicateValues" dxfId="7003" priority="13634"/>
    <cfRule type="duplicateValues" dxfId="7002" priority="13635"/>
    <cfRule type="duplicateValues" dxfId="7001" priority="13636"/>
    <cfRule type="duplicateValues" dxfId="7000" priority="13637"/>
    <cfRule type="duplicateValues" dxfId="6999" priority="13638"/>
    <cfRule type="duplicateValues" dxfId="6998" priority="13639"/>
    <cfRule type="duplicateValues" dxfId="6997" priority="13640"/>
    <cfRule type="duplicateValues" dxfId="6996" priority="13641"/>
    <cfRule type="duplicateValues" dxfId="6995" priority="13642"/>
    <cfRule type="duplicateValues" dxfId="6994" priority="13643"/>
    <cfRule type="duplicateValues" dxfId="6993" priority="13644"/>
    <cfRule type="duplicateValues" dxfId="6992" priority="13645"/>
    <cfRule type="duplicateValues" dxfId="6991" priority="13646"/>
    <cfRule type="duplicateValues" dxfId="6990" priority="13647"/>
    <cfRule type="duplicateValues" dxfId="6989" priority="13648"/>
    <cfRule type="duplicateValues" dxfId="6988" priority="13649"/>
    <cfRule type="duplicateValues" dxfId="6987" priority="13650"/>
    <cfRule type="duplicateValues" dxfId="6986" priority="13651"/>
    <cfRule type="duplicateValues" dxfId="6985" priority="13652"/>
    <cfRule type="duplicateValues" dxfId="6984" priority="13653"/>
    <cfRule type="duplicateValues" dxfId="6983" priority="13654"/>
    <cfRule type="duplicateValues" dxfId="6982" priority="13655"/>
    <cfRule type="duplicateValues" dxfId="6981" priority="13656"/>
    <cfRule type="duplicateValues" dxfId="6980" priority="13657"/>
    <cfRule type="duplicateValues" dxfId="6979" priority="13658"/>
    <cfRule type="duplicateValues" dxfId="6978" priority="13659"/>
    <cfRule type="duplicateValues" dxfId="6977" priority="13660"/>
    <cfRule type="duplicateValues" dxfId="6976" priority="13661"/>
    <cfRule type="duplicateValues" dxfId="6975" priority="13662"/>
    <cfRule type="duplicateValues" dxfId="6974" priority="13663"/>
    <cfRule type="duplicateValues" dxfId="6973" priority="13664"/>
    <cfRule type="duplicateValues" dxfId="6972" priority="13665"/>
    <cfRule type="duplicateValues" dxfId="6971" priority="13666"/>
    <cfRule type="duplicateValues" dxfId="6970" priority="13667"/>
    <cfRule type="duplicateValues" dxfId="6969" priority="13668"/>
    <cfRule type="duplicateValues" dxfId="6968" priority="13669"/>
    <cfRule type="duplicateValues" dxfId="6967" priority="13670"/>
    <cfRule type="duplicateValues" dxfId="6966" priority="13671"/>
    <cfRule type="duplicateValues" dxfId="6965" priority="13672"/>
    <cfRule type="duplicateValues" dxfId="6964" priority="13673"/>
    <cfRule type="duplicateValues" dxfId="6963" priority="13674"/>
    <cfRule type="duplicateValues" dxfId="6962" priority="13675"/>
    <cfRule type="duplicateValues" dxfId="6961" priority="13676"/>
    <cfRule type="duplicateValues" dxfId="6960" priority="13677"/>
    <cfRule type="duplicateValues" dxfId="6959" priority="13678"/>
    <cfRule type="duplicateValues" dxfId="6958" priority="13679"/>
    <cfRule type="duplicateValues" dxfId="6957" priority="13680"/>
    <cfRule type="duplicateValues" dxfId="6956" priority="13681"/>
    <cfRule type="duplicateValues" dxfId="6955" priority="13682"/>
    <cfRule type="duplicateValues" dxfId="6954" priority="13683"/>
    <cfRule type="duplicateValues" dxfId="6953" priority="13684"/>
    <cfRule type="duplicateValues" dxfId="6952" priority="13685"/>
    <cfRule type="duplicateValues" dxfId="6951" priority="13686"/>
    <cfRule type="duplicateValues" dxfId="6950" priority="13687"/>
    <cfRule type="duplicateValues" dxfId="6949" priority="13688"/>
    <cfRule type="duplicateValues" dxfId="6948" priority="13689"/>
    <cfRule type="duplicateValues" dxfId="6947" priority="13690"/>
    <cfRule type="duplicateValues" dxfId="6946" priority="13691"/>
    <cfRule type="duplicateValues" dxfId="6945" priority="13692"/>
    <cfRule type="duplicateValues" dxfId="6944" priority="13693"/>
    <cfRule type="duplicateValues" dxfId="6943" priority="13694"/>
    <cfRule type="duplicateValues" dxfId="6942" priority="13695"/>
    <cfRule type="duplicateValues" dxfId="6941" priority="13696"/>
    <cfRule type="duplicateValues" dxfId="6940" priority="13697"/>
    <cfRule type="duplicateValues" dxfId="6939" priority="13698"/>
    <cfRule type="duplicateValues" dxfId="6938" priority="13699"/>
    <cfRule type="duplicateValues" dxfId="6937" priority="13700"/>
    <cfRule type="duplicateValues" dxfId="6936" priority="13701"/>
    <cfRule type="duplicateValues" dxfId="6935" priority="13702"/>
    <cfRule type="duplicateValues" dxfId="6934" priority="13703"/>
    <cfRule type="duplicateValues" dxfId="6933" priority="13704"/>
    <cfRule type="duplicateValues" dxfId="6932" priority="13705"/>
    <cfRule type="duplicateValues" dxfId="6931" priority="13706"/>
    <cfRule type="duplicateValues" dxfId="6930" priority="13707"/>
    <cfRule type="duplicateValues" dxfId="6929" priority="13708"/>
    <cfRule type="duplicateValues" dxfId="6928" priority="13709"/>
    <cfRule type="duplicateValues" dxfId="6927" priority="13710"/>
    <cfRule type="duplicateValues" dxfId="6926" priority="13711"/>
    <cfRule type="duplicateValues" dxfId="6925" priority="13712"/>
    <cfRule type="duplicateValues" dxfId="6924" priority="13713"/>
    <cfRule type="duplicateValues" dxfId="6923" priority="13714"/>
    <cfRule type="duplicateValues" dxfId="6922" priority="13715"/>
    <cfRule type="duplicateValues" dxfId="6921" priority="13716"/>
    <cfRule type="duplicateValues" dxfId="6920" priority="13717"/>
    <cfRule type="duplicateValues" dxfId="6919" priority="13718"/>
    <cfRule type="duplicateValues" dxfId="6918" priority="13719"/>
    <cfRule type="duplicateValues" dxfId="6917" priority="13720"/>
    <cfRule type="duplicateValues" dxfId="6916" priority="13721"/>
    <cfRule type="duplicateValues" dxfId="6915" priority="13722"/>
    <cfRule type="duplicateValues" dxfId="6914" priority="13723"/>
    <cfRule type="duplicateValues" dxfId="6913" priority="13724"/>
    <cfRule type="duplicateValues" dxfId="6912" priority="13725"/>
    <cfRule type="duplicateValues" dxfId="6911" priority="13726"/>
    <cfRule type="duplicateValues" dxfId="6910" priority="13727"/>
    <cfRule type="duplicateValues" dxfId="6909" priority="13728"/>
    <cfRule type="duplicateValues" dxfId="6908" priority="13729"/>
    <cfRule type="duplicateValues" dxfId="6907" priority="13730"/>
    <cfRule type="duplicateValues" dxfId="6906" priority="13731"/>
    <cfRule type="duplicateValues" dxfId="6905" priority="13732"/>
    <cfRule type="duplicateValues" dxfId="6904" priority="13733"/>
    <cfRule type="duplicateValues" dxfId="6903" priority="13734"/>
    <cfRule type="duplicateValues" dxfId="6902" priority="13735"/>
    <cfRule type="duplicateValues" dxfId="6901" priority="13736"/>
    <cfRule type="duplicateValues" dxfId="6900" priority="13737"/>
    <cfRule type="duplicateValues" dxfId="6899" priority="13738"/>
    <cfRule type="duplicateValues" dxfId="6898" priority="13739"/>
    <cfRule type="duplicateValues" dxfId="6897" priority="13740"/>
    <cfRule type="duplicateValues" dxfId="6896" priority="13741"/>
    <cfRule type="duplicateValues" dxfId="6895" priority="13742"/>
    <cfRule type="duplicateValues" dxfId="6894" priority="13743"/>
    <cfRule type="duplicateValues" dxfId="6893" priority="13744"/>
    <cfRule type="duplicateValues" dxfId="6892" priority="13745"/>
    <cfRule type="duplicateValues" dxfId="6891" priority="13746"/>
    <cfRule type="duplicateValues" dxfId="6890" priority="13747"/>
    <cfRule type="duplicateValues" dxfId="6889" priority="13748"/>
    <cfRule type="duplicateValues" dxfId="6888" priority="13749"/>
    <cfRule type="duplicateValues" dxfId="6887" priority="13750"/>
    <cfRule type="duplicateValues" dxfId="6886" priority="13751"/>
    <cfRule type="duplicateValues" dxfId="6885" priority="13752"/>
    <cfRule type="duplicateValues" dxfId="6884" priority="13753"/>
    <cfRule type="duplicateValues" dxfId="6883" priority="13754"/>
    <cfRule type="duplicateValues" dxfId="6882" priority="13755"/>
    <cfRule type="duplicateValues" dxfId="6881" priority="13756"/>
    <cfRule type="duplicateValues" dxfId="6880" priority="13757"/>
    <cfRule type="duplicateValues" dxfId="6879" priority="13758"/>
    <cfRule type="duplicateValues" dxfId="6878" priority="13759"/>
    <cfRule type="duplicateValues" dxfId="6877" priority="13760"/>
    <cfRule type="duplicateValues" dxfId="6876" priority="13761"/>
    <cfRule type="duplicateValues" dxfId="6875" priority="13762"/>
    <cfRule type="duplicateValues" dxfId="6874" priority="13763"/>
    <cfRule type="duplicateValues" dxfId="6873" priority="13764"/>
    <cfRule type="duplicateValues" dxfId="6872" priority="13765"/>
    <cfRule type="duplicateValues" dxfId="6871" priority="13766"/>
    <cfRule type="duplicateValues" dxfId="6870" priority="13767"/>
    <cfRule type="duplicateValues" dxfId="6869" priority="13768"/>
    <cfRule type="duplicateValues" dxfId="6868" priority="13769"/>
    <cfRule type="duplicateValues" dxfId="6867" priority="13770"/>
    <cfRule type="duplicateValues" dxfId="6866" priority="13771"/>
    <cfRule type="duplicateValues" dxfId="6865" priority="13772"/>
    <cfRule type="duplicateValues" dxfId="6864" priority="13773"/>
    <cfRule type="duplicateValues" dxfId="6863" priority="13774"/>
    <cfRule type="duplicateValues" dxfId="6862" priority="13775"/>
    <cfRule type="duplicateValues" dxfId="6861" priority="13776"/>
    <cfRule type="duplicateValues" dxfId="6860" priority="13777"/>
    <cfRule type="duplicateValues" dxfId="6859" priority="13778"/>
    <cfRule type="duplicateValues" dxfId="6858" priority="13779"/>
    <cfRule type="duplicateValues" dxfId="6857" priority="13780"/>
    <cfRule type="duplicateValues" dxfId="6856" priority="13781"/>
    <cfRule type="duplicateValues" dxfId="6855" priority="13782"/>
    <cfRule type="duplicateValues" dxfId="6854" priority="13783"/>
    <cfRule type="duplicateValues" dxfId="6853" priority="13784"/>
    <cfRule type="duplicateValues" dxfId="6852" priority="13785"/>
    <cfRule type="duplicateValues" dxfId="6851" priority="13786"/>
    <cfRule type="duplicateValues" dxfId="6850" priority="13787"/>
    <cfRule type="duplicateValues" dxfId="6849" priority="13788"/>
    <cfRule type="duplicateValues" dxfId="6848" priority="13789"/>
    <cfRule type="duplicateValues" dxfId="6847" priority="13790"/>
    <cfRule type="duplicateValues" dxfId="6846" priority="13791"/>
    <cfRule type="duplicateValues" dxfId="6845" priority="13792"/>
    <cfRule type="duplicateValues" dxfId="6844" priority="13793"/>
    <cfRule type="duplicateValues" dxfId="6843" priority="13794"/>
    <cfRule type="duplicateValues" dxfId="6842" priority="13795"/>
    <cfRule type="duplicateValues" dxfId="6841" priority="13796"/>
    <cfRule type="duplicateValues" dxfId="6840" priority="13797"/>
    <cfRule type="duplicateValues" dxfId="6839" priority="13798"/>
    <cfRule type="duplicateValues" dxfId="6838" priority="13799"/>
    <cfRule type="duplicateValues" dxfId="6837" priority="13800"/>
    <cfRule type="duplicateValues" dxfId="6836" priority="13801"/>
    <cfRule type="duplicateValues" dxfId="6835" priority="13802"/>
    <cfRule type="duplicateValues" dxfId="6834" priority="13803"/>
    <cfRule type="duplicateValues" dxfId="6833" priority="13804"/>
    <cfRule type="duplicateValues" dxfId="6832" priority="13805"/>
    <cfRule type="duplicateValues" dxfId="6831" priority="13806"/>
    <cfRule type="duplicateValues" dxfId="6830" priority="13807"/>
    <cfRule type="duplicateValues" dxfId="6829" priority="13808"/>
    <cfRule type="duplicateValues" dxfId="6828" priority="13809"/>
    <cfRule type="duplicateValues" dxfId="6827" priority="13810"/>
    <cfRule type="duplicateValues" dxfId="6826" priority="13811"/>
    <cfRule type="duplicateValues" dxfId="6825" priority="13812"/>
    <cfRule type="duplicateValues" dxfId="6824" priority="13813"/>
    <cfRule type="duplicateValues" dxfId="6823" priority="13814"/>
    <cfRule type="duplicateValues" dxfId="6822" priority="13815"/>
    <cfRule type="duplicateValues" dxfId="6821" priority="13816"/>
    <cfRule type="duplicateValues" dxfId="6820" priority="13817"/>
    <cfRule type="duplicateValues" dxfId="6819" priority="13818"/>
    <cfRule type="duplicateValues" dxfId="6818" priority="13819"/>
    <cfRule type="duplicateValues" dxfId="6817" priority="13820"/>
    <cfRule type="duplicateValues" dxfId="6816" priority="13821"/>
    <cfRule type="duplicateValues" dxfId="6815" priority="13822"/>
    <cfRule type="duplicateValues" dxfId="6814" priority="13823"/>
    <cfRule type="duplicateValues" dxfId="6813" priority="13824"/>
    <cfRule type="duplicateValues" dxfId="6812" priority="13825"/>
    <cfRule type="duplicateValues" dxfId="6811" priority="13826"/>
    <cfRule type="duplicateValues" dxfId="6810" priority="13827"/>
    <cfRule type="duplicateValues" dxfId="6809" priority="13828"/>
    <cfRule type="duplicateValues" dxfId="6808" priority="13829"/>
    <cfRule type="duplicateValues" dxfId="6807" priority="13830"/>
    <cfRule type="duplicateValues" dxfId="6806" priority="13831"/>
    <cfRule type="duplicateValues" dxfId="6805" priority="13832"/>
    <cfRule type="duplicateValues" dxfId="6804" priority="13833"/>
    <cfRule type="duplicateValues" dxfId="6803" priority="13834"/>
    <cfRule type="duplicateValues" dxfId="6802" priority="13835"/>
    <cfRule type="duplicateValues" dxfId="6801" priority="13836"/>
    <cfRule type="duplicateValues" dxfId="6800" priority="13837"/>
    <cfRule type="duplicateValues" dxfId="6799" priority="13838"/>
    <cfRule type="duplicateValues" dxfId="6798" priority="13839"/>
    <cfRule type="duplicateValues" dxfId="6797" priority="13840"/>
    <cfRule type="duplicateValues" dxfId="6796" priority="13841"/>
    <cfRule type="duplicateValues" dxfId="6795" priority="13842"/>
    <cfRule type="duplicateValues" dxfId="6794" priority="13843"/>
    <cfRule type="duplicateValues" dxfId="6793" priority="13844"/>
    <cfRule type="duplicateValues" dxfId="6792" priority="13845"/>
    <cfRule type="duplicateValues" dxfId="6791" priority="13846"/>
    <cfRule type="duplicateValues" dxfId="6790" priority="13847"/>
    <cfRule type="duplicateValues" dxfId="6789" priority="13848"/>
    <cfRule type="duplicateValues" dxfId="6788" priority="13849"/>
    <cfRule type="duplicateValues" dxfId="6787" priority="13850"/>
    <cfRule type="duplicateValues" dxfId="6786" priority="13851"/>
    <cfRule type="duplicateValues" dxfId="6785" priority="13852"/>
    <cfRule type="duplicateValues" dxfId="6784" priority="13853"/>
    <cfRule type="duplicateValues" dxfId="6783" priority="13854"/>
    <cfRule type="duplicateValues" dxfId="6782" priority="13855"/>
    <cfRule type="duplicateValues" dxfId="6781" priority="13856"/>
    <cfRule type="duplicateValues" dxfId="6780" priority="13857"/>
    <cfRule type="duplicateValues" dxfId="6779" priority="13858"/>
    <cfRule type="duplicateValues" dxfId="6778" priority="13859"/>
    <cfRule type="duplicateValues" dxfId="6777" priority="13860"/>
    <cfRule type="duplicateValues" dxfId="6776" priority="13861"/>
    <cfRule type="duplicateValues" dxfId="6775" priority="13862"/>
    <cfRule type="duplicateValues" dxfId="6774" priority="13863"/>
    <cfRule type="duplicateValues" dxfId="6773" priority="13864"/>
    <cfRule type="duplicateValues" dxfId="6772" priority="13865"/>
    <cfRule type="duplicateValues" dxfId="6771" priority="13866"/>
    <cfRule type="duplicateValues" dxfId="6770" priority="13867"/>
    <cfRule type="duplicateValues" dxfId="6769" priority="13868"/>
    <cfRule type="duplicateValues" dxfId="6768" priority="13869"/>
    <cfRule type="duplicateValues" dxfId="6767" priority="13870"/>
    <cfRule type="duplicateValues" dxfId="6766" priority="13871"/>
    <cfRule type="duplicateValues" dxfId="6765" priority="13872"/>
    <cfRule type="duplicateValues" dxfId="6764" priority="13873"/>
    <cfRule type="duplicateValues" dxfId="6763" priority="13874"/>
    <cfRule type="duplicateValues" dxfId="6762" priority="13875"/>
    <cfRule type="duplicateValues" dxfId="6761" priority="13876"/>
    <cfRule type="duplicateValues" dxfId="6760" priority="13877"/>
    <cfRule type="duplicateValues" dxfId="6759" priority="13878"/>
    <cfRule type="duplicateValues" dxfId="6758" priority="13879"/>
    <cfRule type="duplicateValues" dxfId="6757" priority="13880"/>
    <cfRule type="duplicateValues" dxfId="6756" priority="13881"/>
    <cfRule type="duplicateValues" dxfId="6755" priority="13882"/>
    <cfRule type="duplicateValues" dxfId="6754" priority="13883"/>
    <cfRule type="duplicateValues" dxfId="6753" priority="13884"/>
    <cfRule type="duplicateValues" dxfId="6752" priority="13885"/>
    <cfRule type="duplicateValues" dxfId="6751" priority="13886"/>
    <cfRule type="duplicateValues" dxfId="6750" priority="13887"/>
    <cfRule type="duplicateValues" dxfId="6749" priority="13888"/>
    <cfRule type="duplicateValues" dxfId="6748" priority="13889"/>
    <cfRule type="duplicateValues" dxfId="6747" priority="13890"/>
    <cfRule type="duplicateValues" dxfId="6746" priority="13891"/>
    <cfRule type="duplicateValues" dxfId="6745" priority="13892"/>
    <cfRule type="duplicateValues" dxfId="6744" priority="13893"/>
    <cfRule type="duplicateValues" dxfId="6743" priority="13894"/>
    <cfRule type="duplicateValues" dxfId="6742" priority="13895"/>
    <cfRule type="duplicateValues" dxfId="6741" priority="13896"/>
    <cfRule type="duplicateValues" dxfId="6740" priority="13897"/>
    <cfRule type="duplicateValues" dxfId="6739" priority="13898"/>
    <cfRule type="duplicateValues" dxfId="6738" priority="13899"/>
    <cfRule type="duplicateValues" dxfId="6737" priority="13900"/>
    <cfRule type="duplicateValues" dxfId="6736" priority="13901"/>
    <cfRule type="duplicateValues" dxfId="6735" priority="13902"/>
    <cfRule type="duplicateValues" dxfId="6734" priority="13903"/>
    <cfRule type="duplicateValues" dxfId="6733" priority="13904"/>
    <cfRule type="duplicateValues" dxfId="6732" priority="13905"/>
    <cfRule type="duplicateValues" dxfId="6731" priority="13906"/>
    <cfRule type="duplicateValues" dxfId="6730" priority="13907"/>
    <cfRule type="duplicateValues" dxfId="6729" priority="13908"/>
    <cfRule type="duplicateValues" dxfId="6728" priority="13909"/>
    <cfRule type="duplicateValues" dxfId="6727" priority="13910"/>
    <cfRule type="duplicateValues" dxfId="6726" priority="13911"/>
    <cfRule type="duplicateValues" dxfId="6725" priority="13912"/>
    <cfRule type="duplicateValues" dxfId="6724" priority="13913"/>
    <cfRule type="duplicateValues" dxfId="6723" priority="13914"/>
    <cfRule type="duplicateValues" dxfId="6722" priority="13915"/>
    <cfRule type="duplicateValues" dxfId="6721" priority="13916"/>
    <cfRule type="duplicateValues" dxfId="6720" priority="13917"/>
    <cfRule type="duplicateValues" dxfId="6719" priority="13918"/>
    <cfRule type="duplicateValues" dxfId="6718" priority="13919"/>
    <cfRule type="duplicateValues" dxfId="6717" priority="13920"/>
    <cfRule type="duplicateValues" dxfId="6716" priority="13921"/>
    <cfRule type="duplicateValues" dxfId="6715" priority="13922"/>
    <cfRule type="duplicateValues" dxfId="6714" priority="13923"/>
    <cfRule type="duplicateValues" dxfId="6713" priority="13924"/>
    <cfRule type="duplicateValues" dxfId="6712" priority="13925"/>
    <cfRule type="duplicateValues" dxfId="6711" priority="13926"/>
    <cfRule type="duplicateValues" dxfId="6710" priority="13927"/>
    <cfRule type="duplicateValues" dxfId="6709" priority="13928"/>
    <cfRule type="duplicateValues" dxfId="6708" priority="13929"/>
    <cfRule type="duplicateValues" dxfId="6707" priority="13930"/>
    <cfRule type="duplicateValues" dxfId="6706" priority="13931"/>
    <cfRule type="duplicateValues" dxfId="6705" priority="13932"/>
    <cfRule type="duplicateValues" dxfId="6704" priority="13933"/>
    <cfRule type="duplicateValues" dxfId="6703" priority="13934"/>
    <cfRule type="duplicateValues" dxfId="6702" priority="13935"/>
    <cfRule type="duplicateValues" dxfId="6701" priority="13936"/>
    <cfRule type="duplicateValues" dxfId="6700" priority="13937"/>
    <cfRule type="duplicateValues" dxfId="6699" priority="13938"/>
    <cfRule type="duplicateValues" dxfId="6698" priority="13939"/>
    <cfRule type="duplicateValues" dxfId="6697" priority="13940"/>
    <cfRule type="duplicateValues" dxfId="6696" priority="13941"/>
    <cfRule type="duplicateValues" dxfId="6695" priority="13942"/>
    <cfRule type="duplicateValues" dxfId="6694" priority="13943"/>
    <cfRule type="duplicateValues" dxfId="6693" priority="13944"/>
    <cfRule type="duplicateValues" dxfId="6692" priority="13945"/>
    <cfRule type="duplicateValues" dxfId="6691" priority="13946"/>
    <cfRule type="duplicateValues" dxfId="6690" priority="13947"/>
    <cfRule type="duplicateValues" dxfId="6689" priority="13948"/>
    <cfRule type="duplicateValues" dxfId="6688" priority="13949"/>
    <cfRule type="duplicateValues" dxfId="6687" priority="13950"/>
    <cfRule type="duplicateValues" dxfId="6686" priority="13951"/>
    <cfRule type="duplicateValues" dxfId="6685" priority="13952"/>
    <cfRule type="duplicateValues" dxfId="6684" priority="13953"/>
    <cfRule type="duplicateValues" dxfId="6683" priority="13954"/>
    <cfRule type="duplicateValues" dxfId="6682" priority="13955"/>
    <cfRule type="duplicateValues" dxfId="6681" priority="13956"/>
    <cfRule type="duplicateValues" dxfId="6680" priority="13957"/>
    <cfRule type="duplicateValues" dxfId="6679" priority="13958"/>
    <cfRule type="duplicateValues" dxfId="6678" priority="13959"/>
    <cfRule type="duplicateValues" dxfId="6677" priority="13960"/>
    <cfRule type="duplicateValues" dxfId="6676" priority="13961"/>
    <cfRule type="duplicateValues" dxfId="6675" priority="13962"/>
    <cfRule type="duplicateValues" dxfId="6674" priority="13963"/>
    <cfRule type="duplicateValues" dxfId="6673" priority="13964"/>
    <cfRule type="duplicateValues" dxfId="6672" priority="13965"/>
    <cfRule type="duplicateValues" dxfId="6671" priority="13966"/>
    <cfRule type="duplicateValues" dxfId="6670" priority="13967"/>
    <cfRule type="duplicateValues" dxfId="6669" priority="13968"/>
    <cfRule type="duplicateValues" dxfId="6668" priority="13969"/>
    <cfRule type="duplicateValues" dxfId="6667" priority="13970"/>
    <cfRule type="duplicateValues" dxfId="6666" priority="13971"/>
    <cfRule type="duplicateValues" dxfId="6665" priority="13972"/>
    <cfRule type="duplicateValues" dxfId="6664" priority="13973"/>
    <cfRule type="duplicateValues" dxfId="6663" priority="13974"/>
    <cfRule type="duplicateValues" dxfId="6662" priority="13975"/>
    <cfRule type="duplicateValues" dxfId="6661" priority="13976"/>
  </conditionalFormatting>
  <conditionalFormatting sqref="C280">
    <cfRule type="duplicateValues" dxfId="6660" priority="13287"/>
    <cfRule type="duplicateValues" dxfId="6659" priority="13288"/>
    <cfRule type="duplicateValues" dxfId="6658" priority="13289"/>
    <cfRule type="duplicateValues" dxfId="6657" priority="13290"/>
    <cfRule type="duplicateValues" dxfId="6656" priority="13291"/>
    <cfRule type="duplicateValues" dxfId="6655" priority="13292"/>
    <cfRule type="duplicateValues" dxfId="6654" priority="13293"/>
    <cfRule type="duplicateValues" dxfId="6653" priority="13294"/>
    <cfRule type="duplicateValues" dxfId="6652" priority="13295"/>
    <cfRule type="duplicateValues" dxfId="6651" priority="13296"/>
    <cfRule type="duplicateValues" dxfId="6650" priority="13297"/>
    <cfRule type="duplicateValues" dxfId="6649" priority="13298"/>
    <cfRule type="duplicateValues" dxfId="6648" priority="13299"/>
    <cfRule type="duplicateValues" dxfId="6647" priority="13300"/>
    <cfRule type="duplicateValues" dxfId="6646" priority="13301"/>
    <cfRule type="duplicateValues" dxfId="6645" priority="13302"/>
    <cfRule type="duplicateValues" dxfId="6644" priority="13303"/>
    <cfRule type="duplicateValues" dxfId="6643" priority="13304"/>
    <cfRule type="duplicateValues" dxfId="6642" priority="13305"/>
    <cfRule type="duplicateValues" dxfId="6641" priority="13306"/>
    <cfRule type="duplicateValues" dxfId="6640" priority="13307"/>
    <cfRule type="duplicateValues" dxfId="6639" priority="13308"/>
    <cfRule type="duplicateValues" dxfId="6638" priority="13309"/>
    <cfRule type="duplicateValues" dxfId="6637" priority="13310"/>
    <cfRule type="duplicateValues" dxfId="6636" priority="13311"/>
    <cfRule type="duplicateValues" dxfId="6635" priority="13312"/>
    <cfRule type="duplicateValues" dxfId="6634" priority="13313"/>
    <cfRule type="duplicateValues" dxfId="6633" priority="13314"/>
    <cfRule type="duplicateValues" dxfId="6632" priority="13315"/>
    <cfRule type="duplicateValues" dxfId="6631" priority="13316"/>
    <cfRule type="duplicateValues" dxfId="6630" priority="13317"/>
    <cfRule type="duplicateValues" dxfId="6629" priority="13318"/>
    <cfRule type="duplicateValues" dxfId="6628" priority="13319"/>
    <cfRule type="duplicateValues" dxfId="6627" priority="13320"/>
    <cfRule type="duplicateValues" dxfId="6626" priority="13321"/>
    <cfRule type="duplicateValues" dxfId="6625" priority="13322"/>
    <cfRule type="duplicateValues" dxfId="6624" priority="13323"/>
    <cfRule type="duplicateValues" dxfId="6623" priority="13324"/>
    <cfRule type="duplicateValues" dxfId="6622" priority="13325"/>
    <cfRule type="duplicateValues" dxfId="6621" priority="13326"/>
    <cfRule type="duplicateValues" dxfId="6620" priority="13327"/>
    <cfRule type="duplicateValues" dxfId="6619" priority="13328"/>
    <cfRule type="duplicateValues" dxfId="6618" priority="13329"/>
    <cfRule type="duplicateValues" dxfId="6617" priority="13330"/>
    <cfRule type="duplicateValues" dxfId="6616" priority="13331"/>
    <cfRule type="duplicateValues" dxfId="6615" priority="13332"/>
    <cfRule type="duplicateValues" dxfId="6614" priority="13333"/>
    <cfRule type="duplicateValues" dxfId="6613" priority="13334"/>
    <cfRule type="duplicateValues" dxfId="6612" priority="13335"/>
    <cfRule type="duplicateValues" dxfId="6611" priority="13336"/>
    <cfRule type="duplicateValues" dxfId="6610" priority="13337"/>
    <cfRule type="duplicateValues" dxfId="6609" priority="13338"/>
    <cfRule type="duplicateValues" dxfId="6608" priority="13339"/>
    <cfRule type="duplicateValues" dxfId="6607" priority="13340"/>
    <cfRule type="duplicateValues" dxfId="6606" priority="13341"/>
    <cfRule type="duplicateValues" dxfId="6605" priority="13342"/>
    <cfRule type="duplicateValues" dxfId="6604" priority="13343"/>
    <cfRule type="duplicateValues" dxfId="6603" priority="13344"/>
    <cfRule type="duplicateValues" dxfId="6602" priority="13345"/>
    <cfRule type="duplicateValues" dxfId="6601" priority="13346"/>
    <cfRule type="duplicateValues" dxfId="6600" priority="13347"/>
    <cfRule type="duplicateValues" dxfId="6599" priority="13348"/>
    <cfRule type="duplicateValues" dxfId="6598" priority="13349"/>
    <cfRule type="duplicateValues" dxfId="6597" priority="13350"/>
    <cfRule type="duplicateValues" dxfId="6596" priority="13351"/>
    <cfRule type="duplicateValues" dxfId="6595" priority="13352"/>
    <cfRule type="duplicateValues" dxfId="6594" priority="13353"/>
    <cfRule type="duplicateValues" dxfId="6593" priority="13354"/>
    <cfRule type="duplicateValues" dxfId="6592" priority="13355"/>
    <cfRule type="duplicateValues" dxfId="6591" priority="13356"/>
    <cfRule type="duplicateValues" dxfId="6590" priority="13357"/>
    <cfRule type="duplicateValues" dxfId="6589" priority="13358"/>
    <cfRule type="duplicateValues" dxfId="6588" priority="13359"/>
    <cfRule type="duplicateValues" dxfId="6587" priority="13360"/>
    <cfRule type="duplicateValues" dxfId="6586" priority="13361"/>
    <cfRule type="duplicateValues" dxfId="6585" priority="13362"/>
    <cfRule type="duplicateValues" dxfId="6584" priority="13363"/>
    <cfRule type="duplicateValues" dxfId="6583" priority="13364"/>
    <cfRule type="duplicateValues" dxfId="6582" priority="13365"/>
    <cfRule type="duplicateValues" dxfId="6581" priority="13366"/>
    <cfRule type="duplicateValues" dxfId="6580" priority="13367"/>
    <cfRule type="duplicateValues" dxfId="6579" priority="13368"/>
    <cfRule type="duplicateValues" dxfId="6578" priority="13369"/>
    <cfRule type="duplicateValues" dxfId="6577" priority="13370"/>
    <cfRule type="duplicateValues" dxfId="6576" priority="13371"/>
    <cfRule type="duplicateValues" dxfId="6575" priority="13372"/>
    <cfRule type="duplicateValues" dxfId="6574" priority="13373"/>
    <cfRule type="duplicateValues" dxfId="6573" priority="13374"/>
    <cfRule type="duplicateValues" dxfId="6572" priority="13375"/>
    <cfRule type="duplicateValues" dxfId="6571" priority="13376"/>
    <cfRule type="duplicateValues" dxfId="6570" priority="13377"/>
    <cfRule type="duplicateValues" dxfId="6569" priority="13378"/>
    <cfRule type="duplicateValues" dxfId="6568" priority="13379"/>
    <cfRule type="duplicateValues" dxfId="6567" priority="13380"/>
    <cfRule type="duplicateValues" dxfId="6566" priority="13381"/>
    <cfRule type="duplicateValues" dxfId="6565" priority="13382"/>
    <cfRule type="duplicateValues" dxfId="6564" priority="13383"/>
    <cfRule type="duplicateValues" dxfId="6563" priority="13384"/>
    <cfRule type="duplicateValues" dxfId="6562" priority="13385"/>
    <cfRule type="duplicateValues" dxfId="6561" priority="13386"/>
    <cfRule type="duplicateValues" dxfId="6560" priority="13387"/>
    <cfRule type="duplicateValues" dxfId="6559" priority="13388"/>
    <cfRule type="duplicateValues" dxfId="6558" priority="13389"/>
    <cfRule type="duplicateValues" dxfId="6557" priority="13390"/>
    <cfRule type="duplicateValues" dxfId="6556" priority="13391"/>
    <cfRule type="duplicateValues" dxfId="6555" priority="13392"/>
    <cfRule type="duplicateValues" dxfId="6554" priority="13393"/>
    <cfRule type="duplicateValues" dxfId="6553" priority="13394"/>
    <cfRule type="duplicateValues" dxfId="6552" priority="13395"/>
    <cfRule type="duplicateValues" dxfId="6551" priority="13396"/>
    <cfRule type="duplicateValues" dxfId="6550" priority="13397"/>
    <cfRule type="duplicateValues" dxfId="6549" priority="13398"/>
    <cfRule type="duplicateValues" dxfId="6548" priority="13399"/>
    <cfRule type="duplicateValues" dxfId="6547" priority="13400"/>
    <cfRule type="duplicateValues" dxfId="6546" priority="13401"/>
    <cfRule type="duplicateValues" dxfId="6545" priority="13402"/>
    <cfRule type="duplicateValues" dxfId="6544" priority="13403"/>
    <cfRule type="duplicateValues" dxfId="6543" priority="13404"/>
    <cfRule type="duplicateValues" dxfId="6542" priority="13405"/>
    <cfRule type="duplicateValues" dxfId="6541" priority="13406"/>
    <cfRule type="duplicateValues" dxfId="6540" priority="13407"/>
    <cfRule type="duplicateValues" dxfId="6539" priority="13408"/>
    <cfRule type="duplicateValues" dxfId="6538" priority="13409"/>
    <cfRule type="duplicateValues" dxfId="6537" priority="13410"/>
    <cfRule type="duplicateValues" dxfId="6536" priority="13411"/>
    <cfRule type="duplicateValues" dxfId="6535" priority="13412"/>
    <cfRule type="duplicateValues" dxfId="6534" priority="13413"/>
    <cfRule type="duplicateValues" dxfId="6533" priority="13414"/>
    <cfRule type="duplicateValues" dxfId="6532" priority="13415"/>
    <cfRule type="duplicateValues" dxfId="6531" priority="13416"/>
    <cfRule type="duplicateValues" dxfId="6530" priority="13417"/>
    <cfRule type="duplicateValues" dxfId="6529" priority="13418"/>
    <cfRule type="duplicateValues" dxfId="6528" priority="13419"/>
    <cfRule type="duplicateValues" dxfId="6527" priority="13420"/>
    <cfRule type="duplicateValues" dxfId="6526" priority="13421"/>
    <cfRule type="duplicateValues" dxfId="6525" priority="13422"/>
    <cfRule type="duplicateValues" dxfId="6524" priority="13423"/>
    <cfRule type="duplicateValues" dxfId="6523" priority="13424"/>
    <cfRule type="duplicateValues" dxfId="6522" priority="13425"/>
    <cfRule type="duplicateValues" dxfId="6521" priority="13426"/>
    <cfRule type="duplicateValues" dxfId="6520" priority="13427"/>
    <cfRule type="duplicateValues" dxfId="6519" priority="13428"/>
    <cfRule type="duplicateValues" dxfId="6518" priority="13429"/>
    <cfRule type="duplicateValues" dxfId="6517" priority="13430"/>
    <cfRule type="duplicateValues" dxfId="6516" priority="13431"/>
    <cfRule type="duplicateValues" dxfId="6515" priority="13432"/>
    <cfRule type="duplicateValues" dxfId="6514" priority="13433"/>
    <cfRule type="duplicateValues" dxfId="6513" priority="13434"/>
    <cfRule type="duplicateValues" dxfId="6512" priority="13435"/>
    <cfRule type="duplicateValues" dxfId="6511" priority="13436"/>
    <cfRule type="duplicateValues" dxfId="6510" priority="13437"/>
    <cfRule type="duplicateValues" dxfId="6509" priority="13438"/>
    <cfRule type="duplicateValues" dxfId="6508" priority="13439"/>
    <cfRule type="duplicateValues" dxfId="6507" priority="13440"/>
    <cfRule type="duplicateValues" dxfId="6506" priority="13441"/>
    <cfRule type="duplicateValues" dxfId="6505" priority="13442"/>
    <cfRule type="duplicateValues" dxfId="6504" priority="13443"/>
    <cfRule type="duplicateValues" dxfId="6503" priority="13444"/>
    <cfRule type="duplicateValues" dxfId="6502" priority="13445"/>
    <cfRule type="duplicateValues" dxfId="6501" priority="13446"/>
    <cfRule type="duplicateValues" dxfId="6500" priority="13447"/>
    <cfRule type="duplicateValues" dxfId="6499" priority="13448"/>
    <cfRule type="duplicateValues" dxfId="6498" priority="13449"/>
    <cfRule type="duplicateValues" dxfId="6497" priority="13450"/>
    <cfRule type="duplicateValues" dxfId="6496" priority="13451"/>
    <cfRule type="duplicateValues" dxfId="6495" priority="13452"/>
    <cfRule type="duplicateValues" dxfId="6494" priority="13453"/>
    <cfRule type="duplicateValues" dxfId="6493" priority="13454"/>
    <cfRule type="duplicateValues" dxfId="6492" priority="13455"/>
    <cfRule type="duplicateValues" dxfId="6491" priority="13456"/>
    <cfRule type="duplicateValues" dxfId="6490" priority="13457"/>
    <cfRule type="duplicateValues" dxfId="6489" priority="13458"/>
    <cfRule type="duplicateValues" dxfId="6488" priority="13459"/>
    <cfRule type="duplicateValues" dxfId="6487" priority="13460"/>
    <cfRule type="duplicateValues" dxfId="6486" priority="13461"/>
    <cfRule type="duplicateValues" dxfId="6485" priority="13462"/>
    <cfRule type="duplicateValues" dxfId="6484" priority="13463"/>
    <cfRule type="duplicateValues" dxfId="6483" priority="13464"/>
    <cfRule type="duplicateValues" dxfId="6482" priority="13465"/>
    <cfRule type="duplicateValues" dxfId="6481" priority="13466"/>
    <cfRule type="duplicateValues" dxfId="6480" priority="13467"/>
    <cfRule type="duplicateValues" dxfId="6479" priority="13468"/>
    <cfRule type="duplicateValues" dxfId="6478" priority="13469"/>
    <cfRule type="duplicateValues" dxfId="6477" priority="13470"/>
    <cfRule type="duplicateValues" dxfId="6476" priority="13471"/>
    <cfRule type="duplicateValues" dxfId="6475" priority="13472"/>
    <cfRule type="duplicateValues" dxfId="6474" priority="13473"/>
    <cfRule type="duplicateValues" dxfId="6473" priority="13474"/>
    <cfRule type="duplicateValues" dxfId="6472" priority="13475"/>
    <cfRule type="duplicateValues" dxfId="6471" priority="13476"/>
    <cfRule type="duplicateValues" dxfId="6470" priority="13477"/>
    <cfRule type="duplicateValues" dxfId="6469" priority="13478"/>
    <cfRule type="duplicateValues" dxfId="6468" priority="13479"/>
    <cfRule type="duplicateValues" dxfId="6467" priority="13480"/>
    <cfRule type="duplicateValues" dxfId="6466" priority="13481"/>
    <cfRule type="duplicateValues" dxfId="6465" priority="13482"/>
    <cfRule type="duplicateValues" dxfId="6464" priority="13483"/>
    <cfRule type="duplicateValues" dxfId="6463" priority="13484"/>
    <cfRule type="duplicateValues" dxfId="6462" priority="13485"/>
    <cfRule type="duplicateValues" dxfId="6461" priority="13486"/>
    <cfRule type="duplicateValues" dxfId="6460" priority="13487"/>
    <cfRule type="duplicateValues" dxfId="6459" priority="13488"/>
    <cfRule type="duplicateValues" dxfId="6458" priority="13489"/>
    <cfRule type="duplicateValues" dxfId="6457" priority="13490"/>
    <cfRule type="duplicateValues" dxfId="6456" priority="13491"/>
    <cfRule type="duplicateValues" dxfId="6455" priority="13492"/>
    <cfRule type="duplicateValues" dxfId="6454" priority="13493"/>
    <cfRule type="duplicateValues" dxfId="6453" priority="13494"/>
    <cfRule type="duplicateValues" dxfId="6452" priority="13495"/>
    <cfRule type="duplicateValues" dxfId="6451" priority="13496"/>
    <cfRule type="duplicateValues" dxfId="6450" priority="13497"/>
    <cfRule type="duplicateValues" dxfId="6449" priority="13498"/>
    <cfRule type="duplicateValues" dxfId="6448" priority="13499"/>
    <cfRule type="duplicateValues" dxfId="6447" priority="13500"/>
    <cfRule type="duplicateValues" dxfId="6446" priority="13501"/>
    <cfRule type="duplicateValues" dxfId="6445" priority="13502"/>
    <cfRule type="duplicateValues" dxfId="6444" priority="13503"/>
    <cfRule type="duplicateValues" dxfId="6443" priority="13504"/>
    <cfRule type="duplicateValues" dxfId="6442" priority="13505"/>
    <cfRule type="duplicateValues" dxfId="6441" priority="13506"/>
    <cfRule type="duplicateValues" dxfId="6440" priority="13507"/>
    <cfRule type="duplicateValues" dxfId="6439" priority="13508"/>
    <cfRule type="duplicateValues" dxfId="6438" priority="13509"/>
    <cfRule type="duplicateValues" dxfId="6437" priority="13510"/>
    <cfRule type="duplicateValues" dxfId="6436" priority="13511"/>
    <cfRule type="duplicateValues" dxfId="6435" priority="13512"/>
    <cfRule type="duplicateValues" dxfId="6434" priority="13513"/>
    <cfRule type="duplicateValues" dxfId="6433" priority="13514"/>
    <cfRule type="duplicateValues" dxfId="6432" priority="13515"/>
    <cfRule type="duplicateValues" dxfId="6431" priority="13516"/>
    <cfRule type="duplicateValues" dxfId="6430" priority="13517"/>
    <cfRule type="duplicateValues" dxfId="6429" priority="13518"/>
    <cfRule type="duplicateValues" dxfId="6428" priority="13519"/>
    <cfRule type="duplicateValues" dxfId="6427" priority="13520"/>
    <cfRule type="duplicateValues" dxfId="6426" priority="13521"/>
    <cfRule type="duplicateValues" dxfId="6425" priority="13522"/>
    <cfRule type="duplicateValues" dxfId="6424" priority="13523"/>
    <cfRule type="duplicateValues" dxfId="6423" priority="13524"/>
    <cfRule type="duplicateValues" dxfId="6422" priority="13525"/>
    <cfRule type="duplicateValues" dxfId="6421" priority="13526"/>
    <cfRule type="duplicateValues" dxfId="6420" priority="13527"/>
    <cfRule type="duplicateValues" dxfId="6419" priority="13528"/>
    <cfRule type="duplicateValues" dxfId="6418" priority="13529"/>
    <cfRule type="duplicateValues" dxfId="6417" priority="13530"/>
    <cfRule type="duplicateValues" dxfId="6416" priority="13531"/>
    <cfRule type="duplicateValues" dxfId="6415" priority="13532"/>
    <cfRule type="duplicateValues" dxfId="6414" priority="13533"/>
    <cfRule type="duplicateValues" dxfId="6413" priority="13534"/>
    <cfRule type="duplicateValues" dxfId="6412" priority="13535"/>
    <cfRule type="duplicateValues" dxfId="6411" priority="13536"/>
    <cfRule type="duplicateValues" dxfId="6410" priority="13537"/>
    <cfRule type="duplicateValues" dxfId="6409" priority="13538"/>
    <cfRule type="duplicateValues" dxfId="6408" priority="13539"/>
    <cfRule type="duplicateValues" dxfId="6407" priority="13540"/>
    <cfRule type="duplicateValues" dxfId="6406" priority="13541"/>
    <cfRule type="duplicateValues" dxfId="6405" priority="13542"/>
    <cfRule type="duplicateValues" dxfId="6404" priority="13543"/>
    <cfRule type="duplicateValues" dxfId="6403" priority="13544"/>
    <cfRule type="duplicateValues" dxfId="6402" priority="13545"/>
    <cfRule type="duplicateValues" dxfId="6401" priority="13546"/>
    <cfRule type="duplicateValues" dxfId="6400" priority="13547"/>
    <cfRule type="duplicateValues" dxfId="6399" priority="13548"/>
    <cfRule type="duplicateValues" dxfId="6398" priority="13549"/>
    <cfRule type="duplicateValues" dxfId="6397" priority="13550"/>
    <cfRule type="duplicateValues" dxfId="6396" priority="13551"/>
    <cfRule type="duplicateValues" dxfId="6395" priority="13552"/>
    <cfRule type="duplicateValues" dxfId="6394" priority="13553"/>
    <cfRule type="duplicateValues" dxfId="6393" priority="13554"/>
    <cfRule type="duplicateValues" dxfId="6392" priority="13555"/>
    <cfRule type="duplicateValues" dxfId="6391" priority="13556"/>
    <cfRule type="duplicateValues" dxfId="6390" priority="13557"/>
    <cfRule type="duplicateValues" dxfId="6389" priority="13558"/>
    <cfRule type="duplicateValues" dxfId="6388" priority="13559"/>
    <cfRule type="duplicateValues" dxfId="6387" priority="13560"/>
    <cfRule type="duplicateValues" dxfId="6386" priority="13561"/>
    <cfRule type="duplicateValues" dxfId="6385" priority="13562"/>
    <cfRule type="duplicateValues" dxfId="6384" priority="13563"/>
    <cfRule type="duplicateValues" dxfId="6383" priority="13564"/>
    <cfRule type="duplicateValues" dxfId="6382" priority="13565"/>
    <cfRule type="duplicateValues" dxfId="6381" priority="13566"/>
    <cfRule type="duplicateValues" dxfId="6380" priority="13567"/>
    <cfRule type="duplicateValues" dxfId="6379" priority="13568"/>
    <cfRule type="duplicateValues" dxfId="6378" priority="13569"/>
    <cfRule type="duplicateValues" dxfId="6377" priority="13570"/>
    <cfRule type="duplicateValues" dxfId="6376" priority="13571"/>
    <cfRule type="duplicateValues" dxfId="6375" priority="13572"/>
    <cfRule type="duplicateValues" dxfId="6374" priority="13573"/>
    <cfRule type="duplicateValues" dxfId="6373" priority="13574"/>
    <cfRule type="duplicateValues" dxfId="6372" priority="13575"/>
    <cfRule type="duplicateValues" dxfId="6371" priority="13576"/>
    <cfRule type="duplicateValues" dxfId="6370" priority="13577"/>
    <cfRule type="duplicateValues" dxfId="6369" priority="13578"/>
    <cfRule type="duplicateValues" dxfId="6368" priority="13579"/>
    <cfRule type="duplicateValues" dxfId="6367" priority="13580"/>
    <cfRule type="duplicateValues" dxfId="6366" priority="13581"/>
    <cfRule type="duplicateValues" dxfId="6365" priority="13582"/>
    <cfRule type="duplicateValues" dxfId="6364" priority="13583"/>
    <cfRule type="duplicateValues" dxfId="6363" priority="13584"/>
    <cfRule type="duplicateValues" dxfId="6362" priority="13585"/>
    <cfRule type="duplicateValues" dxfId="6361" priority="13586"/>
    <cfRule type="duplicateValues" dxfId="6360" priority="13587"/>
    <cfRule type="duplicateValues" dxfId="6359" priority="13588"/>
    <cfRule type="duplicateValues" dxfId="6358" priority="13589"/>
    <cfRule type="duplicateValues" dxfId="6357" priority="13590"/>
    <cfRule type="duplicateValues" dxfId="6356" priority="13591"/>
    <cfRule type="duplicateValues" dxfId="6355" priority="13592"/>
    <cfRule type="duplicateValues" dxfId="6354" priority="13593"/>
    <cfRule type="duplicateValues" dxfId="6353" priority="13594"/>
    <cfRule type="duplicateValues" dxfId="6352" priority="13595"/>
    <cfRule type="duplicateValues" dxfId="6351" priority="13596"/>
    <cfRule type="duplicateValues" dxfId="6350" priority="13597"/>
    <cfRule type="duplicateValues" dxfId="6349" priority="13598"/>
    <cfRule type="duplicateValues" dxfId="6348" priority="13599"/>
    <cfRule type="duplicateValues" dxfId="6347" priority="13600"/>
    <cfRule type="duplicateValues" dxfId="6346" priority="13601"/>
    <cfRule type="duplicateValues" dxfId="6345" priority="13602"/>
    <cfRule type="duplicateValues" dxfId="6344" priority="13603"/>
    <cfRule type="duplicateValues" dxfId="6343" priority="13604"/>
    <cfRule type="duplicateValues" dxfId="6342" priority="13605"/>
    <cfRule type="duplicateValues" dxfId="6341" priority="13606"/>
    <cfRule type="duplicateValues" dxfId="6340" priority="13607"/>
    <cfRule type="duplicateValues" dxfId="6339" priority="13608"/>
    <cfRule type="duplicateValues" dxfId="6338" priority="13609"/>
    <cfRule type="duplicateValues" dxfId="6337" priority="13610"/>
    <cfRule type="duplicateValues" dxfId="6336" priority="13611"/>
    <cfRule type="duplicateValues" dxfId="6335" priority="13612"/>
    <cfRule type="duplicateValues" dxfId="6334" priority="13613"/>
    <cfRule type="duplicateValues" dxfId="6333" priority="13614"/>
    <cfRule type="duplicateValues" dxfId="6332" priority="13615"/>
    <cfRule type="duplicateValues" dxfId="6331" priority="13616"/>
    <cfRule type="duplicateValues" dxfId="6330" priority="13617"/>
    <cfRule type="duplicateValues" dxfId="6329" priority="13618"/>
    <cfRule type="duplicateValues" dxfId="6328" priority="13619"/>
    <cfRule type="duplicateValues" dxfId="6327" priority="13620"/>
    <cfRule type="duplicateValues" dxfId="6326" priority="13621"/>
    <cfRule type="duplicateValues" dxfId="6325" priority="13622"/>
    <cfRule type="duplicateValues" dxfId="6324" priority="13623"/>
    <cfRule type="duplicateValues" dxfId="6323" priority="13624"/>
    <cfRule type="duplicateValues" dxfId="6322" priority="13625"/>
    <cfRule type="duplicateValues" dxfId="6321" priority="13626"/>
    <cfRule type="duplicateValues" dxfId="6320" priority="13627"/>
    <cfRule type="duplicateValues" dxfId="6319" priority="13628"/>
    <cfRule type="duplicateValues" dxfId="6318" priority="13629"/>
    <cfRule type="duplicateValues" dxfId="6317" priority="13630"/>
    <cfRule type="duplicateValues" dxfId="6316" priority="13631"/>
  </conditionalFormatting>
  <conditionalFormatting sqref="C281">
    <cfRule type="duplicateValues" dxfId="6315" priority="12942"/>
    <cfRule type="duplicateValues" dxfId="6314" priority="12943"/>
    <cfRule type="duplicateValues" dxfId="6313" priority="12944"/>
    <cfRule type="duplicateValues" dxfId="6312" priority="12945"/>
    <cfRule type="duplicateValues" dxfId="6311" priority="12946"/>
    <cfRule type="duplicateValues" dxfId="6310" priority="12947"/>
    <cfRule type="duplicateValues" dxfId="6309" priority="12948"/>
    <cfRule type="duplicateValues" dxfId="6308" priority="12949"/>
    <cfRule type="duplicateValues" dxfId="6307" priority="12950"/>
    <cfRule type="duplicateValues" dxfId="6306" priority="12951"/>
    <cfRule type="duplicateValues" dxfId="6305" priority="12952"/>
    <cfRule type="duplicateValues" dxfId="6304" priority="12953"/>
    <cfRule type="duplicateValues" dxfId="6303" priority="12954"/>
    <cfRule type="duplicateValues" dxfId="6302" priority="12955"/>
    <cfRule type="duplicateValues" dxfId="6301" priority="12956"/>
    <cfRule type="duplicateValues" dxfId="6300" priority="12957"/>
    <cfRule type="duplicateValues" dxfId="6299" priority="12958"/>
    <cfRule type="duplicateValues" dxfId="6298" priority="12959"/>
    <cfRule type="duplicateValues" dxfId="6297" priority="12960"/>
    <cfRule type="duplicateValues" dxfId="6296" priority="12961"/>
    <cfRule type="duplicateValues" dxfId="6295" priority="12962"/>
    <cfRule type="duplicateValues" dxfId="6294" priority="12963"/>
    <cfRule type="duplicateValues" dxfId="6293" priority="12964"/>
    <cfRule type="duplicateValues" dxfId="6292" priority="12965"/>
    <cfRule type="duplicateValues" dxfId="6291" priority="12966"/>
    <cfRule type="duplicateValues" dxfId="6290" priority="12967"/>
    <cfRule type="duplicateValues" dxfId="6289" priority="12968"/>
    <cfRule type="duplicateValues" dxfId="6288" priority="12969"/>
    <cfRule type="duplicateValues" dxfId="6287" priority="12970"/>
    <cfRule type="duplicateValues" dxfId="6286" priority="12971"/>
    <cfRule type="duplicateValues" dxfId="6285" priority="12972"/>
    <cfRule type="duplicateValues" dxfId="6284" priority="12973"/>
    <cfRule type="duplicateValues" dxfId="6283" priority="12974"/>
    <cfRule type="duplicateValues" dxfId="6282" priority="12975"/>
    <cfRule type="duplicateValues" dxfId="6281" priority="12976"/>
    <cfRule type="duplicateValues" dxfId="6280" priority="12977"/>
    <cfRule type="duplicateValues" dxfId="6279" priority="12978"/>
    <cfRule type="duplicateValues" dxfId="6278" priority="12979"/>
    <cfRule type="duplicateValues" dxfId="6277" priority="12980"/>
    <cfRule type="duplicateValues" dxfId="6276" priority="12981"/>
    <cfRule type="duplicateValues" dxfId="6275" priority="12982"/>
    <cfRule type="duplicateValues" dxfId="6274" priority="12983"/>
    <cfRule type="duplicateValues" dxfId="6273" priority="12984"/>
    <cfRule type="duplicateValues" dxfId="6272" priority="12985"/>
    <cfRule type="duplicateValues" dxfId="6271" priority="12986"/>
    <cfRule type="duplicateValues" dxfId="6270" priority="12987"/>
    <cfRule type="duplicateValues" dxfId="6269" priority="12988"/>
    <cfRule type="duplicateValues" dxfId="6268" priority="12989"/>
    <cfRule type="duplicateValues" dxfId="6267" priority="12990"/>
    <cfRule type="duplicateValues" dxfId="6266" priority="12991"/>
    <cfRule type="duplicateValues" dxfId="6265" priority="12992"/>
    <cfRule type="duplicateValues" dxfId="6264" priority="12993"/>
    <cfRule type="duplicateValues" dxfId="6263" priority="12994"/>
    <cfRule type="duplicateValues" dxfId="6262" priority="12995"/>
    <cfRule type="duplicateValues" dxfId="6261" priority="12996"/>
    <cfRule type="duplicateValues" dxfId="6260" priority="12997"/>
    <cfRule type="duplicateValues" dxfId="6259" priority="12998"/>
    <cfRule type="duplicateValues" dxfId="6258" priority="12999"/>
    <cfRule type="duplicateValues" dxfId="6257" priority="13000"/>
    <cfRule type="duplicateValues" dxfId="6256" priority="13001"/>
    <cfRule type="duplicateValues" dxfId="6255" priority="13002"/>
    <cfRule type="duplicateValues" dxfId="6254" priority="13003"/>
    <cfRule type="duplicateValues" dxfId="6253" priority="13004"/>
    <cfRule type="duplicateValues" dxfId="6252" priority="13005"/>
    <cfRule type="duplicateValues" dxfId="6251" priority="13006"/>
    <cfRule type="duplicateValues" dxfId="6250" priority="13007"/>
    <cfRule type="duplicateValues" dxfId="6249" priority="13008"/>
    <cfRule type="duplicateValues" dxfId="6248" priority="13009"/>
    <cfRule type="duplicateValues" dxfId="6247" priority="13010"/>
    <cfRule type="duplicateValues" dxfId="6246" priority="13011"/>
    <cfRule type="duplicateValues" dxfId="6245" priority="13012"/>
    <cfRule type="duplicateValues" dxfId="6244" priority="13013"/>
    <cfRule type="duplicateValues" dxfId="6243" priority="13014"/>
    <cfRule type="duplicateValues" dxfId="6242" priority="13015"/>
    <cfRule type="duplicateValues" dxfId="6241" priority="13016"/>
    <cfRule type="duplicateValues" dxfId="6240" priority="13017"/>
    <cfRule type="duplicateValues" dxfId="6239" priority="13018"/>
    <cfRule type="duplicateValues" dxfId="6238" priority="13019"/>
    <cfRule type="duplicateValues" dxfId="6237" priority="13020"/>
    <cfRule type="duplicateValues" dxfId="6236" priority="13021"/>
    <cfRule type="duplicateValues" dxfId="6235" priority="13022"/>
    <cfRule type="duplicateValues" dxfId="6234" priority="13023"/>
    <cfRule type="duplicateValues" dxfId="6233" priority="13024"/>
    <cfRule type="duplicateValues" dxfId="6232" priority="13025"/>
    <cfRule type="duplicateValues" dxfId="6231" priority="13026"/>
    <cfRule type="duplicateValues" dxfId="6230" priority="13027"/>
    <cfRule type="duplicateValues" dxfId="6229" priority="13028"/>
    <cfRule type="duplicateValues" dxfId="6228" priority="13029"/>
    <cfRule type="duplicateValues" dxfId="6227" priority="13030"/>
    <cfRule type="duplicateValues" dxfId="6226" priority="13031"/>
    <cfRule type="duplicateValues" dxfId="6225" priority="13032"/>
    <cfRule type="duplicateValues" dxfId="6224" priority="13033"/>
    <cfRule type="duplicateValues" dxfId="6223" priority="13034"/>
    <cfRule type="duplicateValues" dxfId="6222" priority="13035"/>
    <cfRule type="duplicateValues" dxfId="6221" priority="13036"/>
    <cfRule type="duplicateValues" dxfId="6220" priority="13037"/>
    <cfRule type="duplicateValues" dxfId="6219" priority="13038"/>
    <cfRule type="duplicateValues" dxfId="6218" priority="13039"/>
    <cfRule type="duplicateValues" dxfId="6217" priority="13040"/>
    <cfRule type="duplicateValues" dxfId="6216" priority="13041"/>
    <cfRule type="duplicateValues" dxfId="6215" priority="13042"/>
    <cfRule type="duplicateValues" dxfId="6214" priority="13043"/>
    <cfRule type="duplicateValues" dxfId="6213" priority="13044"/>
    <cfRule type="duplicateValues" dxfId="6212" priority="13045"/>
    <cfRule type="duplicateValues" dxfId="6211" priority="13046"/>
    <cfRule type="duplicateValues" dxfId="6210" priority="13047"/>
    <cfRule type="duplicateValues" dxfId="6209" priority="13048"/>
    <cfRule type="duplicateValues" dxfId="6208" priority="13049"/>
    <cfRule type="duplicateValues" dxfId="6207" priority="13050"/>
    <cfRule type="duplicateValues" dxfId="6206" priority="13051"/>
    <cfRule type="duplicateValues" dxfId="6205" priority="13052"/>
    <cfRule type="duplicateValues" dxfId="6204" priority="13053"/>
    <cfRule type="duplicateValues" dxfId="6203" priority="13054"/>
    <cfRule type="duplicateValues" dxfId="6202" priority="13055"/>
    <cfRule type="duplicateValues" dxfId="6201" priority="13056"/>
    <cfRule type="duplicateValues" dxfId="6200" priority="13057"/>
    <cfRule type="duplicateValues" dxfId="6199" priority="13058"/>
    <cfRule type="duplicateValues" dxfId="6198" priority="13059"/>
    <cfRule type="duplicateValues" dxfId="6197" priority="13060"/>
    <cfRule type="duplicateValues" dxfId="6196" priority="13061"/>
    <cfRule type="duplicateValues" dxfId="6195" priority="13062"/>
    <cfRule type="duplicateValues" dxfId="6194" priority="13063"/>
    <cfRule type="duplicateValues" dxfId="6193" priority="13064"/>
    <cfRule type="duplicateValues" dxfId="6192" priority="13065"/>
    <cfRule type="duplicateValues" dxfId="6191" priority="13066"/>
    <cfRule type="duplicateValues" dxfId="6190" priority="13067"/>
    <cfRule type="duplicateValues" dxfId="6189" priority="13068"/>
    <cfRule type="duplicateValues" dxfId="6188" priority="13069"/>
    <cfRule type="duplicateValues" dxfId="6187" priority="13070"/>
    <cfRule type="duplicateValues" dxfId="6186" priority="13071"/>
    <cfRule type="duplicateValues" dxfId="6185" priority="13072"/>
    <cfRule type="duplicateValues" dxfId="6184" priority="13073"/>
    <cfRule type="duplicateValues" dxfId="6183" priority="13074"/>
    <cfRule type="duplicateValues" dxfId="6182" priority="13075"/>
    <cfRule type="duplicateValues" dxfId="6181" priority="13076"/>
    <cfRule type="duplicateValues" dxfId="6180" priority="13077"/>
    <cfRule type="duplicateValues" dxfId="6179" priority="13078"/>
    <cfRule type="duplicateValues" dxfId="6178" priority="13079"/>
    <cfRule type="duplicateValues" dxfId="6177" priority="13080"/>
    <cfRule type="duplicateValues" dxfId="6176" priority="13081"/>
    <cfRule type="duplicateValues" dxfId="6175" priority="13082"/>
    <cfRule type="duplicateValues" dxfId="6174" priority="13083"/>
    <cfRule type="duplicateValues" dxfId="6173" priority="13084"/>
    <cfRule type="duplicateValues" dxfId="6172" priority="13085"/>
    <cfRule type="duplicateValues" dxfId="6171" priority="13086"/>
    <cfRule type="duplicateValues" dxfId="6170" priority="13087"/>
    <cfRule type="duplicateValues" dxfId="6169" priority="13088"/>
    <cfRule type="duplicateValues" dxfId="6168" priority="13089"/>
    <cfRule type="duplicateValues" dxfId="6167" priority="13090"/>
    <cfRule type="duplicateValues" dxfId="6166" priority="13091"/>
    <cfRule type="duplicateValues" dxfId="6165" priority="13092"/>
    <cfRule type="duplicateValues" dxfId="6164" priority="13093"/>
    <cfRule type="duplicateValues" dxfId="6163" priority="13094"/>
    <cfRule type="duplicateValues" dxfId="6162" priority="13095"/>
    <cfRule type="duplicateValues" dxfId="6161" priority="13096"/>
    <cfRule type="duplicateValues" dxfId="6160" priority="13097"/>
    <cfRule type="duplicateValues" dxfId="6159" priority="13098"/>
    <cfRule type="duplicateValues" dxfId="6158" priority="13099"/>
    <cfRule type="duplicateValues" dxfId="6157" priority="13100"/>
    <cfRule type="duplicateValues" dxfId="6156" priority="13101"/>
    <cfRule type="duplicateValues" dxfId="6155" priority="13102"/>
    <cfRule type="duplicateValues" dxfId="6154" priority="13103"/>
    <cfRule type="duplicateValues" dxfId="6153" priority="13104"/>
    <cfRule type="duplicateValues" dxfId="6152" priority="13105"/>
    <cfRule type="duplicateValues" dxfId="6151" priority="13106"/>
    <cfRule type="duplicateValues" dxfId="6150" priority="13107"/>
    <cfRule type="duplicateValues" dxfId="6149" priority="13108"/>
    <cfRule type="duplicateValues" dxfId="6148" priority="13109"/>
    <cfRule type="duplicateValues" dxfId="6147" priority="13110"/>
    <cfRule type="duplicateValues" dxfId="6146" priority="13111"/>
    <cfRule type="duplicateValues" dxfId="6145" priority="13112"/>
    <cfRule type="duplicateValues" dxfId="6144" priority="13113"/>
    <cfRule type="duplicateValues" dxfId="6143" priority="13114"/>
    <cfRule type="duplicateValues" dxfId="6142" priority="13115"/>
    <cfRule type="duplicateValues" dxfId="6141" priority="13116"/>
    <cfRule type="duplicateValues" dxfId="6140" priority="13117"/>
    <cfRule type="duplicateValues" dxfId="6139" priority="13118"/>
    <cfRule type="duplicateValues" dxfId="6138" priority="13119"/>
    <cfRule type="duplicateValues" dxfId="6137" priority="13120"/>
    <cfRule type="duplicateValues" dxfId="6136" priority="13121"/>
    <cfRule type="duplicateValues" dxfId="6135" priority="13122"/>
    <cfRule type="duplicateValues" dxfId="6134" priority="13123"/>
    <cfRule type="duplicateValues" dxfId="6133" priority="13124"/>
    <cfRule type="duplicateValues" dxfId="6132" priority="13125"/>
    <cfRule type="duplicateValues" dxfId="6131" priority="13126"/>
    <cfRule type="duplicateValues" dxfId="6130" priority="13127"/>
    <cfRule type="duplicateValues" dxfId="6129" priority="13128"/>
    <cfRule type="duplicateValues" dxfId="6128" priority="13129"/>
    <cfRule type="duplicateValues" dxfId="6127" priority="13130"/>
    <cfRule type="duplicateValues" dxfId="6126" priority="13131"/>
    <cfRule type="duplicateValues" dxfId="6125" priority="13132"/>
    <cfRule type="duplicateValues" dxfId="6124" priority="13133"/>
    <cfRule type="duplicateValues" dxfId="6123" priority="13134"/>
    <cfRule type="duplicateValues" dxfId="6122" priority="13135"/>
    <cfRule type="duplicateValues" dxfId="6121" priority="13136"/>
    <cfRule type="duplicateValues" dxfId="6120" priority="13137"/>
    <cfRule type="duplicateValues" dxfId="6119" priority="13138"/>
    <cfRule type="duplicateValues" dxfId="6118" priority="13139"/>
    <cfRule type="duplicateValues" dxfId="6117" priority="13140"/>
    <cfRule type="duplicateValues" dxfId="6116" priority="13141"/>
    <cfRule type="duplicateValues" dxfId="6115" priority="13142"/>
    <cfRule type="duplicateValues" dxfId="6114" priority="13143"/>
    <cfRule type="duplicateValues" dxfId="6113" priority="13144"/>
    <cfRule type="duplicateValues" dxfId="6112" priority="13145"/>
    <cfRule type="duplicateValues" dxfId="6111" priority="13146"/>
    <cfRule type="duplicateValues" dxfId="6110" priority="13147"/>
    <cfRule type="duplicateValues" dxfId="6109" priority="13148"/>
    <cfRule type="duplicateValues" dxfId="6108" priority="13149"/>
    <cfRule type="duplicateValues" dxfId="6107" priority="13150"/>
    <cfRule type="duplicateValues" dxfId="6106" priority="13151"/>
    <cfRule type="duplicateValues" dxfId="6105" priority="13152"/>
    <cfRule type="duplicateValues" dxfId="6104" priority="13153"/>
    <cfRule type="duplicateValues" dxfId="6103" priority="13154"/>
    <cfRule type="duplicateValues" dxfId="6102" priority="13155"/>
    <cfRule type="duplicateValues" dxfId="6101" priority="13156"/>
    <cfRule type="duplicateValues" dxfId="6100" priority="13157"/>
    <cfRule type="duplicateValues" dxfId="6099" priority="13158"/>
    <cfRule type="duplicateValues" dxfId="6098" priority="13159"/>
    <cfRule type="duplicateValues" dxfId="6097" priority="13160"/>
    <cfRule type="duplicateValues" dxfId="6096" priority="13161"/>
    <cfRule type="duplicateValues" dxfId="6095" priority="13162"/>
    <cfRule type="duplicateValues" dxfId="6094" priority="13163"/>
    <cfRule type="duplicateValues" dxfId="6093" priority="13164"/>
    <cfRule type="duplicateValues" dxfId="6092" priority="13165"/>
    <cfRule type="duplicateValues" dxfId="6091" priority="13166"/>
    <cfRule type="duplicateValues" dxfId="6090" priority="13167"/>
    <cfRule type="duplicateValues" dxfId="6089" priority="13168"/>
    <cfRule type="duplicateValues" dxfId="6088" priority="13169"/>
    <cfRule type="duplicateValues" dxfId="6087" priority="13170"/>
    <cfRule type="duplicateValues" dxfId="6086" priority="13171"/>
    <cfRule type="duplicateValues" dxfId="6085" priority="13172"/>
    <cfRule type="duplicateValues" dxfId="6084" priority="13173"/>
    <cfRule type="duplicateValues" dxfId="6083" priority="13174"/>
    <cfRule type="duplicateValues" dxfId="6082" priority="13175"/>
    <cfRule type="duplicateValues" dxfId="6081" priority="13176"/>
    <cfRule type="duplicateValues" dxfId="6080" priority="13177"/>
    <cfRule type="duplicateValues" dxfId="6079" priority="13178"/>
    <cfRule type="duplicateValues" dxfId="6078" priority="13179"/>
    <cfRule type="duplicateValues" dxfId="6077" priority="13180"/>
    <cfRule type="duplicateValues" dxfId="6076" priority="13181"/>
    <cfRule type="duplicateValues" dxfId="6075" priority="13182"/>
    <cfRule type="duplicateValues" dxfId="6074" priority="13183"/>
    <cfRule type="duplicateValues" dxfId="6073" priority="13184"/>
    <cfRule type="duplicateValues" dxfId="6072" priority="13185"/>
    <cfRule type="duplicateValues" dxfId="6071" priority="13186"/>
    <cfRule type="duplicateValues" dxfId="6070" priority="13187"/>
    <cfRule type="duplicateValues" dxfId="6069" priority="13188"/>
    <cfRule type="duplicateValues" dxfId="6068" priority="13189"/>
    <cfRule type="duplicateValues" dxfId="6067" priority="13190"/>
    <cfRule type="duplicateValues" dxfId="6066" priority="13191"/>
    <cfRule type="duplicateValues" dxfId="6065" priority="13192"/>
    <cfRule type="duplicateValues" dxfId="6064" priority="13193"/>
    <cfRule type="duplicateValues" dxfId="6063" priority="13194"/>
    <cfRule type="duplicateValues" dxfId="6062" priority="13195"/>
    <cfRule type="duplicateValues" dxfId="6061" priority="13196"/>
    <cfRule type="duplicateValues" dxfId="6060" priority="13197"/>
    <cfRule type="duplicateValues" dxfId="6059" priority="13198"/>
    <cfRule type="duplicateValues" dxfId="6058" priority="13199"/>
    <cfRule type="duplicateValues" dxfId="6057" priority="13200"/>
    <cfRule type="duplicateValues" dxfId="6056" priority="13201"/>
    <cfRule type="duplicateValues" dxfId="6055" priority="13202"/>
    <cfRule type="duplicateValues" dxfId="6054" priority="13203"/>
    <cfRule type="duplicateValues" dxfId="6053" priority="13204"/>
    <cfRule type="duplicateValues" dxfId="6052" priority="13205"/>
    <cfRule type="duplicateValues" dxfId="6051" priority="13206"/>
    <cfRule type="duplicateValues" dxfId="6050" priority="13207"/>
    <cfRule type="duplicateValues" dxfId="6049" priority="13208"/>
    <cfRule type="duplicateValues" dxfId="6048" priority="13209"/>
    <cfRule type="duplicateValues" dxfId="6047" priority="13210"/>
    <cfRule type="duplicateValues" dxfId="6046" priority="13211"/>
    <cfRule type="duplicateValues" dxfId="6045" priority="13212"/>
    <cfRule type="duplicateValues" dxfId="6044" priority="13213"/>
    <cfRule type="duplicateValues" dxfId="6043" priority="13214"/>
    <cfRule type="duplicateValues" dxfId="6042" priority="13215"/>
    <cfRule type="duplicateValues" dxfId="6041" priority="13216"/>
    <cfRule type="duplicateValues" dxfId="6040" priority="13217"/>
    <cfRule type="duplicateValues" dxfId="6039" priority="13218"/>
    <cfRule type="duplicateValues" dxfId="6038" priority="13219"/>
    <cfRule type="duplicateValues" dxfId="6037" priority="13220"/>
    <cfRule type="duplicateValues" dxfId="6036" priority="13221"/>
    <cfRule type="duplicateValues" dxfId="6035" priority="13222"/>
    <cfRule type="duplicateValues" dxfId="6034" priority="13223"/>
    <cfRule type="duplicateValues" dxfId="6033" priority="13224"/>
    <cfRule type="duplicateValues" dxfId="6032" priority="13225"/>
    <cfRule type="duplicateValues" dxfId="6031" priority="13226"/>
    <cfRule type="duplicateValues" dxfId="6030" priority="13227"/>
    <cfRule type="duplicateValues" dxfId="6029" priority="13228"/>
    <cfRule type="duplicateValues" dxfId="6028" priority="13229"/>
    <cfRule type="duplicateValues" dxfId="6027" priority="13230"/>
    <cfRule type="duplicateValues" dxfId="6026" priority="13231"/>
    <cfRule type="duplicateValues" dxfId="6025" priority="13232"/>
    <cfRule type="duplicateValues" dxfId="6024" priority="13233"/>
    <cfRule type="duplicateValues" dxfId="6023" priority="13234"/>
    <cfRule type="duplicateValues" dxfId="6022" priority="13235"/>
    <cfRule type="duplicateValues" dxfId="6021" priority="13236"/>
    <cfRule type="duplicateValues" dxfId="6020" priority="13237"/>
    <cfRule type="duplicateValues" dxfId="6019" priority="13238"/>
    <cfRule type="duplicateValues" dxfId="6018" priority="13239"/>
    <cfRule type="duplicateValues" dxfId="6017" priority="13240"/>
    <cfRule type="duplicateValues" dxfId="6016" priority="13241"/>
    <cfRule type="duplicateValues" dxfId="6015" priority="13242"/>
    <cfRule type="duplicateValues" dxfId="6014" priority="13243"/>
    <cfRule type="duplicateValues" dxfId="6013" priority="13244"/>
    <cfRule type="duplicateValues" dxfId="6012" priority="13245"/>
    <cfRule type="duplicateValues" dxfId="6011" priority="13246"/>
    <cfRule type="duplicateValues" dxfId="6010" priority="13247"/>
    <cfRule type="duplicateValues" dxfId="6009" priority="13248"/>
    <cfRule type="duplicateValues" dxfId="6008" priority="13249"/>
    <cfRule type="duplicateValues" dxfId="6007" priority="13250"/>
    <cfRule type="duplicateValues" dxfId="6006" priority="13251"/>
    <cfRule type="duplicateValues" dxfId="6005" priority="13252"/>
    <cfRule type="duplicateValues" dxfId="6004" priority="13253"/>
    <cfRule type="duplicateValues" dxfId="6003" priority="13254"/>
    <cfRule type="duplicateValues" dxfId="6002" priority="13255"/>
    <cfRule type="duplicateValues" dxfId="6001" priority="13256"/>
    <cfRule type="duplicateValues" dxfId="6000" priority="13257"/>
    <cfRule type="duplicateValues" dxfId="5999" priority="13258"/>
    <cfRule type="duplicateValues" dxfId="5998" priority="13259"/>
    <cfRule type="duplicateValues" dxfId="5997" priority="13260"/>
    <cfRule type="duplicateValues" dxfId="5996" priority="13261"/>
    <cfRule type="duplicateValues" dxfId="5995" priority="13262"/>
    <cfRule type="duplicateValues" dxfId="5994" priority="13263"/>
    <cfRule type="duplicateValues" dxfId="5993" priority="13264"/>
    <cfRule type="duplicateValues" dxfId="5992" priority="13265"/>
    <cfRule type="duplicateValues" dxfId="5991" priority="13266"/>
    <cfRule type="duplicateValues" dxfId="5990" priority="13267"/>
    <cfRule type="duplicateValues" dxfId="5989" priority="13268"/>
    <cfRule type="duplicateValues" dxfId="5988" priority="13269"/>
    <cfRule type="duplicateValues" dxfId="5987" priority="13270"/>
    <cfRule type="duplicateValues" dxfId="5986" priority="13271"/>
    <cfRule type="duplicateValues" dxfId="5985" priority="13272"/>
    <cfRule type="duplicateValues" dxfId="5984" priority="13273"/>
    <cfRule type="duplicateValues" dxfId="5983" priority="13274"/>
    <cfRule type="duplicateValues" dxfId="5982" priority="13275"/>
    <cfRule type="duplicateValues" dxfId="5981" priority="13276"/>
    <cfRule type="duplicateValues" dxfId="5980" priority="13277"/>
    <cfRule type="duplicateValues" dxfId="5979" priority="13278"/>
    <cfRule type="duplicateValues" dxfId="5978" priority="13279"/>
    <cfRule type="duplicateValues" dxfId="5977" priority="13280"/>
    <cfRule type="duplicateValues" dxfId="5976" priority="13281"/>
    <cfRule type="duplicateValues" dxfId="5975" priority="13282"/>
    <cfRule type="duplicateValues" dxfId="5974" priority="13283"/>
    <cfRule type="duplicateValues" dxfId="5973" priority="13284"/>
    <cfRule type="duplicateValues" dxfId="5972" priority="13285"/>
    <cfRule type="duplicateValues" dxfId="5971" priority="13286"/>
  </conditionalFormatting>
  <conditionalFormatting sqref="C282:C285">
    <cfRule type="duplicateValues" dxfId="5970" priority="3343"/>
    <cfRule type="duplicateValues" dxfId="5969" priority="3344"/>
    <cfRule type="duplicateValues" dxfId="5968" priority="3345"/>
    <cfRule type="duplicateValues" dxfId="5967" priority="3346"/>
    <cfRule type="duplicateValues" dxfId="5966" priority="3347"/>
    <cfRule type="duplicateValues" dxfId="5965" priority="3348"/>
    <cfRule type="duplicateValues" dxfId="5964" priority="3349"/>
    <cfRule type="duplicateValues" dxfId="5963" priority="3350"/>
    <cfRule type="duplicateValues" dxfId="5962" priority="3351"/>
    <cfRule type="duplicateValues" dxfId="5961" priority="3352"/>
    <cfRule type="duplicateValues" dxfId="5960" priority="3353"/>
    <cfRule type="duplicateValues" dxfId="5959" priority="3354"/>
    <cfRule type="duplicateValues" dxfId="5958" priority="3355"/>
    <cfRule type="duplicateValues" dxfId="5957" priority="3356"/>
    <cfRule type="duplicateValues" dxfId="5956" priority="3357"/>
    <cfRule type="duplicateValues" dxfId="5955" priority="3358"/>
    <cfRule type="duplicateValues" dxfId="5954" priority="3359"/>
    <cfRule type="duplicateValues" dxfId="5953" priority="3360"/>
    <cfRule type="duplicateValues" dxfId="5952" priority="3361"/>
    <cfRule type="duplicateValues" dxfId="5951" priority="3362"/>
    <cfRule type="duplicateValues" dxfId="5950" priority="3363"/>
    <cfRule type="duplicateValues" dxfId="5949" priority="3364"/>
    <cfRule type="duplicateValues" dxfId="5948" priority="3365"/>
    <cfRule type="duplicateValues" dxfId="5947" priority="3366"/>
    <cfRule type="duplicateValues" dxfId="5946" priority="3367"/>
    <cfRule type="duplicateValues" dxfId="5945" priority="3368"/>
    <cfRule type="duplicateValues" dxfId="5944" priority="3369"/>
    <cfRule type="duplicateValues" dxfId="5943" priority="3370"/>
    <cfRule type="duplicateValues" dxfId="5942" priority="3371"/>
    <cfRule type="duplicateValues" dxfId="5941" priority="3372"/>
    <cfRule type="duplicateValues" dxfId="5940" priority="3373"/>
    <cfRule type="duplicateValues" dxfId="5939" priority="3374"/>
    <cfRule type="duplicateValues" dxfId="5938" priority="3375"/>
    <cfRule type="duplicateValues" dxfId="5937" priority="3376"/>
    <cfRule type="duplicateValues" dxfId="5936" priority="3377"/>
    <cfRule type="duplicateValues" dxfId="5935" priority="3378"/>
    <cfRule type="duplicateValues" dxfId="5934" priority="3379"/>
    <cfRule type="duplicateValues" dxfId="5933" priority="3380"/>
    <cfRule type="duplicateValues" dxfId="5932" priority="3381"/>
    <cfRule type="duplicateValues" dxfId="5931" priority="3382"/>
    <cfRule type="duplicateValues" dxfId="5930" priority="3383"/>
    <cfRule type="duplicateValues" dxfId="5929" priority="3384"/>
    <cfRule type="duplicateValues" dxfId="5928" priority="3385"/>
    <cfRule type="duplicateValues" dxfId="5927" priority="3386"/>
    <cfRule type="duplicateValues" dxfId="5926" priority="3387"/>
    <cfRule type="duplicateValues" dxfId="5925" priority="3388"/>
    <cfRule type="duplicateValues" dxfId="5924" priority="3389"/>
    <cfRule type="duplicateValues" dxfId="5923" priority="3390"/>
    <cfRule type="duplicateValues" dxfId="5922" priority="3391"/>
    <cfRule type="duplicateValues" dxfId="5921" priority="3392"/>
    <cfRule type="duplicateValues" dxfId="5920" priority="3393"/>
    <cfRule type="duplicateValues" dxfId="5919" priority="3394"/>
    <cfRule type="duplicateValues" dxfId="5918" priority="3395"/>
    <cfRule type="duplicateValues" dxfId="5917" priority="3396"/>
    <cfRule type="duplicateValues" dxfId="5916" priority="3397"/>
    <cfRule type="duplicateValues" dxfId="5915" priority="3398"/>
    <cfRule type="duplicateValues" dxfId="5914" priority="3399"/>
    <cfRule type="duplicateValues" dxfId="5913" priority="3400"/>
    <cfRule type="duplicateValues" dxfId="5912" priority="3401"/>
    <cfRule type="duplicateValues" dxfId="5911" priority="3402"/>
    <cfRule type="duplicateValues" dxfId="5910" priority="3403"/>
    <cfRule type="duplicateValues" dxfId="5909" priority="3404"/>
    <cfRule type="duplicateValues" dxfId="5908" priority="3405"/>
    <cfRule type="duplicateValues" dxfId="5907" priority="3406"/>
    <cfRule type="duplicateValues" dxfId="5906" priority="3407"/>
    <cfRule type="duplicateValues" dxfId="5905" priority="3408"/>
    <cfRule type="duplicateValues" dxfId="5904" priority="3409"/>
    <cfRule type="duplicateValues" dxfId="5903" priority="3410"/>
    <cfRule type="duplicateValues" dxfId="5902" priority="3411"/>
    <cfRule type="duplicateValues" dxfId="5901" priority="3412"/>
    <cfRule type="duplicateValues" dxfId="5900" priority="3413"/>
    <cfRule type="duplicateValues" dxfId="5899" priority="3414"/>
    <cfRule type="duplicateValues" dxfId="5898" priority="3415"/>
    <cfRule type="duplicateValues" dxfId="5897" priority="3416"/>
    <cfRule type="duplicateValues" dxfId="5896" priority="3417"/>
    <cfRule type="duplicateValues" dxfId="5895" priority="3418"/>
    <cfRule type="duplicateValues" dxfId="5894" priority="3419"/>
    <cfRule type="duplicateValues" dxfId="5893" priority="3420"/>
    <cfRule type="duplicateValues" dxfId="5892" priority="3421"/>
    <cfRule type="duplicateValues" dxfId="5891" priority="3422"/>
    <cfRule type="duplicateValues" dxfId="5890" priority="3423"/>
    <cfRule type="duplicateValues" dxfId="5889" priority="3424"/>
    <cfRule type="duplicateValues" dxfId="5888" priority="3425"/>
    <cfRule type="duplicateValues" dxfId="5887" priority="3426"/>
    <cfRule type="duplicateValues" dxfId="5886" priority="3427"/>
    <cfRule type="duplicateValues" dxfId="5885" priority="3428"/>
    <cfRule type="duplicateValues" dxfId="5884" priority="3429"/>
    <cfRule type="duplicateValues" dxfId="5883" priority="3430"/>
    <cfRule type="duplicateValues" dxfId="5882" priority="3431"/>
    <cfRule type="duplicateValues" dxfId="5881" priority="3432"/>
    <cfRule type="duplicateValues" dxfId="5880" priority="3433"/>
    <cfRule type="duplicateValues" dxfId="5879" priority="3434"/>
    <cfRule type="duplicateValues" dxfId="5878" priority="3435"/>
    <cfRule type="duplicateValues" dxfId="5877" priority="3436"/>
    <cfRule type="duplicateValues" dxfId="5876" priority="3437"/>
    <cfRule type="duplicateValues" dxfId="5875" priority="3438"/>
    <cfRule type="duplicateValues" dxfId="5874" priority="3439"/>
    <cfRule type="duplicateValues" dxfId="5873" priority="3440"/>
    <cfRule type="duplicateValues" dxfId="5872" priority="3441"/>
    <cfRule type="duplicateValues" dxfId="5871" priority="3442"/>
    <cfRule type="duplicateValues" dxfId="5870" priority="3443"/>
    <cfRule type="duplicateValues" dxfId="5869" priority="3444"/>
    <cfRule type="duplicateValues" dxfId="5868" priority="3445"/>
    <cfRule type="duplicateValues" dxfId="5867" priority="3446"/>
    <cfRule type="duplicateValues" dxfId="5866" priority="3447"/>
    <cfRule type="duplicateValues" dxfId="5865" priority="3448"/>
    <cfRule type="duplicateValues" dxfId="5864" priority="3449"/>
    <cfRule type="duplicateValues" dxfId="5863" priority="3450"/>
    <cfRule type="duplicateValues" dxfId="5862" priority="3451"/>
    <cfRule type="duplicateValues" dxfId="5861" priority="3452"/>
    <cfRule type="duplicateValues" dxfId="5860" priority="3453"/>
    <cfRule type="duplicateValues" dxfId="5859" priority="3454"/>
    <cfRule type="duplicateValues" dxfId="5858" priority="3455"/>
    <cfRule type="duplicateValues" dxfId="5857" priority="3456"/>
    <cfRule type="duplicateValues" dxfId="5856" priority="3457"/>
    <cfRule type="duplicateValues" dxfId="5855" priority="3458"/>
    <cfRule type="duplicateValues" dxfId="5854" priority="3459"/>
    <cfRule type="duplicateValues" dxfId="5853" priority="3460"/>
    <cfRule type="duplicateValues" dxfId="5852" priority="3461"/>
    <cfRule type="duplicateValues" dxfId="5851" priority="3462"/>
    <cfRule type="duplicateValues" dxfId="5850" priority="3463"/>
    <cfRule type="duplicateValues" dxfId="5849" priority="3464"/>
    <cfRule type="duplicateValues" dxfId="5848" priority="3465"/>
    <cfRule type="duplicateValues" dxfId="5847" priority="3466"/>
    <cfRule type="duplicateValues" dxfId="5846" priority="3467"/>
    <cfRule type="duplicateValues" dxfId="5845" priority="3468"/>
    <cfRule type="duplicateValues" dxfId="5844" priority="3469"/>
    <cfRule type="duplicateValues" dxfId="5843" priority="3470"/>
    <cfRule type="duplicateValues" dxfId="5842" priority="3471"/>
    <cfRule type="duplicateValues" dxfId="5841" priority="3472"/>
    <cfRule type="duplicateValues" dxfId="5840" priority="3473"/>
    <cfRule type="duplicateValues" dxfId="5839" priority="3474"/>
    <cfRule type="duplicateValues" dxfId="5838" priority="3475"/>
    <cfRule type="duplicateValues" dxfId="5837" priority="3476"/>
    <cfRule type="duplicateValues" dxfId="5836" priority="3477"/>
    <cfRule type="duplicateValues" dxfId="5835" priority="3478"/>
    <cfRule type="duplicateValues" dxfId="5834" priority="3479"/>
    <cfRule type="duplicateValues" dxfId="5833" priority="3480"/>
    <cfRule type="duplicateValues" dxfId="5832" priority="3481"/>
    <cfRule type="duplicateValues" dxfId="5831" priority="3482"/>
    <cfRule type="duplicateValues" dxfId="5830" priority="3483"/>
    <cfRule type="duplicateValues" dxfId="5829" priority="3484"/>
    <cfRule type="duplicateValues" dxfId="5828" priority="3485"/>
    <cfRule type="duplicateValues" dxfId="5827" priority="3486"/>
    <cfRule type="duplicateValues" dxfId="5826" priority="3487"/>
    <cfRule type="duplicateValues" dxfId="5825" priority="3488"/>
    <cfRule type="duplicateValues" dxfId="5824" priority="3489"/>
    <cfRule type="duplicateValues" dxfId="5823" priority="3490"/>
    <cfRule type="duplicateValues" dxfId="5822" priority="3491"/>
    <cfRule type="duplicateValues" dxfId="5821" priority="3492"/>
    <cfRule type="duplicateValues" dxfId="5820" priority="3493"/>
    <cfRule type="duplicateValues" dxfId="5819" priority="3494"/>
    <cfRule type="duplicateValues" dxfId="5818" priority="3495"/>
    <cfRule type="duplicateValues" dxfId="5817" priority="3496"/>
    <cfRule type="duplicateValues" dxfId="5816" priority="3497"/>
    <cfRule type="duplicateValues" dxfId="5815" priority="3498"/>
    <cfRule type="duplicateValues" dxfId="5814" priority="3499"/>
    <cfRule type="duplicateValues" dxfId="5813" priority="3500"/>
    <cfRule type="duplicateValues" dxfId="5812" priority="3501"/>
    <cfRule type="duplicateValues" dxfId="5811" priority="3502"/>
    <cfRule type="duplicateValues" dxfId="5810" priority="3503"/>
    <cfRule type="duplicateValues" dxfId="5809" priority="3504"/>
    <cfRule type="duplicateValues" dxfId="5808" priority="3505"/>
    <cfRule type="duplicateValues" dxfId="5807" priority="3506"/>
    <cfRule type="duplicateValues" dxfId="5806" priority="3507"/>
    <cfRule type="duplicateValues" dxfId="5805" priority="3508"/>
    <cfRule type="duplicateValues" dxfId="5804" priority="3509"/>
    <cfRule type="duplicateValues" dxfId="5803" priority="3510"/>
    <cfRule type="duplicateValues" dxfId="5802" priority="3511"/>
    <cfRule type="duplicateValues" dxfId="5801" priority="3512"/>
    <cfRule type="duplicateValues" dxfId="5800" priority="3513"/>
    <cfRule type="duplicateValues" dxfId="5799" priority="3514"/>
    <cfRule type="duplicateValues" dxfId="5798" priority="3515"/>
    <cfRule type="duplicateValues" dxfId="5797" priority="3516"/>
    <cfRule type="duplicateValues" dxfId="5796" priority="3517"/>
    <cfRule type="duplicateValues" dxfId="5795" priority="3518"/>
    <cfRule type="duplicateValues" dxfId="5794" priority="3519"/>
    <cfRule type="duplicateValues" dxfId="5793" priority="3520"/>
    <cfRule type="duplicateValues" dxfId="5792" priority="3521"/>
    <cfRule type="duplicateValues" dxfId="5791" priority="3522"/>
    <cfRule type="duplicateValues" dxfId="5790" priority="3523"/>
    <cfRule type="duplicateValues" dxfId="5789" priority="3524"/>
    <cfRule type="duplicateValues" dxfId="5788" priority="3525"/>
    <cfRule type="duplicateValues" dxfId="5787" priority="3526"/>
    <cfRule type="duplicateValues" dxfId="5786" priority="3527"/>
    <cfRule type="duplicateValues" dxfId="5785" priority="3528"/>
    <cfRule type="duplicateValues" dxfId="5784" priority="3529"/>
    <cfRule type="duplicateValues" dxfId="5783" priority="3530"/>
    <cfRule type="duplicateValues" dxfId="5782" priority="3531"/>
    <cfRule type="duplicateValues" dxfId="5781" priority="3532"/>
    <cfRule type="duplicateValues" dxfId="5780" priority="3533"/>
    <cfRule type="duplicateValues" dxfId="5779" priority="3534"/>
    <cfRule type="duplicateValues" dxfId="5778" priority="3535"/>
    <cfRule type="duplicateValues" dxfId="5777" priority="3536"/>
    <cfRule type="duplicateValues" dxfId="5776" priority="3537"/>
    <cfRule type="duplicateValues" dxfId="5775" priority="3538"/>
    <cfRule type="duplicateValues" dxfId="5774" priority="3539"/>
    <cfRule type="duplicateValues" dxfId="5773" priority="3540"/>
    <cfRule type="duplicateValues" dxfId="5772" priority="3541"/>
    <cfRule type="duplicateValues" dxfId="5771" priority="3542"/>
    <cfRule type="duplicateValues" dxfId="5770" priority="3543"/>
    <cfRule type="duplicateValues" dxfId="5769" priority="3544"/>
    <cfRule type="duplicateValues" dxfId="5768" priority="3545"/>
    <cfRule type="duplicateValues" dxfId="5767" priority="3546"/>
    <cfRule type="duplicateValues" dxfId="5766" priority="3547"/>
    <cfRule type="duplicateValues" dxfId="5765" priority="3548"/>
    <cfRule type="duplicateValues" dxfId="5764" priority="3549"/>
    <cfRule type="duplicateValues" dxfId="5763" priority="3550"/>
    <cfRule type="duplicateValues" dxfId="5762" priority="3551"/>
    <cfRule type="duplicateValues" dxfId="5761" priority="3552"/>
    <cfRule type="duplicateValues" dxfId="5760" priority="3553"/>
    <cfRule type="duplicateValues" dxfId="5759" priority="3554"/>
    <cfRule type="duplicateValues" dxfId="5758" priority="3555"/>
    <cfRule type="duplicateValues" dxfId="5757" priority="3556"/>
    <cfRule type="duplicateValues" dxfId="5756" priority="3557"/>
    <cfRule type="duplicateValues" dxfId="5755" priority="3558"/>
    <cfRule type="duplicateValues" dxfId="5754" priority="3559"/>
    <cfRule type="duplicateValues" dxfId="5753" priority="3560"/>
    <cfRule type="duplicateValues" dxfId="5752" priority="3561"/>
    <cfRule type="duplicateValues" dxfId="5751" priority="3562"/>
    <cfRule type="duplicateValues" dxfId="5750" priority="3563"/>
    <cfRule type="duplicateValues" dxfId="5749" priority="3564"/>
    <cfRule type="duplicateValues" dxfId="5748" priority="3565"/>
    <cfRule type="duplicateValues" dxfId="5747" priority="3566"/>
    <cfRule type="duplicateValues" dxfId="5746" priority="3567"/>
    <cfRule type="duplicateValues" dxfId="5745" priority="3568"/>
    <cfRule type="duplicateValues" dxfId="5744" priority="3569"/>
    <cfRule type="duplicateValues" dxfId="5743" priority="3570"/>
    <cfRule type="duplicateValues" dxfId="5742" priority="3571"/>
    <cfRule type="duplicateValues" dxfId="5741" priority="3572"/>
    <cfRule type="duplicateValues" dxfId="5740" priority="3573"/>
    <cfRule type="duplicateValues" dxfId="5739" priority="3574"/>
    <cfRule type="duplicateValues" dxfId="5738" priority="3575"/>
    <cfRule type="duplicateValues" dxfId="5737" priority="3576"/>
    <cfRule type="duplicateValues" dxfId="5736" priority="3577"/>
    <cfRule type="duplicateValues" dxfId="5735" priority="3578"/>
    <cfRule type="duplicateValues" dxfId="5734" priority="3579"/>
    <cfRule type="duplicateValues" dxfId="5733" priority="3580"/>
    <cfRule type="duplicateValues" dxfId="5732" priority="3581"/>
    <cfRule type="duplicateValues" dxfId="5731" priority="3582"/>
    <cfRule type="duplicateValues" dxfId="5730" priority="3583"/>
    <cfRule type="duplicateValues" dxfId="5729" priority="3584"/>
    <cfRule type="duplicateValues" dxfId="5728" priority="3585"/>
    <cfRule type="duplicateValues" dxfId="5727" priority="3586"/>
    <cfRule type="duplicateValues" dxfId="5726" priority="3587"/>
    <cfRule type="duplicateValues" dxfId="5725" priority="3588"/>
    <cfRule type="duplicateValues" dxfId="5724" priority="3589"/>
    <cfRule type="duplicateValues" dxfId="5723" priority="3590"/>
    <cfRule type="duplicateValues" dxfId="5722" priority="3591"/>
    <cfRule type="duplicateValues" dxfId="5721" priority="3592"/>
    <cfRule type="duplicateValues" dxfId="5720" priority="3593"/>
    <cfRule type="duplicateValues" dxfId="5719" priority="3594"/>
    <cfRule type="duplicateValues" dxfId="5718" priority="3595"/>
    <cfRule type="duplicateValues" dxfId="5717" priority="3596"/>
    <cfRule type="duplicateValues" dxfId="5716" priority="3597"/>
    <cfRule type="duplicateValues" dxfId="5715" priority="3598"/>
    <cfRule type="duplicateValues" dxfId="5714" priority="3599"/>
    <cfRule type="duplicateValues" dxfId="5713" priority="3600"/>
    <cfRule type="duplicateValues" dxfId="5712" priority="3601"/>
    <cfRule type="duplicateValues" dxfId="5711" priority="3602"/>
    <cfRule type="duplicateValues" dxfId="5710" priority="3603"/>
    <cfRule type="duplicateValues" dxfId="5709" priority="3604"/>
    <cfRule type="duplicateValues" dxfId="5708" priority="3605"/>
    <cfRule type="duplicateValues" dxfId="5707" priority="3606"/>
    <cfRule type="duplicateValues" dxfId="5706" priority="3607"/>
    <cfRule type="duplicateValues" dxfId="5705" priority="3608"/>
    <cfRule type="duplicateValues" dxfId="5704" priority="3609"/>
    <cfRule type="duplicateValues" dxfId="5703" priority="3610"/>
    <cfRule type="duplicateValues" dxfId="5702" priority="3611"/>
    <cfRule type="duplicateValues" dxfId="5701" priority="3612"/>
    <cfRule type="duplicateValues" dxfId="5700" priority="3613"/>
    <cfRule type="duplicateValues" dxfId="5699" priority="3614"/>
    <cfRule type="duplicateValues" dxfId="5698" priority="3615"/>
    <cfRule type="duplicateValues" dxfId="5697" priority="3616"/>
    <cfRule type="duplicateValues" dxfId="5696" priority="3617"/>
    <cfRule type="duplicateValues" dxfId="5695" priority="3618"/>
    <cfRule type="duplicateValues" dxfId="5694" priority="3619"/>
    <cfRule type="duplicateValues" dxfId="5693" priority="3620"/>
    <cfRule type="duplicateValues" dxfId="5692" priority="3621"/>
    <cfRule type="duplicateValues" dxfId="5691" priority="3622"/>
    <cfRule type="duplicateValues" dxfId="5690" priority="3623"/>
    <cfRule type="duplicateValues" dxfId="5689" priority="3624"/>
    <cfRule type="duplicateValues" dxfId="5688" priority="3625"/>
    <cfRule type="duplicateValues" dxfId="5687" priority="3626"/>
    <cfRule type="duplicateValues" dxfId="5686" priority="3627"/>
    <cfRule type="duplicateValues" dxfId="5685" priority="3628"/>
    <cfRule type="duplicateValues" dxfId="5684" priority="3629"/>
    <cfRule type="duplicateValues" dxfId="5683" priority="3630"/>
    <cfRule type="duplicateValues" dxfId="5682" priority="3631"/>
    <cfRule type="duplicateValues" dxfId="5681" priority="3632"/>
    <cfRule type="duplicateValues" dxfId="5680" priority="3633"/>
    <cfRule type="duplicateValues" dxfId="5679" priority="3634"/>
    <cfRule type="duplicateValues" dxfId="5678" priority="3635"/>
    <cfRule type="duplicateValues" dxfId="5677" priority="3636"/>
    <cfRule type="duplicateValues" dxfId="5676" priority="3637"/>
    <cfRule type="duplicateValues" dxfId="5675" priority="3638"/>
    <cfRule type="duplicateValues" dxfId="5674" priority="3639"/>
    <cfRule type="duplicateValues" dxfId="5673" priority="3640"/>
    <cfRule type="duplicateValues" dxfId="5672" priority="3641"/>
    <cfRule type="duplicateValues" dxfId="5671" priority="3642"/>
    <cfRule type="duplicateValues" dxfId="5670" priority="3643"/>
    <cfRule type="duplicateValues" dxfId="5669" priority="3644"/>
    <cfRule type="duplicateValues" dxfId="5668" priority="3645"/>
    <cfRule type="duplicateValues" dxfId="5667" priority="3646"/>
    <cfRule type="duplicateValues" dxfId="5666" priority="3647"/>
    <cfRule type="duplicateValues" dxfId="5665" priority="3648"/>
    <cfRule type="duplicateValues" dxfId="5664" priority="3649"/>
    <cfRule type="duplicateValues" dxfId="5663" priority="3650"/>
    <cfRule type="duplicateValues" dxfId="5662" priority="3651"/>
    <cfRule type="duplicateValues" dxfId="5661" priority="3652"/>
    <cfRule type="duplicateValues" dxfId="5660" priority="3653"/>
    <cfRule type="duplicateValues" dxfId="5659" priority="3654"/>
    <cfRule type="duplicateValues" dxfId="5658" priority="3655"/>
    <cfRule type="duplicateValues" dxfId="5657" priority="3656"/>
    <cfRule type="duplicateValues" dxfId="5656" priority="3657"/>
    <cfRule type="duplicateValues" dxfId="5655" priority="3658"/>
    <cfRule type="duplicateValues" dxfId="5654" priority="3659"/>
    <cfRule type="duplicateValues" dxfId="5653" priority="3660"/>
    <cfRule type="duplicateValues" dxfId="5652" priority="3661"/>
    <cfRule type="duplicateValues" dxfId="5651" priority="3662"/>
    <cfRule type="duplicateValues" dxfId="5650" priority="3663"/>
    <cfRule type="duplicateValues" dxfId="5649" priority="3664"/>
    <cfRule type="duplicateValues" dxfId="5648" priority="3665"/>
    <cfRule type="duplicateValues" dxfId="5647" priority="3666"/>
    <cfRule type="duplicateValues" dxfId="5646" priority="3667"/>
    <cfRule type="duplicateValues" dxfId="5645" priority="3668"/>
    <cfRule type="duplicateValues" dxfId="5644" priority="3669"/>
    <cfRule type="duplicateValues" dxfId="5643" priority="3670"/>
    <cfRule type="duplicateValues" dxfId="5642" priority="3671"/>
    <cfRule type="duplicateValues" dxfId="5641" priority="3672"/>
    <cfRule type="duplicateValues" dxfId="5640" priority="3673"/>
    <cfRule type="duplicateValues" dxfId="5639" priority="3674"/>
    <cfRule type="duplicateValues" dxfId="5638" priority="3675"/>
    <cfRule type="duplicateValues" dxfId="5637" priority="3676"/>
    <cfRule type="duplicateValues" dxfId="5636" priority="3677"/>
    <cfRule type="duplicateValues" dxfId="5635" priority="3678"/>
    <cfRule type="duplicateValues" dxfId="5634" priority="3679"/>
    <cfRule type="duplicateValues" dxfId="5633" priority="3680"/>
    <cfRule type="duplicateValues" dxfId="5632" priority="3681"/>
    <cfRule type="duplicateValues" dxfId="5631" priority="3682"/>
    <cfRule type="duplicateValues" dxfId="5630" priority="3683"/>
    <cfRule type="duplicateValues" dxfId="5629" priority="3684"/>
    <cfRule type="duplicateValues" dxfId="5628" priority="3685"/>
    <cfRule type="duplicateValues" dxfId="5627" priority="3686"/>
    <cfRule type="duplicateValues" dxfId="5626" priority="3687"/>
  </conditionalFormatting>
  <conditionalFormatting sqref="C286">
    <cfRule type="duplicateValues" dxfId="5625" priority="12597"/>
    <cfRule type="duplicateValues" dxfId="5624" priority="12598"/>
    <cfRule type="duplicateValues" dxfId="5623" priority="12599"/>
    <cfRule type="duplicateValues" dxfId="5622" priority="12600"/>
    <cfRule type="duplicateValues" dxfId="5621" priority="12601"/>
    <cfRule type="duplicateValues" dxfId="5620" priority="12602"/>
    <cfRule type="duplicateValues" dxfId="5619" priority="12603"/>
    <cfRule type="duplicateValues" dxfId="5618" priority="12604"/>
    <cfRule type="duplicateValues" dxfId="5617" priority="12605"/>
    <cfRule type="duplicateValues" dxfId="5616" priority="12606"/>
    <cfRule type="duplicateValues" dxfId="5615" priority="12607"/>
    <cfRule type="duplicateValues" dxfId="5614" priority="12608"/>
    <cfRule type="duplicateValues" dxfId="5613" priority="12609"/>
    <cfRule type="duplicateValues" dxfId="5612" priority="12610"/>
    <cfRule type="duplicateValues" dxfId="5611" priority="12611"/>
    <cfRule type="duplicateValues" dxfId="5610" priority="12612"/>
    <cfRule type="duplicateValues" dxfId="5609" priority="12613"/>
    <cfRule type="duplicateValues" dxfId="5608" priority="12614"/>
    <cfRule type="duplicateValues" dxfId="5607" priority="12615"/>
    <cfRule type="duplicateValues" dxfId="5606" priority="12616"/>
    <cfRule type="duplicateValues" dxfId="5605" priority="12617"/>
    <cfRule type="duplicateValues" dxfId="5604" priority="12618"/>
    <cfRule type="duplicateValues" dxfId="5603" priority="12619"/>
    <cfRule type="duplicateValues" dxfId="5602" priority="12620"/>
    <cfRule type="duplicateValues" dxfId="5601" priority="12621"/>
    <cfRule type="duplicateValues" dxfId="5600" priority="12622"/>
    <cfRule type="duplicateValues" dxfId="5599" priority="12623"/>
    <cfRule type="duplicateValues" dxfId="5598" priority="12624"/>
    <cfRule type="duplicateValues" dxfId="5597" priority="12625"/>
    <cfRule type="duplicateValues" dxfId="5596" priority="12626"/>
    <cfRule type="duplicateValues" dxfId="5595" priority="12627"/>
    <cfRule type="duplicateValues" dxfId="5594" priority="12628"/>
    <cfRule type="duplicateValues" dxfId="5593" priority="12629"/>
    <cfRule type="duplicateValues" dxfId="5592" priority="12630"/>
    <cfRule type="duplicateValues" dxfId="5591" priority="12631"/>
    <cfRule type="duplicateValues" dxfId="5590" priority="12632"/>
    <cfRule type="duplicateValues" dxfId="5589" priority="12633"/>
    <cfRule type="duplicateValues" dxfId="5588" priority="12634"/>
    <cfRule type="duplicateValues" dxfId="5587" priority="12635"/>
    <cfRule type="duplicateValues" dxfId="5586" priority="12636"/>
    <cfRule type="duplicateValues" dxfId="5585" priority="12637"/>
    <cfRule type="duplicateValues" dxfId="5584" priority="12638"/>
    <cfRule type="duplicateValues" dxfId="5583" priority="12639"/>
    <cfRule type="duplicateValues" dxfId="5582" priority="12640"/>
    <cfRule type="duplicateValues" dxfId="5581" priority="12641"/>
    <cfRule type="duplicateValues" dxfId="5580" priority="12642"/>
    <cfRule type="duplicateValues" dxfId="5579" priority="12643"/>
    <cfRule type="duplicateValues" dxfId="5578" priority="12644"/>
    <cfRule type="duplicateValues" dxfId="5577" priority="12645"/>
    <cfRule type="duplicateValues" dxfId="5576" priority="12646"/>
    <cfRule type="duplicateValues" dxfId="5575" priority="12647"/>
    <cfRule type="duplicateValues" dxfId="5574" priority="12648"/>
    <cfRule type="duplicateValues" dxfId="5573" priority="12649"/>
    <cfRule type="duplicateValues" dxfId="5572" priority="12650"/>
    <cfRule type="duplicateValues" dxfId="5571" priority="12651"/>
    <cfRule type="duplicateValues" dxfId="5570" priority="12652"/>
    <cfRule type="duplicateValues" dxfId="5569" priority="12653"/>
    <cfRule type="duplicateValues" dxfId="5568" priority="12654"/>
    <cfRule type="duplicateValues" dxfId="5567" priority="12655"/>
    <cfRule type="duplicateValues" dxfId="5566" priority="12656"/>
    <cfRule type="duplicateValues" dxfId="5565" priority="12657"/>
    <cfRule type="duplicateValues" dxfId="5564" priority="12658"/>
    <cfRule type="duplicateValues" dxfId="5563" priority="12659"/>
    <cfRule type="duplicateValues" dxfId="5562" priority="12660"/>
    <cfRule type="duplicateValues" dxfId="5561" priority="12661"/>
    <cfRule type="duplicateValues" dxfId="5560" priority="12662"/>
    <cfRule type="duplicateValues" dxfId="5559" priority="12663"/>
    <cfRule type="duplicateValues" dxfId="5558" priority="12664"/>
    <cfRule type="duplicateValues" dxfId="5557" priority="12665"/>
    <cfRule type="duplicateValues" dxfId="5556" priority="12666"/>
    <cfRule type="duplicateValues" dxfId="5555" priority="12667"/>
    <cfRule type="duplicateValues" dxfId="5554" priority="12668"/>
    <cfRule type="duplicateValues" dxfId="5553" priority="12669"/>
    <cfRule type="duplicateValues" dxfId="5552" priority="12670"/>
    <cfRule type="duplicateValues" dxfId="5551" priority="12671"/>
    <cfRule type="duplicateValues" dxfId="5550" priority="12672"/>
    <cfRule type="duplicateValues" dxfId="5549" priority="12673"/>
    <cfRule type="duplicateValues" dxfId="5548" priority="12674"/>
    <cfRule type="duplicateValues" dxfId="5547" priority="12675"/>
    <cfRule type="duplicateValues" dxfId="5546" priority="12676"/>
    <cfRule type="duplicateValues" dxfId="5545" priority="12677"/>
    <cfRule type="duplicateValues" dxfId="5544" priority="12678"/>
    <cfRule type="duplicateValues" dxfId="5543" priority="12679"/>
    <cfRule type="duplicateValues" dxfId="5542" priority="12680"/>
    <cfRule type="duplicateValues" dxfId="5541" priority="12681"/>
    <cfRule type="duplicateValues" dxfId="5540" priority="12682"/>
    <cfRule type="duplicateValues" dxfId="5539" priority="12683"/>
    <cfRule type="duplicateValues" dxfId="5538" priority="12684"/>
    <cfRule type="duplicateValues" dxfId="5537" priority="12685"/>
    <cfRule type="duplicateValues" dxfId="5536" priority="12686"/>
    <cfRule type="duplicateValues" dxfId="5535" priority="12687"/>
    <cfRule type="duplicateValues" dxfId="5534" priority="12688"/>
    <cfRule type="duplicateValues" dxfId="5533" priority="12689"/>
    <cfRule type="duplicateValues" dxfId="5532" priority="12690"/>
    <cfRule type="duplicateValues" dxfId="5531" priority="12691"/>
    <cfRule type="duplicateValues" dxfId="5530" priority="12692"/>
    <cfRule type="duplicateValues" dxfId="5529" priority="12693"/>
    <cfRule type="duplicateValues" dxfId="5528" priority="12694"/>
    <cfRule type="duplicateValues" dxfId="5527" priority="12695"/>
    <cfRule type="duplicateValues" dxfId="5526" priority="12696"/>
    <cfRule type="duplicateValues" dxfId="5525" priority="12697"/>
    <cfRule type="duplicateValues" dxfId="5524" priority="12698"/>
    <cfRule type="duplicateValues" dxfId="5523" priority="12699"/>
    <cfRule type="duplicateValues" dxfId="5522" priority="12700"/>
    <cfRule type="duplicateValues" dxfId="5521" priority="12701"/>
    <cfRule type="duplicateValues" dxfId="5520" priority="12702"/>
    <cfRule type="duplicateValues" dxfId="5519" priority="12703"/>
    <cfRule type="duplicateValues" dxfId="5518" priority="12704"/>
    <cfRule type="duplicateValues" dxfId="5517" priority="12705"/>
    <cfRule type="duplicateValues" dxfId="5516" priority="12706"/>
    <cfRule type="duplicateValues" dxfId="5515" priority="12707"/>
    <cfRule type="duplicateValues" dxfId="5514" priority="12708"/>
    <cfRule type="duplicateValues" dxfId="5513" priority="12709"/>
    <cfRule type="duplicateValues" dxfId="5512" priority="12710"/>
    <cfRule type="duplicateValues" dxfId="5511" priority="12711"/>
    <cfRule type="duplicateValues" dxfId="5510" priority="12712"/>
    <cfRule type="duplicateValues" dxfId="5509" priority="12713"/>
    <cfRule type="duplicateValues" dxfId="5508" priority="12714"/>
    <cfRule type="duplicateValues" dxfId="5507" priority="12715"/>
    <cfRule type="duplicateValues" dxfId="5506" priority="12716"/>
    <cfRule type="duplicateValues" dxfId="5505" priority="12717"/>
    <cfRule type="duplicateValues" dxfId="5504" priority="12718"/>
    <cfRule type="duplicateValues" dxfId="5503" priority="12719"/>
    <cfRule type="duplicateValues" dxfId="5502" priority="12720"/>
    <cfRule type="duplicateValues" dxfId="5501" priority="12721"/>
    <cfRule type="duplicateValues" dxfId="5500" priority="12722"/>
    <cfRule type="duplicateValues" dxfId="5499" priority="12723"/>
    <cfRule type="duplicateValues" dxfId="5498" priority="12724"/>
    <cfRule type="duplicateValues" dxfId="5497" priority="12725"/>
    <cfRule type="duplicateValues" dxfId="5496" priority="12726"/>
    <cfRule type="duplicateValues" dxfId="5495" priority="12727"/>
    <cfRule type="duplicateValues" dxfId="5494" priority="12728"/>
    <cfRule type="duplicateValues" dxfId="5493" priority="12729"/>
    <cfRule type="duplicateValues" dxfId="5492" priority="12730"/>
    <cfRule type="duplicateValues" dxfId="5491" priority="12731"/>
    <cfRule type="duplicateValues" dxfId="5490" priority="12732"/>
    <cfRule type="duplicateValues" dxfId="5489" priority="12733"/>
    <cfRule type="duplicateValues" dxfId="5488" priority="12734"/>
    <cfRule type="duplicateValues" dxfId="5487" priority="12735"/>
    <cfRule type="duplicateValues" dxfId="5486" priority="12736"/>
    <cfRule type="duplicateValues" dxfId="5485" priority="12737"/>
    <cfRule type="duplicateValues" dxfId="5484" priority="12738"/>
    <cfRule type="duplicateValues" dxfId="5483" priority="12739"/>
    <cfRule type="duplicateValues" dxfId="5482" priority="12740"/>
    <cfRule type="duplicateValues" dxfId="5481" priority="12741"/>
    <cfRule type="duplicateValues" dxfId="5480" priority="12742"/>
    <cfRule type="duplicateValues" dxfId="5479" priority="12743"/>
    <cfRule type="duplicateValues" dxfId="5478" priority="12744"/>
    <cfRule type="duplicateValues" dxfId="5477" priority="12745"/>
    <cfRule type="duplicateValues" dxfId="5476" priority="12746"/>
    <cfRule type="duplicateValues" dxfId="5475" priority="12747"/>
    <cfRule type="duplicateValues" dxfId="5474" priority="12748"/>
    <cfRule type="duplicateValues" dxfId="5473" priority="12749"/>
    <cfRule type="duplicateValues" dxfId="5472" priority="12750"/>
    <cfRule type="duplicateValues" dxfId="5471" priority="12751"/>
    <cfRule type="duplicateValues" dxfId="5470" priority="12752"/>
    <cfRule type="duplicateValues" dxfId="5469" priority="12753"/>
    <cfRule type="duplicateValues" dxfId="5468" priority="12754"/>
    <cfRule type="duplicateValues" dxfId="5467" priority="12755"/>
    <cfRule type="duplicateValues" dxfId="5466" priority="12756"/>
    <cfRule type="duplicateValues" dxfId="5465" priority="12757"/>
    <cfRule type="duplicateValues" dxfId="5464" priority="12758"/>
    <cfRule type="duplicateValues" dxfId="5463" priority="12759"/>
    <cfRule type="duplicateValues" dxfId="5462" priority="12760"/>
    <cfRule type="duplicateValues" dxfId="5461" priority="12761"/>
    <cfRule type="duplicateValues" dxfId="5460" priority="12762"/>
    <cfRule type="duplicateValues" dxfId="5459" priority="12763"/>
    <cfRule type="duplicateValues" dxfId="5458" priority="12764"/>
    <cfRule type="duplicateValues" dxfId="5457" priority="12765"/>
    <cfRule type="duplicateValues" dxfId="5456" priority="12766"/>
    <cfRule type="duplicateValues" dxfId="5455" priority="12767"/>
    <cfRule type="duplicateValues" dxfId="5454" priority="12768"/>
    <cfRule type="duplicateValues" dxfId="5453" priority="12769"/>
    <cfRule type="duplicateValues" dxfId="5452" priority="12770"/>
    <cfRule type="duplicateValues" dxfId="5451" priority="12771"/>
    <cfRule type="duplicateValues" dxfId="5450" priority="12772"/>
    <cfRule type="duplicateValues" dxfId="5449" priority="12773"/>
    <cfRule type="duplicateValues" dxfId="5448" priority="12774"/>
    <cfRule type="duplicateValues" dxfId="5447" priority="12775"/>
    <cfRule type="duplicateValues" dxfId="5446" priority="12776"/>
    <cfRule type="duplicateValues" dxfId="5445" priority="12777"/>
    <cfRule type="duplicateValues" dxfId="5444" priority="12778"/>
    <cfRule type="duplicateValues" dxfId="5443" priority="12779"/>
    <cfRule type="duplicateValues" dxfId="5442" priority="12780"/>
    <cfRule type="duplicateValues" dxfId="5441" priority="12781"/>
    <cfRule type="duplicateValues" dxfId="5440" priority="12782"/>
    <cfRule type="duplicateValues" dxfId="5439" priority="12783"/>
    <cfRule type="duplicateValues" dxfId="5438" priority="12784"/>
    <cfRule type="duplicateValues" dxfId="5437" priority="12785"/>
    <cfRule type="duplicateValues" dxfId="5436" priority="12786"/>
    <cfRule type="duplicateValues" dxfId="5435" priority="12787"/>
    <cfRule type="duplicateValues" dxfId="5434" priority="12788"/>
    <cfRule type="duplicateValues" dxfId="5433" priority="12789"/>
    <cfRule type="duplicateValues" dxfId="5432" priority="12790"/>
    <cfRule type="duplicateValues" dxfId="5431" priority="12791"/>
    <cfRule type="duplicateValues" dxfId="5430" priority="12792"/>
    <cfRule type="duplicateValues" dxfId="5429" priority="12793"/>
    <cfRule type="duplicateValues" dxfId="5428" priority="12794"/>
    <cfRule type="duplicateValues" dxfId="5427" priority="12795"/>
    <cfRule type="duplicateValues" dxfId="5426" priority="12796"/>
    <cfRule type="duplicateValues" dxfId="5425" priority="12797"/>
    <cfRule type="duplicateValues" dxfId="5424" priority="12798"/>
    <cfRule type="duplicateValues" dxfId="5423" priority="12799"/>
    <cfRule type="duplicateValues" dxfId="5422" priority="12800"/>
    <cfRule type="duplicateValues" dxfId="5421" priority="12801"/>
    <cfRule type="duplicateValues" dxfId="5420" priority="12802"/>
    <cfRule type="duplicateValues" dxfId="5419" priority="12803"/>
    <cfRule type="duplicateValues" dxfId="5418" priority="12804"/>
    <cfRule type="duplicateValues" dxfId="5417" priority="12805"/>
    <cfRule type="duplicateValues" dxfId="5416" priority="12806"/>
    <cfRule type="duplicateValues" dxfId="5415" priority="12807"/>
    <cfRule type="duplicateValues" dxfId="5414" priority="12808"/>
    <cfRule type="duplicateValues" dxfId="5413" priority="12809"/>
    <cfRule type="duplicateValues" dxfId="5412" priority="12810"/>
    <cfRule type="duplicateValues" dxfId="5411" priority="12811"/>
    <cfRule type="duplicateValues" dxfId="5410" priority="12812"/>
    <cfRule type="duplicateValues" dxfId="5409" priority="12813"/>
    <cfRule type="duplicateValues" dxfId="5408" priority="12814"/>
    <cfRule type="duplicateValues" dxfId="5407" priority="12815"/>
    <cfRule type="duplicateValues" dxfId="5406" priority="12816"/>
    <cfRule type="duplicateValues" dxfId="5405" priority="12817"/>
    <cfRule type="duplicateValues" dxfId="5404" priority="12818"/>
    <cfRule type="duplicateValues" dxfId="5403" priority="12819"/>
    <cfRule type="duplicateValues" dxfId="5402" priority="12820"/>
    <cfRule type="duplicateValues" dxfId="5401" priority="12821"/>
    <cfRule type="duplicateValues" dxfId="5400" priority="12822"/>
    <cfRule type="duplicateValues" dxfId="5399" priority="12823"/>
    <cfRule type="duplicateValues" dxfId="5398" priority="12824"/>
    <cfRule type="duplicateValues" dxfId="5397" priority="12825"/>
    <cfRule type="duplicateValues" dxfId="5396" priority="12826"/>
    <cfRule type="duplicateValues" dxfId="5395" priority="12827"/>
    <cfRule type="duplicateValues" dxfId="5394" priority="12828"/>
    <cfRule type="duplicateValues" dxfId="5393" priority="12829"/>
    <cfRule type="duplicateValues" dxfId="5392" priority="12830"/>
    <cfRule type="duplicateValues" dxfId="5391" priority="12831"/>
    <cfRule type="duplicateValues" dxfId="5390" priority="12832"/>
    <cfRule type="duplicateValues" dxfId="5389" priority="12833"/>
    <cfRule type="duplicateValues" dxfId="5388" priority="12834"/>
    <cfRule type="duplicateValues" dxfId="5387" priority="12835"/>
    <cfRule type="duplicateValues" dxfId="5386" priority="12836"/>
    <cfRule type="duplicateValues" dxfId="5385" priority="12837"/>
    <cfRule type="duplicateValues" dxfId="5384" priority="12838"/>
    <cfRule type="duplicateValues" dxfId="5383" priority="12839"/>
    <cfRule type="duplicateValues" dxfId="5382" priority="12840"/>
    <cfRule type="duplicateValues" dxfId="5381" priority="12841"/>
    <cfRule type="duplicateValues" dxfId="5380" priority="12842"/>
    <cfRule type="duplicateValues" dxfId="5379" priority="12843"/>
    <cfRule type="duplicateValues" dxfId="5378" priority="12844"/>
    <cfRule type="duplicateValues" dxfId="5377" priority="12845"/>
    <cfRule type="duplicateValues" dxfId="5376" priority="12846"/>
    <cfRule type="duplicateValues" dxfId="5375" priority="12847"/>
    <cfRule type="duplicateValues" dxfId="5374" priority="12848"/>
    <cfRule type="duplicateValues" dxfId="5373" priority="12849"/>
    <cfRule type="duplicateValues" dxfId="5372" priority="12850"/>
    <cfRule type="duplicateValues" dxfId="5371" priority="12851"/>
    <cfRule type="duplicateValues" dxfId="5370" priority="12852"/>
    <cfRule type="duplicateValues" dxfId="5369" priority="12853"/>
    <cfRule type="duplicateValues" dxfId="5368" priority="12854"/>
    <cfRule type="duplicateValues" dxfId="5367" priority="12855"/>
    <cfRule type="duplicateValues" dxfId="5366" priority="12856"/>
    <cfRule type="duplicateValues" dxfId="5365" priority="12857"/>
    <cfRule type="duplicateValues" dxfId="5364" priority="12858"/>
    <cfRule type="duplicateValues" dxfId="5363" priority="12859"/>
    <cfRule type="duplicateValues" dxfId="5362" priority="12860"/>
    <cfRule type="duplicateValues" dxfId="5361" priority="12861"/>
    <cfRule type="duplicateValues" dxfId="5360" priority="12862"/>
    <cfRule type="duplicateValues" dxfId="5359" priority="12863"/>
    <cfRule type="duplicateValues" dxfId="5358" priority="12864"/>
    <cfRule type="duplicateValues" dxfId="5357" priority="12865"/>
    <cfRule type="duplicateValues" dxfId="5356" priority="12866"/>
    <cfRule type="duplicateValues" dxfId="5355" priority="12867"/>
    <cfRule type="duplicateValues" dxfId="5354" priority="12868"/>
    <cfRule type="duplicateValues" dxfId="5353" priority="12869"/>
    <cfRule type="duplicateValues" dxfId="5352" priority="12870"/>
    <cfRule type="duplicateValues" dxfId="5351" priority="12871"/>
    <cfRule type="duplicateValues" dxfId="5350" priority="12872"/>
    <cfRule type="duplicateValues" dxfId="5349" priority="12873"/>
    <cfRule type="duplicateValues" dxfId="5348" priority="12874"/>
    <cfRule type="duplicateValues" dxfId="5347" priority="12875"/>
    <cfRule type="duplicateValues" dxfId="5346" priority="12876"/>
    <cfRule type="duplicateValues" dxfId="5345" priority="12877"/>
    <cfRule type="duplicateValues" dxfId="5344" priority="12878"/>
    <cfRule type="duplicateValues" dxfId="5343" priority="12879"/>
    <cfRule type="duplicateValues" dxfId="5342" priority="12880"/>
    <cfRule type="duplicateValues" dxfId="5341" priority="12881"/>
    <cfRule type="duplicateValues" dxfId="5340" priority="12882"/>
    <cfRule type="duplicateValues" dxfId="5339" priority="12883"/>
    <cfRule type="duplicateValues" dxfId="5338" priority="12884"/>
    <cfRule type="duplicateValues" dxfId="5337" priority="12885"/>
    <cfRule type="duplicateValues" dxfId="5336" priority="12886"/>
    <cfRule type="duplicateValues" dxfId="5335" priority="12887"/>
    <cfRule type="duplicateValues" dxfId="5334" priority="12888"/>
    <cfRule type="duplicateValues" dxfId="5333" priority="12889"/>
    <cfRule type="duplicateValues" dxfId="5332" priority="12890"/>
    <cfRule type="duplicateValues" dxfId="5331" priority="12891"/>
    <cfRule type="duplicateValues" dxfId="5330" priority="12892"/>
    <cfRule type="duplicateValues" dxfId="5329" priority="12893"/>
    <cfRule type="duplicateValues" dxfId="5328" priority="12894"/>
    <cfRule type="duplicateValues" dxfId="5327" priority="12895"/>
    <cfRule type="duplicateValues" dxfId="5326" priority="12896"/>
    <cfRule type="duplicateValues" dxfId="5325" priority="12897"/>
    <cfRule type="duplicateValues" dxfId="5324" priority="12898"/>
    <cfRule type="duplicateValues" dxfId="5323" priority="12899"/>
    <cfRule type="duplicateValues" dxfId="5322" priority="12900"/>
    <cfRule type="duplicateValues" dxfId="5321" priority="12901"/>
    <cfRule type="duplicateValues" dxfId="5320" priority="12902"/>
    <cfRule type="duplicateValues" dxfId="5319" priority="12903"/>
    <cfRule type="duplicateValues" dxfId="5318" priority="12904"/>
    <cfRule type="duplicateValues" dxfId="5317" priority="12905"/>
    <cfRule type="duplicateValues" dxfId="5316" priority="12906"/>
    <cfRule type="duplicateValues" dxfId="5315" priority="12907"/>
    <cfRule type="duplicateValues" dxfId="5314" priority="12908"/>
    <cfRule type="duplicateValues" dxfId="5313" priority="12909"/>
    <cfRule type="duplicateValues" dxfId="5312" priority="12910"/>
    <cfRule type="duplicateValues" dxfId="5311" priority="12911"/>
    <cfRule type="duplicateValues" dxfId="5310" priority="12912"/>
    <cfRule type="duplicateValues" dxfId="5309" priority="12913"/>
    <cfRule type="duplicateValues" dxfId="5308" priority="12914"/>
    <cfRule type="duplicateValues" dxfId="5307" priority="12915"/>
    <cfRule type="duplicateValues" dxfId="5306" priority="12916"/>
    <cfRule type="duplicateValues" dxfId="5305" priority="12917"/>
    <cfRule type="duplicateValues" dxfId="5304" priority="12918"/>
    <cfRule type="duplicateValues" dxfId="5303" priority="12919"/>
    <cfRule type="duplicateValues" dxfId="5302" priority="12920"/>
    <cfRule type="duplicateValues" dxfId="5301" priority="12921"/>
    <cfRule type="duplicateValues" dxfId="5300" priority="12922"/>
    <cfRule type="duplicateValues" dxfId="5299" priority="12923"/>
    <cfRule type="duplicateValues" dxfId="5298" priority="12924"/>
    <cfRule type="duplicateValues" dxfId="5297" priority="12925"/>
    <cfRule type="duplicateValues" dxfId="5296" priority="12926"/>
    <cfRule type="duplicateValues" dxfId="5295" priority="12927"/>
    <cfRule type="duplicateValues" dxfId="5294" priority="12928"/>
    <cfRule type="duplicateValues" dxfId="5293" priority="12929"/>
    <cfRule type="duplicateValues" dxfId="5292" priority="12930"/>
    <cfRule type="duplicateValues" dxfId="5291" priority="12931"/>
    <cfRule type="duplicateValues" dxfId="5290" priority="12932"/>
    <cfRule type="duplicateValues" dxfId="5289" priority="12933"/>
    <cfRule type="duplicateValues" dxfId="5288" priority="12934"/>
    <cfRule type="duplicateValues" dxfId="5287" priority="12935"/>
    <cfRule type="duplicateValues" dxfId="5286" priority="12936"/>
    <cfRule type="duplicateValues" dxfId="5285" priority="12937"/>
    <cfRule type="duplicateValues" dxfId="5284" priority="12938"/>
    <cfRule type="duplicateValues" dxfId="5283" priority="12939"/>
    <cfRule type="duplicateValues" dxfId="5282" priority="12940"/>
    <cfRule type="duplicateValues" dxfId="5281" priority="12941"/>
  </conditionalFormatting>
  <conditionalFormatting sqref="C287">
    <cfRule type="duplicateValues" dxfId="5280" priority="12252"/>
    <cfRule type="duplicateValues" dxfId="5279" priority="12253"/>
    <cfRule type="duplicateValues" dxfId="5278" priority="12254"/>
    <cfRule type="duplicateValues" dxfId="5277" priority="12255"/>
    <cfRule type="duplicateValues" dxfId="5276" priority="12256"/>
    <cfRule type="duplicateValues" dxfId="5275" priority="12257"/>
    <cfRule type="duplicateValues" dxfId="5274" priority="12258"/>
    <cfRule type="duplicateValues" dxfId="5273" priority="12259"/>
    <cfRule type="duplicateValues" dxfId="5272" priority="12260"/>
    <cfRule type="duplicateValues" dxfId="5271" priority="12261"/>
    <cfRule type="duplicateValues" dxfId="5270" priority="12262"/>
    <cfRule type="duplicateValues" dxfId="5269" priority="12263"/>
    <cfRule type="duplicateValues" dxfId="5268" priority="12264"/>
    <cfRule type="duplicateValues" dxfId="5267" priority="12265"/>
    <cfRule type="duplicateValues" dxfId="5266" priority="12266"/>
    <cfRule type="duplicateValues" dxfId="5265" priority="12267"/>
    <cfRule type="duplicateValues" dxfId="5264" priority="12268"/>
    <cfRule type="duplicateValues" dxfId="5263" priority="12269"/>
    <cfRule type="duplicateValues" dxfId="5262" priority="12270"/>
    <cfRule type="duplicateValues" dxfId="5261" priority="12271"/>
    <cfRule type="duplicateValues" dxfId="5260" priority="12272"/>
    <cfRule type="duplicateValues" dxfId="5259" priority="12273"/>
    <cfRule type="duplicateValues" dxfId="5258" priority="12274"/>
    <cfRule type="duplicateValues" dxfId="5257" priority="12275"/>
    <cfRule type="duplicateValues" dxfId="5256" priority="12276"/>
    <cfRule type="duplicateValues" dxfId="5255" priority="12277"/>
    <cfRule type="duplicateValues" dxfId="5254" priority="12278"/>
    <cfRule type="duplicateValues" dxfId="5253" priority="12279"/>
    <cfRule type="duplicateValues" dxfId="5252" priority="12280"/>
    <cfRule type="duplicateValues" dxfId="5251" priority="12281"/>
    <cfRule type="duplicateValues" dxfId="5250" priority="12282"/>
    <cfRule type="duplicateValues" dxfId="5249" priority="12283"/>
    <cfRule type="duplicateValues" dxfId="5248" priority="12284"/>
    <cfRule type="duplicateValues" dxfId="5247" priority="12285"/>
    <cfRule type="duplicateValues" dxfId="5246" priority="12286"/>
    <cfRule type="duplicateValues" dxfId="5245" priority="12287"/>
    <cfRule type="duplicateValues" dxfId="5244" priority="12288"/>
    <cfRule type="duplicateValues" dxfId="5243" priority="12289"/>
    <cfRule type="duplicateValues" dxfId="5242" priority="12290"/>
    <cfRule type="duplicateValues" dxfId="5241" priority="12291"/>
    <cfRule type="duplicateValues" dxfId="5240" priority="12292"/>
    <cfRule type="duplicateValues" dxfId="5239" priority="12293"/>
    <cfRule type="duplicateValues" dxfId="5238" priority="12294"/>
    <cfRule type="duplicateValues" dxfId="5237" priority="12295"/>
    <cfRule type="duplicateValues" dxfId="5236" priority="12296"/>
    <cfRule type="duplicateValues" dxfId="5235" priority="12297"/>
    <cfRule type="duplicateValues" dxfId="5234" priority="12298"/>
    <cfRule type="duplicateValues" dxfId="5233" priority="12299"/>
    <cfRule type="duplicateValues" dxfId="5232" priority="12300"/>
    <cfRule type="duplicateValues" dxfId="5231" priority="12301"/>
    <cfRule type="duplicateValues" dxfId="5230" priority="12302"/>
    <cfRule type="duplicateValues" dxfId="5229" priority="12303"/>
    <cfRule type="duplicateValues" dxfId="5228" priority="12304"/>
    <cfRule type="duplicateValues" dxfId="5227" priority="12305"/>
    <cfRule type="duplicateValues" dxfId="5226" priority="12306"/>
    <cfRule type="duplicateValues" dxfId="5225" priority="12307"/>
    <cfRule type="duplicateValues" dxfId="5224" priority="12308"/>
    <cfRule type="duplicateValues" dxfId="5223" priority="12309"/>
    <cfRule type="duplicateValues" dxfId="5222" priority="12310"/>
    <cfRule type="duplicateValues" dxfId="5221" priority="12311"/>
    <cfRule type="duplicateValues" dxfId="5220" priority="12312"/>
    <cfRule type="duplicateValues" dxfId="5219" priority="12313"/>
    <cfRule type="duplicateValues" dxfId="5218" priority="12314"/>
    <cfRule type="duplicateValues" dxfId="5217" priority="12315"/>
    <cfRule type="duplicateValues" dxfId="5216" priority="12316"/>
    <cfRule type="duplicateValues" dxfId="5215" priority="12317"/>
    <cfRule type="duplicateValues" dxfId="5214" priority="12318"/>
    <cfRule type="duplicateValues" dxfId="5213" priority="12319"/>
    <cfRule type="duplicateValues" dxfId="5212" priority="12320"/>
    <cfRule type="duplicateValues" dxfId="5211" priority="12321"/>
    <cfRule type="duplicateValues" dxfId="5210" priority="12322"/>
    <cfRule type="duplicateValues" dxfId="5209" priority="12323"/>
    <cfRule type="duplicateValues" dxfId="5208" priority="12324"/>
    <cfRule type="duplicateValues" dxfId="5207" priority="12325"/>
    <cfRule type="duplicateValues" dxfId="5206" priority="12326"/>
    <cfRule type="duplicateValues" dxfId="5205" priority="12327"/>
    <cfRule type="duplicateValues" dxfId="5204" priority="12328"/>
    <cfRule type="duplicateValues" dxfId="5203" priority="12329"/>
    <cfRule type="duplicateValues" dxfId="5202" priority="12330"/>
    <cfRule type="duplicateValues" dxfId="5201" priority="12331"/>
    <cfRule type="duplicateValues" dxfId="5200" priority="12332"/>
    <cfRule type="duplicateValues" dxfId="5199" priority="12333"/>
    <cfRule type="duplicateValues" dxfId="5198" priority="12334"/>
    <cfRule type="duplicateValues" dxfId="5197" priority="12335"/>
    <cfRule type="duplicateValues" dxfId="5196" priority="12336"/>
    <cfRule type="duplicateValues" dxfId="5195" priority="12337"/>
    <cfRule type="duplicateValues" dxfId="5194" priority="12338"/>
    <cfRule type="duplicateValues" dxfId="5193" priority="12339"/>
    <cfRule type="duplicateValues" dxfId="5192" priority="12340"/>
    <cfRule type="duplicateValues" dxfId="5191" priority="12341"/>
    <cfRule type="duplicateValues" dxfId="5190" priority="12342"/>
    <cfRule type="duplicateValues" dxfId="5189" priority="12343"/>
    <cfRule type="duplicateValues" dxfId="5188" priority="12344"/>
    <cfRule type="duplicateValues" dxfId="5187" priority="12345"/>
    <cfRule type="duplicateValues" dxfId="5186" priority="12346"/>
    <cfRule type="duplicateValues" dxfId="5185" priority="12347"/>
    <cfRule type="duplicateValues" dxfId="5184" priority="12348"/>
    <cfRule type="duplicateValues" dxfId="5183" priority="12349"/>
    <cfRule type="duplicateValues" dxfId="5182" priority="12350"/>
    <cfRule type="duplicateValues" dxfId="5181" priority="12351"/>
    <cfRule type="duplicateValues" dxfId="5180" priority="12352"/>
    <cfRule type="duplicateValues" dxfId="5179" priority="12353"/>
    <cfRule type="duplicateValues" dxfId="5178" priority="12354"/>
    <cfRule type="duplicateValues" dxfId="5177" priority="12355"/>
    <cfRule type="duplicateValues" dxfId="5176" priority="12356"/>
    <cfRule type="duplicateValues" dxfId="5175" priority="12357"/>
    <cfRule type="duplicateValues" dxfId="5174" priority="12358"/>
    <cfRule type="duplicateValues" dxfId="5173" priority="12359"/>
    <cfRule type="duplicateValues" dxfId="5172" priority="12360"/>
    <cfRule type="duplicateValues" dxfId="5171" priority="12361"/>
    <cfRule type="duplicateValues" dxfId="5170" priority="12362"/>
    <cfRule type="duplicateValues" dxfId="5169" priority="12363"/>
    <cfRule type="duplicateValues" dxfId="5168" priority="12364"/>
    <cfRule type="duplicateValues" dxfId="5167" priority="12365"/>
    <cfRule type="duplicateValues" dxfId="5166" priority="12366"/>
    <cfRule type="duplicateValues" dxfId="5165" priority="12367"/>
    <cfRule type="duplicateValues" dxfId="5164" priority="12368"/>
    <cfRule type="duplicateValues" dxfId="5163" priority="12369"/>
    <cfRule type="duplicateValues" dxfId="5162" priority="12370"/>
    <cfRule type="duplicateValues" dxfId="5161" priority="12371"/>
    <cfRule type="duplicateValues" dxfId="5160" priority="12372"/>
    <cfRule type="duplicateValues" dxfId="5159" priority="12373"/>
    <cfRule type="duplicateValues" dxfId="5158" priority="12374"/>
    <cfRule type="duplicateValues" dxfId="5157" priority="12375"/>
    <cfRule type="duplicateValues" dxfId="5156" priority="12376"/>
    <cfRule type="duplicateValues" dxfId="5155" priority="12377"/>
    <cfRule type="duplicateValues" dxfId="5154" priority="12378"/>
    <cfRule type="duplicateValues" dxfId="5153" priority="12379"/>
    <cfRule type="duplicateValues" dxfId="5152" priority="12380"/>
    <cfRule type="duplicateValues" dxfId="5151" priority="12381"/>
    <cfRule type="duplicateValues" dxfId="5150" priority="12382"/>
    <cfRule type="duplicateValues" dxfId="5149" priority="12383"/>
    <cfRule type="duplicateValues" dxfId="5148" priority="12384"/>
    <cfRule type="duplicateValues" dxfId="5147" priority="12385"/>
    <cfRule type="duplicateValues" dxfId="5146" priority="12386"/>
    <cfRule type="duplicateValues" dxfId="5145" priority="12387"/>
    <cfRule type="duplicateValues" dxfId="5144" priority="12388"/>
    <cfRule type="duplicateValues" dxfId="5143" priority="12389"/>
    <cfRule type="duplicateValues" dxfId="5142" priority="12390"/>
    <cfRule type="duplicateValues" dxfId="5141" priority="12391"/>
    <cfRule type="duplicateValues" dxfId="5140" priority="12392"/>
    <cfRule type="duplicateValues" dxfId="5139" priority="12393"/>
    <cfRule type="duplicateValues" dxfId="5138" priority="12394"/>
    <cfRule type="duplicateValues" dxfId="5137" priority="12395"/>
    <cfRule type="duplicateValues" dxfId="5136" priority="12396"/>
    <cfRule type="duplicateValues" dxfId="5135" priority="12397"/>
    <cfRule type="duplicateValues" dxfId="5134" priority="12398"/>
    <cfRule type="duplicateValues" dxfId="5133" priority="12399"/>
    <cfRule type="duplicateValues" dxfId="5132" priority="12400"/>
    <cfRule type="duplicateValues" dxfId="5131" priority="12401"/>
    <cfRule type="duplicateValues" dxfId="5130" priority="12402"/>
    <cfRule type="duplicateValues" dxfId="5129" priority="12403"/>
    <cfRule type="duplicateValues" dxfId="5128" priority="12404"/>
    <cfRule type="duplicateValues" dxfId="5127" priority="12405"/>
    <cfRule type="duplicateValues" dxfId="5126" priority="12406"/>
    <cfRule type="duplicateValues" dxfId="5125" priority="12407"/>
    <cfRule type="duplicateValues" dxfId="5124" priority="12408"/>
    <cfRule type="duplicateValues" dxfId="5123" priority="12409"/>
    <cfRule type="duplicateValues" dxfId="5122" priority="12410"/>
    <cfRule type="duplicateValues" dxfId="5121" priority="12411"/>
    <cfRule type="duplicateValues" dxfId="5120" priority="12412"/>
    <cfRule type="duplicateValues" dxfId="5119" priority="12413"/>
    <cfRule type="duplicateValues" dxfId="5118" priority="12414"/>
    <cfRule type="duplicateValues" dxfId="5117" priority="12415"/>
    <cfRule type="duplicateValues" dxfId="5116" priority="12416"/>
    <cfRule type="duplicateValues" dxfId="5115" priority="12417"/>
    <cfRule type="duplicateValues" dxfId="5114" priority="12418"/>
    <cfRule type="duplicateValues" dxfId="5113" priority="12419"/>
    <cfRule type="duplicateValues" dxfId="5112" priority="12420"/>
    <cfRule type="duplicateValues" dxfId="5111" priority="12421"/>
    <cfRule type="duplicateValues" dxfId="5110" priority="12422"/>
    <cfRule type="duplicateValues" dxfId="5109" priority="12423"/>
    <cfRule type="duplicateValues" dxfId="5108" priority="12424"/>
    <cfRule type="duplicateValues" dxfId="5107" priority="12425"/>
    <cfRule type="duplicateValues" dxfId="5106" priority="12426"/>
    <cfRule type="duplicateValues" dxfId="5105" priority="12427"/>
    <cfRule type="duplicateValues" dxfId="5104" priority="12428"/>
    <cfRule type="duplicateValues" dxfId="5103" priority="12429"/>
    <cfRule type="duplicateValues" dxfId="5102" priority="12430"/>
    <cfRule type="duplicateValues" dxfId="5101" priority="12431"/>
    <cfRule type="duplicateValues" dxfId="5100" priority="12432"/>
    <cfRule type="duplicateValues" dxfId="5099" priority="12433"/>
    <cfRule type="duplicateValues" dxfId="5098" priority="12434"/>
    <cfRule type="duplicateValues" dxfId="5097" priority="12435"/>
    <cfRule type="duplicateValues" dxfId="5096" priority="12436"/>
    <cfRule type="duplicateValues" dxfId="5095" priority="12437"/>
    <cfRule type="duplicateValues" dxfId="5094" priority="12438"/>
    <cfRule type="duplicateValues" dxfId="5093" priority="12439"/>
    <cfRule type="duplicateValues" dxfId="5092" priority="12440"/>
    <cfRule type="duplicateValues" dxfId="5091" priority="12441"/>
    <cfRule type="duplicateValues" dxfId="5090" priority="12442"/>
    <cfRule type="duplicateValues" dxfId="5089" priority="12443"/>
    <cfRule type="duplicateValues" dxfId="5088" priority="12444"/>
    <cfRule type="duplicateValues" dxfId="5087" priority="12445"/>
    <cfRule type="duplicateValues" dxfId="5086" priority="12446"/>
    <cfRule type="duplicateValues" dxfId="5085" priority="12447"/>
    <cfRule type="duplicateValues" dxfId="5084" priority="12448"/>
    <cfRule type="duplicateValues" dxfId="5083" priority="12449"/>
    <cfRule type="duplicateValues" dxfId="5082" priority="12450"/>
    <cfRule type="duplicateValues" dxfId="5081" priority="12451"/>
    <cfRule type="duplicateValues" dxfId="5080" priority="12452"/>
    <cfRule type="duplicateValues" dxfId="5079" priority="12453"/>
    <cfRule type="duplicateValues" dxfId="5078" priority="12454"/>
    <cfRule type="duplicateValues" dxfId="5077" priority="12455"/>
    <cfRule type="duplicateValues" dxfId="5076" priority="12456"/>
    <cfRule type="duplicateValues" dxfId="5075" priority="12457"/>
    <cfRule type="duplicateValues" dxfId="5074" priority="12458"/>
    <cfRule type="duplicateValues" dxfId="5073" priority="12459"/>
    <cfRule type="duplicateValues" dxfId="5072" priority="12460"/>
    <cfRule type="duplicateValues" dxfId="5071" priority="12461"/>
    <cfRule type="duplicateValues" dxfId="5070" priority="12462"/>
    <cfRule type="duplicateValues" dxfId="5069" priority="12463"/>
    <cfRule type="duplicateValues" dxfId="5068" priority="12464"/>
    <cfRule type="duplicateValues" dxfId="5067" priority="12465"/>
    <cfRule type="duplicateValues" dxfId="5066" priority="12466"/>
    <cfRule type="duplicateValues" dxfId="5065" priority="12467"/>
    <cfRule type="duplicateValues" dxfId="5064" priority="12468"/>
    <cfRule type="duplicateValues" dxfId="5063" priority="12469"/>
    <cfRule type="duplicateValues" dxfId="5062" priority="12470"/>
    <cfRule type="duplicateValues" dxfId="5061" priority="12471"/>
    <cfRule type="duplicateValues" dxfId="5060" priority="12472"/>
    <cfRule type="duplicateValues" dxfId="5059" priority="12473"/>
    <cfRule type="duplicateValues" dxfId="5058" priority="12474"/>
    <cfRule type="duplicateValues" dxfId="5057" priority="12475"/>
    <cfRule type="duplicateValues" dxfId="5056" priority="12476"/>
    <cfRule type="duplicateValues" dxfId="5055" priority="12477"/>
    <cfRule type="duplicateValues" dxfId="5054" priority="12478"/>
    <cfRule type="duplicateValues" dxfId="5053" priority="12479"/>
    <cfRule type="duplicateValues" dxfId="5052" priority="12480"/>
    <cfRule type="duplicateValues" dxfId="5051" priority="12481"/>
    <cfRule type="duplicateValues" dxfId="5050" priority="12482"/>
    <cfRule type="duplicateValues" dxfId="5049" priority="12483"/>
    <cfRule type="duplicateValues" dxfId="5048" priority="12484"/>
    <cfRule type="duplicateValues" dxfId="5047" priority="12485"/>
    <cfRule type="duplicateValues" dxfId="5046" priority="12486"/>
    <cfRule type="duplicateValues" dxfId="5045" priority="12487"/>
    <cfRule type="duplicateValues" dxfId="5044" priority="12488"/>
    <cfRule type="duplicateValues" dxfId="5043" priority="12489"/>
    <cfRule type="duplicateValues" dxfId="5042" priority="12490"/>
    <cfRule type="duplicateValues" dxfId="5041" priority="12491"/>
    <cfRule type="duplicateValues" dxfId="5040" priority="12492"/>
    <cfRule type="duplicateValues" dxfId="5039" priority="12493"/>
    <cfRule type="duplicateValues" dxfId="5038" priority="12494"/>
    <cfRule type="duplicateValues" dxfId="5037" priority="12495"/>
    <cfRule type="duplicateValues" dxfId="5036" priority="12496"/>
    <cfRule type="duplicateValues" dxfId="5035" priority="12497"/>
    <cfRule type="duplicateValues" dxfId="5034" priority="12498"/>
    <cfRule type="duplicateValues" dxfId="5033" priority="12499"/>
    <cfRule type="duplicateValues" dxfId="5032" priority="12500"/>
    <cfRule type="duplicateValues" dxfId="5031" priority="12501"/>
    <cfRule type="duplicateValues" dxfId="5030" priority="12502"/>
    <cfRule type="duplicateValues" dxfId="5029" priority="12503"/>
    <cfRule type="duplicateValues" dxfId="5028" priority="12504"/>
    <cfRule type="duplicateValues" dxfId="5027" priority="12505"/>
    <cfRule type="duplicateValues" dxfId="5026" priority="12506"/>
    <cfRule type="duplicateValues" dxfId="5025" priority="12507"/>
    <cfRule type="duplicateValues" dxfId="5024" priority="12508"/>
    <cfRule type="duplicateValues" dxfId="5023" priority="12509"/>
    <cfRule type="duplicateValues" dxfId="5022" priority="12510"/>
    <cfRule type="duplicateValues" dxfId="5021" priority="12511"/>
    <cfRule type="duplicateValues" dxfId="5020" priority="12512"/>
    <cfRule type="duplicateValues" dxfId="5019" priority="12513"/>
    <cfRule type="duplicateValues" dxfId="5018" priority="12514"/>
    <cfRule type="duplicateValues" dxfId="5017" priority="12515"/>
    <cfRule type="duplicateValues" dxfId="5016" priority="12516"/>
    <cfRule type="duplicateValues" dxfId="5015" priority="12517"/>
    <cfRule type="duplicateValues" dxfId="5014" priority="12518"/>
    <cfRule type="duplicateValues" dxfId="5013" priority="12519"/>
    <cfRule type="duplicateValues" dxfId="5012" priority="12520"/>
    <cfRule type="duplicateValues" dxfId="5011" priority="12521"/>
    <cfRule type="duplicateValues" dxfId="5010" priority="12522"/>
    <cfRule type="duplicateValues" dxfId="5009" priority="12523"/>
    <cfRule type="duplicateValues" dxfId="5008" priority="12524"/>
    <cfRule type="duplicateValues" dxfId="5007" priority="12525"/>
    <cfRule type="duplicateValues" dxfId="5006" priority="12526"/>
    <cfRule type="duplicateValues" dxfId="5005" priority="12527"/>
    <cfRule type="duplicateValues" dxfId="5004" priority="12528"/>
    <cfRule type="duplicateValues" dxfId="5003" priority="12529"/>
    <cfRule type="duplicateValues" dxfId="5002" priority="12530"/>
    <cfRule type="duplicateValues" dxfId="5001" priority="12531"/>
    <cfRule type="duplicateValues" dxfId="5000" priority="12532"/>
    <cfRule type="duplicateValues" dxfId="4999" priority="12533"/>
    <cfRule type="duplicateValues" dxfId="4998" priority="12534"/>
    <cfRule type="duplicateValues" dxfId="4997" priority="12535"/>
    <cfRule type="duplicateValues" dxfId="4996" priority="12536"/>
    <cfRule type="duplicateValues" dxfId="4995" priority="12537"/>
    <cfRule type="duplicateValues" dxfId="4994" priority="12538"/>
    <cfRule type="duplicateValues" dxfId="4993" priority="12539"/>
    <cfRule type="duplicateValues" dxfId="4992" priority="12540"/>
    <cfRule type="duplicateValues" dxfId="4991" priority="12541"/>
    <cfRule type="duplicateValues" dxfId="4990" priority="12542"/>
    <cfRule type="duplicateValues" dxfId="4989" priority="12543"/>
    <cfRule type="duplicateValues" dxfId="4988" priority="12544"/>
    <cfRule type="duplicateValues" dxfId="4987" priority="12545"/>
    <cfRule type="duplicateValues" dxfId="4986" priority="12546"/>
    <cfRule type="duplicateValues" dxfId="4985" priority="12547"/>
    <cfRule type="duplicateValues" dxfId="4984" priority="12548"/>
    <cfRule type="duplicateValues" dxfId="4983" priority="12549"/>
    <cfRule type="duplicateValues" dxfId="4982" priority="12550"/>
    <cfRule type="duplicateValues" dxfId="4981" priority="12551"/>
    <cfRule type="duplicateValues" dxfId="4980" priority="12552"/>
    <cfRule type="duplicateValues" dxfId="4979" priority="12553"/>
    <cfRule type="duplicateValues" dxfId="4978" priority="12554"/>
    <cfRule type="duplicateValues" dxfId="4977" priority="12555"/>
    <cfRule type="duplicateValues" dxfId="4976" priority="12556"/>
    <cfRule type="duplicateValues" dxfId="4975" priority="12557"/>
    <cfRule type="duplicateValues" dxfId="4974" priority="12558"/>
    <cfRule type="duplicateValues" dxfId="4973" priority="12559"/>
    <cfRule type="duplicateValues" dxfId="4972" priority="12560"/>
    <cfRule type="duplicateValues" dxfId="4971" priority="12561"/>
    <cfRule type="duplicateValues" dxfId="4970" priority="12562"/>
    <cfRule type="duplicateValues" dxfId="4969" priority="12563"/>
    <cfRule type="duplicateValues" dxfId="4968" priority="12564"/>
    <cfRule type="duplicateValues" dxfId="4967" priority="12565"/>
    <cfRule type="duplicateValues" dxfId="4966" priority="12566"/>
    <cfRule type="duplicateValues" dxfId="4965" priority="12567"/>
    <cfRule type="duplicateValues" dxfId="4964" priority="12568"/>
    <cfRule type="duplicateValues" dxfId="4963" priority="12569"/>
    <cfRule type="duplicateValues" dxfId="4962" priority="12570"/>
    <cfRule type="duplicateValues" dxfId="4961" priority="12571"/>
    <cfRule type="duplicateValues" dxfId="4960" priority="12572"/>
    <cfRule type="duplicateValues" dxfId="4959" priority="12573"/>
    <cfRule type="duplicateValues" dxfId="4958" priority="12574"/>
    <cfRule type="duplicateValues" dxfId="4957" priority="12575"/>
    <cfRule type="duplicateValues" dxfId="4956" priority="12576"/>
    <cfRule type="duplicateValues" dxfId="4955" priority="12577"/>
    <cfRule type="duplicateValues" dxfId="4954" priority="12578"/>
    <cfRule type="duplicateValues" dxfId="4953" priority="12579"/>
    <cfRule type="duplicateValues" dxfId="4952" priority="12580"/>
    <cfRule type="duplicateValues" dxfId="4951" priority="12581"/>
    <cfRule type="duplicateValues" dxfId="4950" priority="12582"/>
    <cfRule type="duplicateValues" dxfId="4949" priority="12583"/>
    <cfRule type="duplicateValues" dxfId="4948" priority="12584"/>
    <cfRule type="duplicateValues" dxfId="4947" priority="12585"/>
    <cfRule type="duplicateValues" dxfId="4946" priority="12586"/>
    <cfRule type="duplicateValues" dxfId="4945" priority="12587"/>
    <cfRule type="duplicateValues" dxfId="4944" priority="12588"/>
    <cfRule type="duplicateValues" dxfId="4943" priority="12589"/>
    <cfRule type="duplicateValues" dxfId="4942" priority="12590"/>
    <cfRule type="duplicateValues" dxfId="4941" priority="12591"/>
    <cfRule type="duplicateValues" dxfId="4940" priority="12592"/>
    <cfRule type="duplicateValues" dxfId="4939" priority="12593"/>
    <cfRule type="duplicateValues" dxfId="4938" priority="12594"/>
    <cfRule type="duplicateValues" dxfId="4937" priority="12595"/>
    <cfRule type="duplicateValues" dxfId="4936" priority="12596"/>
  </conditionalFormatting>
  <conditionalFormatting sqref="C288:C289">
    <cfRule type="duplicateValues" dxfId="4935" priority="2998"/>
    <cfRule type="duplicateValues" dxfId="4934" priority="2999"/>
    <cfRule type="duplicateValues" dxfId="4933" priority="3000"/>
    <cfRule type="duplicateValues" dxfId="4932" priority="3001"/>
    <cfRule type="duplicateValues" dxfId="4931" priority="3002"/>
    <cfRule type="duplicateValues" dxfId="4930" priority="3003"/>
    <cfRule type="duplicateValues" dxfId="4929" priority="3004"/>
    <cfRule type="duplicateValues" dxfId="4928" priority="3005"/>
    <cfRule type="duplicateValues" dxfId="4927" priority="3006"/>
    <cfRule type="duplicateValues" dxfId="4926" priority="3007"/>
    <cfRule type="duplicateValues" dxfId="4925" priority="3008"/>
    <cfRule type="duplicateValues" dxfId="4924" priority="3009"/>
    <cfRule type="duplicateValues" dxfId="4923" priority="3010"/>
    <cfRule type="duplicateValues" dxfId="4922" priority="3011"/>
    <cfRule type="duplicateValues" dxfId="4921" priority="3012"/>
    <cfRule type="duplicateValues" dxfId="4920" priority="3013"/>
    <cfRule type="duplicateValues" dxfId="4919" priority="3014"/>
    <cfRule type="duplicateValues" dxfId="4918" priority="3015"/>
    <cfRule type="duplicateValues" dxfId="4917" priority="3016"/>
    <cfRule type="duplicateValues" dxfId="4916" priority="3017"/>
    <cfRule type="duplicateValues" dxfId="4915" priority="3018"/>
    <cfRule type="duplicateValues" dxfId="4914" priority="3019"/>
    <cfRule type="duplicateValues" dxfId="4913" priority="3020"/>
    <cfRule type="duplicateValues" dxfId="4912" priority="3021"/>
    <cfRule type="duplicateValues" dxfId="4911" priority="3022"/>
    <cfRule type="duplicateValues" dxfId="4910" priority="3023"/>
    <cfRule type="duplicateValues" dxfId="4909" priority="3024"/>
    <cfRule type="duplicateValues" dxfId="4908" priority="3025"/>
    <cfRule type="duplicateValues" dxfId="4907" priority="3026"/>
    <cfRule type="duplicateValues" dxfId="4906" priority="3027"/>
    <cfRule type="duplicateValues" dxfId="4905" priority="3028"/>
    <cfRule type="duplicateValues" dxfId="4904" priority="3029"/>
    <cfRule type="duplicateValues" dxfId="4903" priority="3030"/>
    <cfRule type="duplicateValues" dxfId="4902" priority="3031"/>
    <cfRule type="duplicateValues" dxfId="4901" priority="3032"/>
    <cfRule type="duplicateValues" dxfId="4900" priority="3033"/>
    <cfRule type="duplicateValues" dxfId="4899" priority="3034"/>
    <cfRule type="duplicateValues" dxfId="4898" priority="3035"/>
    <cfRule type="duplicateValues" dxfId="4897" priority="3036"/>
    <cfRule type="duplicateValues" dxfId="4896" priority="3037"/>
    <cfRule type="duplicateValues" dxfId="4895" priority="3038"/>
    <cfRule type="duplicateValues" dxfId="4894" priority="3039"/>
    <cfRule type="duplicateValues" dxfId="4893" priority="3040"/>
    <cfRule type="duplicateValues" dxfId="4892" priority="3041"/>
    <cfRule type="duplicateValues" dxfId="4891" priority="3042"/>
    <cfRule type="duplicateValues" dxfId="4890" priority="3043"/>
    <cfRule type="duplicateValues" dxfId="4889" priority="3044"/>
    <cfRule type="duplicateValues" dxfId="4888" priority="3045"/>
    <cfRule type="duplicateValues" dxfId="4887" priority="3046"/>
    <cfRule type="duplicateValues" dxfId="4886" priority="3047"/>
    <cfRule type="duplicateValues" dxfId="4885" priority="3048"/>
    <cfRule type="duplicateValues" dxfId="4884" priority="3049"/>
    <cfRule type="duplicateValues" dxfId="4883" priority="3050"/>
    <cfRule type="duplicateValues" dxfId="4882" priority="3051"/>
    <cfRule type="duplicateValues" dxfId="4881" priority="3052"/>
    <cfRule type="duplicateValues" dxfId="4880" priority="3053"/>
    <cfRule type="duplicateValues" dxfId="4879" priority="3054"/>
    <cfRule type="duplicateValues" dxfId="4878" priority="3055"/>
    <cfRule type="duplicateValues" dxfId="4877" priority="3056"/>
    <cfRule type="duplicateValues" dxfId="4876" priority="3057"/>
    <cfRule type="duplicateValues" dxfId="4875" priority="3058"/>
    <cfRule type="duplicateValues" dxfId="4874" priority="3059"/>
    <cfRule type="duplicateValues" dxfId="4873" priority="3060"/>
    <cfRule type="duplicateValues" dxfId="4872" priority="3061"/>
    <cfRule type="duplicateValues" dxfId="4871" priority="3062"/>
    <cfRule type="duplicateValues" dxfId="4870" priority="3063"/>
    <cfRule type="duplicateValues" dxfId="4869" priority="3064"/>
    <cfRule type="duplicateValues" dxfId="4868" priority="3065"/>
    <cfRule type="duplicateValues" dxfId="4867" priority="3066"/>
    <cfRule type="duplicateValues" dxfId="4866" priority="3067"/>
    <cfRule type="duplicateValues" dxfId="4865" priority="3068"/>
    <cfRule type="duplicateValues" dxfId="4864" priority="3069"/>
    <cfRule type="duplicateValues" dxfId="4863" priority="3070"/>
    <cfRule type="duplicateValues" dxfId="4862" priority="3071"/>
    <cfRule type="duplicateValues" dxfId="4861" priority="3072"/>
    <cfRule type="duplicateValues" dxfId="4860" priority="3073"/>
    <cfRule type="duplicateValues" dxfId="4859" priority="3074"/>
    <cfRule type="duplicateValues" dxfId="4858" priority="3075"/>
    <cfRule type="duplicateValues" dxfId="4857" priority="3076"/>
    <cfRule type="duplicateValues" dxfId="4856" priority="3077"/>
    <cfRule type="duplicateValues" dxfId="4855" priority="3078"/>
    <cfRule type="duplicateValues" dxfId="4854" priority="3079"/>
    <cfRule type="duplicateValues" dxfId="4853" priority="3080"/>
    <cfRule type="duplicateValues" dxfId="4852" priority="3081"/>
    <cfRule type="duplicateValues" dxfId="4851" priority="3082"/>
    <cfRule type="duplicateValues" dxfId="4850" priority="3083"/>
    <cfRule type="duplicateValues" dxfId="4849" priority="3084"/>
    <cfRule type="duplicateValues" dxfId="4848" priority="3085"/>
    <cfRule type="duplicateValues" dxfId="4847" priority="3086"/>
    <cfRule type="duplicateValues" dxfId="4846" priority="3087"/>
    <cfRule type="duplicateValues" dxfId="4845" priority="3088"/>
    <cfRule type="duplicateValues" dxfId="4844" priority="3089"/>
    <cfRule type="duplicateValues" dxfId="4843" priority="3090"/>
    <cfRule type="duplicateValues" dxfId="4842" priority="3091"/>
    <cfRule type="duplicateValues" dxfId="4841" priority="3092"/>
    <cfRule type="duplicateValues" dxfId="4840" priority="3093"/>
    <cfRule type="duplicateValues" dxfId="4839" priority="3094"/>
    <cfRule type="duplicateValues" dxfId="4838" priority="3095"/>
    <cfRule type="duplicateValues" dxfId="4837" priority="3096"/>
    <cfRule type="duplicateValues" dxfId="4836" priority="3097"/>
    <cfRule type="duplicateValues" dxfId="4835" priority="3098"/>
    <cfRule type="duplicateValues" dxfId="4834" priority="3099"/>
    <cfRule type="duplicateValues" dxfId="4833" priority="3100"/>
    <cfRule type="duplicateValues" dxfId="4832" priority="3101"/>
    <cfRule type="duplicateValues" dxfId="4831" priority="3102"/>
    <cfRule type="duplicateValues" dxfId="4830" priority="3103"/>
    <cfRule type="duplicateValues" dxfId="4829" priority="3104"/>
    <cfRule type="duplicateValues" dxfId="4828" priority="3105"/>
    <cfRule type="duplicateValues" dxfId="4827" priority="3106"/>
    <cfRule type="duplicateValues" dxfId="4826" priority="3107"/>
    <cfRule type="duplicateValues" dxfId="4825" priority="3108"/>
    <cfRule type="duplicateValues" dxfId="4824" priority="3109"/>
    <cfRule type="duplicateValues" dxfId="4823" priority="3110"/>
    <cfRule type="duplicateValues" dxfId="4822" priority="3111"/>
    <cfRule type="duplicateValues" dxfId="4821" priority="3112"/>
    <cfRule type="duplicateValues" dxfId="4820" priority="3113"/>
    <cfRule type="duplicateValues" dxfId="4819" priority="3114"/>
    <cfRule type="duplicateValues" dxfId="4818" priority="3115"/>
    <cfRule type="duplicateValues" dxfId="4817" priority="3116"/>
    <cfRule type="duplicateValues" dxfId="4816" priority="3117"/>
    <cfRule type="duplicateValues" dxfId="4815" priority="3118"/>
    <cfRule type="duplicateValues" dxfId="4814" priority="3119"/>
    <cfRule type="duplicateValues" dxfId="4813" priority="3120"/>
    <cfRule type="duplicateValues" dxfId="4812" priority="3121"/>
    <cfRule type="duplicateValues" dxfId="4811" priority="3122"/>
    <cfRule type="duplicateValues" dxfId="4810" priority="3123"/>
    <cfRule type="duplicateValues" dxfId="4809" priority="3124"/>
    <cfRule type="duplicateValues" dxfId="4808" priority="3125"/>
    <cfRule type="duplicateValues" dxfId="4807" priority="3126"/>
    <cfRule type="duplicateValues" dxfId="4806" priority="3127"/>
    <cfRule type="duplicateValues" dxfId="4805" priority="3128"/>
    <cfRule type="duplicateValues" dxfId="4804" priority="3129"/>
    <cfRule type="duplicateValues" dxfId="4803" priority="3130"/>
    <cfRule type="duplicateValues" dxfId="4802" priority="3131"/>
    <cfRule type="duplicateValues" dxfId="4801" priority="3132"/>
    <cfRule type="duplicateValues" dxfId="4800" priority="3133"/>
    <cfRule type="duplicateValues" dxfId="4799" priority="3134"/>
    <cfRule type="duplicateValues" dxfId="4798" priority="3135"/>
    <cfRule type="duplicateValues" dxfId="4797" priority="3136"/>
    <cfRule type="duplicateValues" dxfId="4796" priority="3137"/>
    <cfRule type="duplicateValues" dxfId="4795" priority="3138"/>
    <cfRule type="duplicateValues" dxfId="4794" priority="3139"/>
    <cfRule type="duplicateValues" dxfId="4793" priority="3140"/>
    <cfRule type="duplicateValues" dxfId="4792" priority="3141"/>
    <cfRule type="duplicateValues" dxfId="4791" priority="3142"/>
    <cfRule type="duplicateValues" dxfId="4790" priority="3143"/>
    <cfRule type="duplicateValues" dxfId="4789" priority="3144"/>
    <cfRule type="duplicateValues" dxfId="4788" priority="3145"/>
    <cfRule type="duplicateValues" dxfId="4787" priority="3146"/>
    <cfRule type="duplicateValues" dxfId="4786" priority="3147"/>
    <cfRule type="duplicateValues" dxfId="4785" priority="3148"/>
    <cfRule type="duplicateValues" dxfId="4784" priority="3149"/>
    <cfRule type="duplicateValues" dxfId="4783" priority="3150"/>
    <cfRule type="duplicateValues" dxfId="4782" priority="3151"/>
    <cfRule type="duplicateValues" dxfId="4781" priority="3152"/>
    <cfRule type="duplicateValues" dxfId="4780" priority="3153"/>
    <cfRule type="duplicateValues" dxfId="4779" priority="3154"/>
    <cfRule type="duplicateValues" dxfId="4778" priority="3155"/>
    <cfRule type="duplicateValues" dxfId="4777" priority="3156"/>
    <cfRule type="duplicateValues" dxfId="4776" priority="3157"/>
    <cfRule type="duplicateValues" dxfId="4775" priority="3158"/>
    <cfRule type="duplicateValues" dxfId="4774" priority="3159"/>
    <cfRule type="duplicateValues" dxfId="4773" priority="3160"/>
    <cfRule type="duplicateValues" dxfId="4772" priority="3161"/>
    <cfRule type="duplicateValues" dxfId="4771" priority="3162"/>
    <cfRule type="duplicateValues" dxfId="4770" priority="3163"/>
    <cfRule type="duplicateValues" dxfId="4769" priority="3164"/>
    <cfRule type="duplicateValues" dxfId="4768" priority="3165"/>
    <cfRule type="duplicateValues" dxfId="4767" priority="3166"/>
    <cfRule type="duplicateValues" dxfId="4766" priority="3167"/>
    <cfRule type="duplicateValues" dxfId="4765" priority="3168"/>
    <cfRule type="duplicateValues" dxfId="4764" priority="3169"/>
    <cfRule type="duplicateValues" dxfId="4763" priority="3170"/>
    <cfRule type="duplicateValues" dxfId="4762" priority="3171"/>
    <cfRule type="duplicateValues" dxfId="4761" priority="3172"/>
    <cfRule type="duplicateValues" dxfId="4760" priority="3173"/>
    <cfRule type="duplicateValues" dxfId="4759" priority="3174"/>
    <cfRule type="duplicateValues" dxfId="4758" priority="3175"/>
    <cfRule type="duplicateValues" dxfId="4757" priority="3176"/>
    <cfRule type="duplicateValues" dxfId="4756" priority="3177"/>
    <cfRule type="duplicateValues" dxfId="4755" priority="3178"/>
    <cfRule type="duplicateValues" dxfId="4754" priority="3179"/>
    <cfRule type="duplicateValues" dxfId="4753" priority="3180"/>
    <cfRule type="duplicateValues" dxfId="4752" priority="3181"/>
    <cfRule type="duplicateValues" dxfId="4751" priority="3182"/>
    <cfRule type="duplicateValues" dxfId="4750" priority="3183"/>
    <cfRule type="duplicateValues" dxfId="4749" priority="3184"/>
    <cfRule type="duplicateValues" dxfId="4748" priority="3185"/>
    <cfRule type="duplicateValues" dxfId="4747" priority="3186"/>
    <cfRule type="duplicateValues" dxfId="4746" priority="3187"/>
    <cfRule type="duplicateValues" dxfId="4745" priority="3188"/>
    <cfRule type="duplicateValues" dxfId="4744" priority="3189"/>
    <cfRule type="duplicateValues" dxfId="4743" priority="3190"/>
    <cfRule type="duplicateValues" dxfId="4742" priority="3191"/>
    <cfRule type="duplicateValues" dxfId="4741" priority="3192"/>
    <cfRule type="duplicateValues" dxfId="4740" priority="3193"/>
    <cfRule type="duplicateValues" dxfId="4739" priority="3194"/>
    <cfRule type="duplicateValues" dxfId="4738" priority="3195"/>
    <cfRule type="duplicateValues" dxfId="4737" priority="3196"/>
    <cfRule type="duplicateValues" dxfId="4736" priority="3197"/>
    <cfRule type="duplicateValues" dxfId="4735" priority="3198"/>
    <cfRule type="duplicateValues" dxfId="4734" priority="3199"/>
    <cfRule type="duplicateValues" dxfId="4733" priority="3200"/>
    <cfRule type="duplicateValues" dxfId="4732" priority="3201"/>
    <cfRule type="duplicateValues" dxfId="4731" priority="3202"/>
    <cfRule type="duplicateValues" dxfId="4730" priority="3203"/>
    <cfRule type="duplicateValues" dxfId="4729" priority="3204"/>
    <cfRule type="duplicateValues" dxfId="4728" priority="3205"/>
    <cfRule type="duplicateValues" dxfId="4727" priority="3206"/>
    <cfRule type="duplicateValues" dxfId="4726" priority="3207"/>
    <cfRule type="duplicateValues" dxfId="4725" priority="3208"/>
    <cfRule type="duplicateValues" dxfId="4724" priority="3209"/>
    <cfRule type="duplicateValues" dxfId="4723" priority="3210"/>
    <cfRule type="duplicateValues" dxfId="4722" priority="3211"/>
    <cfRule type="duplicateValues" dxfId="4721" priority="3212"/>
    <cfRule type="duplicateValues" dxfId="4720" priority="3213"/>
    <cfRule type="duplicateValues" dxfId="4719" priority="3214"/>
    <cfRule type="duplicateValues" dxfId="4718" priority="3215"/>
    <cfRule type="duplicateValues" dxfId="4717" priority="3216"/>
    <cfRule type="duplicateValues" dxfId="4716" priority="3217"/>
    <cfRule type="duplicateValues" dxfId="4715" priority="3218"/>
    <cfRule type="duplicateValues" dxfId="4714" priority="3219"/>
    <cfRule type="duplicateValues" dxfId="4713" priority="3220"/>
    <cfRule type="duplicateValues" dxfId="4712" priority="3221"/>
    <cfRule type="duplicateValues" dxfId="4711" priority="3222"/>
    <cfRule type="duplicateValues" dxfId="4710" priority="3223"/>
    <cfRule type="duplicateValues" dxfId="4709" priority="3224"/>
    <cfRule type="duplicateValues" dxfId="4708" priority="3225"/>
    <cfRule type="duplicateValues" dxfId="4707" priority="3226"/>
    <cfRule type="duplicateValues" dxfId="4706" priority="3227"/>
    <cfRule type="duplicateValues" dxfId="4705" priority="3228"/>
    <cfRule type="duplicateValues" dxfId="4704" priority="3229"/>
    <cfRule type="duplicateValues" dxfId="4703" priority="3230"/>
    <cfRule type="duplicateValues" dxfId="4702" priority="3231"/>
    <cfRule type="duplicateValues" dxfId="4701" priority="3232"/>
    <cfRule type="duplicateValues" dxfId="4700" priority="3233"/>
    <cfRule type="duplicateValues" dxfId="4699" priority="3234"/>
    <cfRule type="duplicateValues" dxfId="4698" priority="3235"/>
    <cfRule type="duplicateValues" dxfId="4697" priority="3236"/>
    <cfRule type="duplicateValues" dxfId="4696" priority="3237"/>
    <cfRule type="duplicateValues" dxfId="4695" priority="3238"/>
    <cfRule type="duplicateValues" dxfId="4694" priority="3239"/>
    <cfRule type="duplicateValues" dxfId="4693" priority="3240"/>
    <cfRule type="duplicateValues" dxfId="4692" priority="3241"/>
    <cfRule type="duplicateValues" dxfId="4691" priority="3242"/>
    <cfRule type="duplicateValues" dxfId="4690" priority="3243"/>
    <cfRule type="duplicateValues" dxfId="4689" priority="3244"/>
    <cfRule type="duplicateValues" dxfId="4688" priority="3245"/>
    <cfRule type="duplicateValues" dxfId="4687" priority="3246"/>
    <cfRule type="duplicateValues" dxfId="4686" priority="3247"/>
    <cfRule type="duplicateValues" dxfId="4685" priority="3248"/>
    <cfRule type="duplicateValues" dxfId="4684" priority="3249"/>
    <cfRule type="duplicateValues" dxfId="4683" priority="3250"/>
    <cfRule type="duplicateValues" dxfId="4682" priority="3251"/>
    <cfRule type="duplicateValues" dxfId="4681" priority="3252"/>
    <cfRule type="duplicateValues" dxfId="4680" priority="3253"/>
    <cfRule type="duplicateValues" dxfId="4679" priority="3254"/>
    <cfRule type="duplicateValues" dxfId="4678" priority="3255"/>
    <cfRule type="duplicateValues" dxfId="4677" priority="3256"/>
    <cfRule type="duplicateValues" dxfId="4676" priority="3257"/>
    <cfRule type="duplicateValues" dxfId="4675" priority="3258"/>
    <cfRule type="duplicateValues" dxfId="4674" priority="3259"/>
    <cfRule type="duplicateValues" dxfId="4673" priority="3260"/>
    <cfRule type="duplicateValues" dxfId="4672" priority="3261"/>
    <cfRule type="duplicateValues" dxfId="4671" priority="3262"/>
    <cfRule type="duplicateValues" dxfId="4670" priority="3263"/>
    <cfRule type="duplicateValues" dxfId="4669" priority="3264"/>
    <cfRule type="duplicateValues" dxfId="4668" priority="3265"/>
    <cfRule type="duplicateValues" dxfId="4667" priority="3266"/>
    <cfRule type="duplicateValues" dxfId="4666" priority="3267"/>
    <cfRule type="duplicateValues" dxfId="4665" priority="3268"/>
    <cfRule type="duplicateValues" dxfId="4664" priority="3269"/>
    <cfRule type="duplicateValues" dxfId="4663" priority="3270"/>
    <cfRule type="duplicateValues" dxfId="4662" priority="3271"/>
    <cfRule type="duplicateValues" dxfId="4661" priority="3272"/>
    <cfRule type="duplicateValues" dxfId="4660" priority="3273"/>
    <cfRule type="duplicateValues" dxfId="4659" priority="3274"/>
    <cfRule type="duplicateValues" dxfId="4658" priority="3275"/>
    <cfRule type="duplicateValues" dxfId="4657" priority="3276"/>
    <cfRule type="duplicateValues" dxfId="4656" priority="3277"/>
    <cfRule type="duplicateValues" dxfId="4655" priority="3278"/>
    <cfRule type="duplicateValues" dxfId="4654" priority="3279"/>
    <cfRule type="duplicateValues" dxfId="4653" priority="3280"/>
    <cfRule type="duplicateValues" dxfId="4652" priority="3281"/>
    <cfRule type="duplicateValues" dxfId="4651" priority="3282"/>
    <cfRule type="duplicateValues" dxfId="4650" priority="3283"/>
    <cfRule type="duplicateValues" dxfId="4649" priority="3284"/>
    <cfRule type="duplicateValues" dxfId="4648" priority="3285"/>
    <cfRule type="duplicateValues" dxfId="4647" priority="3286"/>
    <cfRule type="duplicateValues" dxfId="4646" priority="3287"/>
    <cfRule type="duplicateValues" dxfId="4645" priority="3288"/>
    <cfRule type="duplicateValues" dxfId="4644" priority="3289"/>
    <cfRule type="duplicateValues" dxfId="4643" priority="3290"/>
    <cfRule type="duplicateValues" dxfId="4642" priority="3291"/>
    <cfRule type="duplicateValues" dxfId="4641" priority="3292"/>
    <cfRule type="duplicateValues" dxfId="4640" priority="3293"/>
    <cfRule type="duplicateValues" dxfId="4639" priority="3294"/>
    <cfRule type="duplicateValues" dxfId="4638" priority="3295"/>
    <cfRule type="duplicateValues" dxfId="4637" priority="3296"/>
    <cfRule type="duplicateValues" dxfId="4636" priority="3297"/>
    <cfRule type="duplicateValues" dxfId="4635" priority="3298"/>
    <cfRule type="duplicateValues" dxfId="4634" priority="3299"/>
    <cfRule type="duplicateValues" dxfId="4633" priority="3300"/>
    <cfRule type="duplicateValues" dxfId="4632" priority="3301"/>
    <cfRule type="duplicateValues" dxfId="4631" priority="3302"/>
    <cfRule type="duplicateValues" dxfId="4630" priority="3303"/>
    <cfRule type="duplicateValues" dxfId="4629" priority="3304"/>
    <cfRule type="duplicateValues" dxfId="4628" priority="3305"/>
    <cfRule type="duplicateValues" dxfId="4627" priority="3306"/>
    <cfRule type="duplicateValues" dxfId="4626" priority="3307"/>
    <cfRule type="duplicateValues" dxfId="4625" priority="3308"/>
    <cfRule type="duplicateValues" dxfId="4624" priority="3309"/>
    <cfRule type="duplicateValues" dxfId="4623" priority="3310"/>
    <cfRule type="duplicateValues" dxfId="4622" priority="3311"/>
    <cfRule type="duplicateValues" dxfId="4621" priority="3312"/>
    <cfRule type="duplicateValues" dxfId="4620" priority="3313"/>
    <cfRule type="duplicateValues" dxfId="4619" priority="3314"/>
    <cfRule type="duplicateValues" dxfId="4618" priority="3315"/>
    <cfRule type="duplicateValues" dxfId="4617" priority="3316"/>
    <cfRule type="duplicateValues" dxfId="4616" priority="3317"/>
    <cfRule type="duplicateValues" dxfId="4615" priority="3318"/>
    <cfRule type="duplicateValues" dxfId="4614" priority="3319"/>
    <cfRule type="duplicateValues" dxfId="4613" priority="3320"/>
    <cfRule type="duplicateValues" dxfId="4612" priority="3321"/>
    <cfRule type="duplicateValues" dxfId="4611" priority="3322"/>
    <cfRule type="duplicateValues" dxfId="4610" priority="3323"/>
    <cfRule type="duplicateValues" dxfId="4609" priority="3324"/>
    <cfRule type="duplicateValues" dxfId="4608" priority="3325"/>
    <cfRule type="duplicateValues" dxfId="4607" priority="3326"/>
    <cfRule type="duplicateValues" dxfId="4606" priority="3327"/>
    <cfRule type="duplicateValues" dxfId="4605" priority="3328"/>
    <cfRule type="duplicateValues" dxfId="4604" priority="3329"/>
    <cfRule type="duplicateValues" dxfId="4603" priority="3330"/>
    <cfRule type="duplicateValues" dxfId="4602" priority="3331"/>
    <cfRule type="duplicateValues" dxfId="4601" priority="3332"/>
    <cfRule type="duplicateValues" dxfId="4600" priority="3333"/>
    <cfRule type="duplicateValues" dxfId="4599" priority="3334"/>
    <cfRule type="duplicateValues" dxfId="4598" priority="3335"/>
    <cfRule type="duplicateValues" dxfId="4597" priority="3336"/>
    <cfRule type="duplicateValues" dxfId="4596" priority="3337"/>
    <cfRule type="duplicateValues" dxfId="4595" priority="3338"/>
    <cfRule type="duplicateValues" dxfId="4594" priority="3339"/>
    <cfRule type="duplicateValues" dxfId="4593" priority="3340"/>
    <cfRule type="duplicateValues" dxfId="4592" priority="3341"/>
    <cfRule type="duplicateValues" dxfId="4591" priority="3342"/>
  </conditionalFormatting>
  <conditionalFormatting sqref="C290:C291">
    <cfRule type="duplicateValues" dxfId="4590" priority="2653"/>
    <cfRule type="duplicateValues" dxfId="4589" priority="2654"/>
    <cfRule type="duplicateValues" dxfId="4588" priority="2655"/>
    <cfRule type="duplicateValues" dxfId="4587" priority="2656"/>
    <cfRule type="duplicateValues" dxfId="4586" priority="2657"/>
    <cfRule type="duplicateValues" dxfId="4585" priority="2658"/>
    <cfRule type="duplicateValues" dxfId="4584" priority="2659"/>
    <cfRule type="duplicateValues" dxfId="4583" priority="2660"/>
    <cfRule type="duplicateValues" dxfId="4582" priority="2661"/>
    <cfRule type="duplicateValues" dxfId="4581" priority="2662"/>
    <cfRule type="duplicateValues" dxfId="4580" priority="2663"/>
    <cfRule type="duplicateValues" dxfId="4579" priority="2664"/>
    <cfRule type="duplicateValues" dxfId="4578" priority="2665"/>
    <cfRule type="duplicateValues" dxfId="4577" priority="2666"/>
    <cfRule type="duplicateValues" dxfId="4576" priority="2667"/>
    <cfRule type="duplicateValues" dxfId="4575" priority="2668"/>
    <cfRule type="duplicateValues" dxfId="4574" priority="2669"/>
    <cfRule type="duplicateValues" dxfId="4573" priority="2670"/>
    <cfRule type="duplicateValues" dxfId="4572" priority="2671"/>
    <cfRule type="duplicateValues" dxfId="4571" priority="2672"/>
    <cfRule type="duplicateValues" dxfId="4570" priority="2673"/>
    <cfRule type="duplicateValues" dxfId="4569" priority="2674"/>
    <cfRule type="duplicateValues" dxfId="4568" priority="2675"/>
    <cfRule type="duplicateValues" dxfId="4567" priority="2676"/>
    <cfRule type="duplicateValues" dxfId="4566" priority="2677"/>
    <cfRule type="duplicateValues" dxfId="4565" priority="2678"/>
    <cfRule type="duplicateValues" dxfId="4564" priority="2679"/>
    <cfRule type="duplicateValues" dxfId="4563" priority="2680"/>
    <cfRule type="duplicateValues" dxfId="4562" priority="2681"/>
    <cfRule type="duplicateValues" dxfId="4561" priority="2682"/>
    <cfRule type="duplicateValues" dxfId="4560" priority="2683"/>
    <cfRule type="duplicateValues" dxfId="4559" priority="2684"/>
    <cfRule type="duplicateValues" dxfId="4558" priority="2685"/>
    <cfRule type="duplicateValues" dxfId="4557" priority="2686"/>
    <cfRule type="duplicateValues" dxfId="4556" priority="2687"/>
    <cfRule type="duplicateValues" dxfId="4555" priority="2688"/>
    <cfRule type="duplicateValues" dxfId="4554" priority="2689"/>
    <cfRule type="duplicateValues" dxfId="4553" priority="2690"/>
    <cfRule type="duplicateValues" dxfId="4552" priority="2691"/>
    <cfRule type="duplicateValues" dxfId="4551" priority="2692"/>
    <cfRule type="duplicateValues" dxfId="4550" priority="2693"/>
    <cfRule type="duplicateValues" dxfId="4549" priority="2694"/>
    <cfRule type="duplicateValues" dxfId="4548" priority="2695"/>
    <cfRule type="duplicateValues" dxfId="4547" priority="2696"/>
    <cfRule type="duplicateValues" dxfId="4546" priority="2697"/>
    <cfRule type="duplicateValues" dxfId="4545" priority="2698"/>
    <cfRule type="duplicateValues" dxfId="4544" priority="2699"/>
    <cfRule type="duplicateValues" dxfId="4543" priority="2700"/>
    <cfRule type="duplicateValues" dxfId="4542" priority="2701"/>
    <cfRule type="duplicateValues" dxfId="4541" priority="2702"/>
    <cfRule type="duplicateValues" dxfId="4540" priority="2703"/>
    <cfRule type="duplicateValues" dxfId="4539" priority="2704"/>
    <cfRule type="duplicateValues" dxfId="4538" priority="2705"/>
    <cfRule type="duplicateValues" dxfId="4537" priority="2706"/>
    <cfRule type="duplicateValues" dxfId="4536" priority="2707"/>
    <cfRule type="duplicateValues" dxfId="4535" priority="2708"/>
    <cfRule type="duplicateValues" dxfId="4534" priority="2709"/>
    <cfRule type="duplicateValues" dxfId="4533" priority="2710"/>
    <cfRule type="duplicateValues" dxfId="4532" priority="2711"/>
    <cfRule type="duplicateValues" dxfId="4531" priority="2712"/>
    <cfRule type="duplicateValues" dxfId="4530" priority="2713"/>
    <cfRule type="duplicateValues" dxfId="4529" priority="2714"/>
    <cfRule type="duplicateValues" dxfId="4528" priority="2715"/>
    <cfRule type="duplicateValues" dxfId="4527" priority="2716"/>
    <cfRule type="duplicateValues" dxfId="4526" priority="2717"/>
    <cfRule type="duplicateValues" dxfId="4525" priority="2718"/>
    <cfRule type="duplicateValues" dxfId="4524" priority="2719"/>
    <cfRule type="duplicateValues" dxfId="4523" priority="2720"/>
    <cfRule type="duplicateValues" dxfId="4522" priority="2721"/>
    <cfRule type="duplicateValues" dxfId="4521" priority="2722"/>
    <cfRule type="duplicateValues" dxfId="4520" priority="2723"/>
    <cfRule type="duplicateValues" dxfId="4519" priority="2724"/>
    <cfRule type="duplicateValues" dxfId="4518" priority="2725"/>
    <cfRule type="duplicateValues" dxfId="4517" priority="2726"/>
    <cfRule type="duplicateValues" dxfId="4516" priority="2727"/>
    <cfRule type="duplicateValues" dxfId="4515" priority="2728"/>
    <cfRule type="duplicateValues" dxfId="4514" priority="2729"/>
    <cfRule type="duplicateValues" dxfId="4513" priority="2730"/>
    <cfRule type="duplicateValues" dxfId="4512" priority="2731"/>
    <cfRule type="duplicateValues" dxfId="4511" priority="2732"/>
    <cfRule type="duplicateValues" dxfId="4510" priority="2733"/>
    <cfRule type="duplicateValues" dxfId="4509" priority="2734"/>
    <cfRule type="duplicateValues" dxfId="4508" priority="2735"/>
    <cfRule type="duplicateValues" dxfId="4507" priority="2736"/>
    <cfRule type="duplicateValues" dxfId="4506" priority="2737"/>
    <cfRule type="duplicateValues" dxfId="4505" priority="2738"/>
    <cfRule type="duplicateValues" dxfId="4504" priority="2739"/>
    <cfRule type="duplicateValues" dxfId="4503" priority="2740"/>
    <cfRule type="duplicateValues" dxfId="4502" priority="2741"/>
    <cfRule type="duplicateValues" dxfId="4501" priority="2742"/>
    <cfRule type="duplicateValues" dxfId="4500" priority="2743"/>
    <cfRule type="duplicateValues" dxfId="4499" priority="2744"/>
    <cfRule type="duplicateValues" dxfId="4498" priority="2745"/>
    <cfRule type="duplicateValues" dxfId="4497" priority="2746"/>
    <cfRule type="duplicateValues" dxfId="4496" priority="2747"/>
    <cfRule type="duplicateValues" dxfId="4495" priority="2748"/>
    <cfRule type="duplicateValues" dxfId="4494" priority="2749"/>
    <cfRule type="duplicateValues" dxfId="4493" priority="2750"/>
    <cfRule type="duplicateValues" dxfId="4492" priority="2751"/>
    <cfRule type="duplicateValues" dxfId="4491" priority="2752"/>
    <cfRule type="duplicateValues" dxfId="4490" priority="2753"/>
    <cfRule type="duplicateValues" dxfId="4489" priority="2754"/>
    <cfRule type="duplicateValues" dxfId="4488" priority="2755"/>
    <cfRule type="duplicateValues" dxfId="4487" priority="2756"/>
    <cfRule type="duplicateValues" dxfId="4486" priority="2757"/>
    <cfRule type="duplicateValues" dxfId="4485" priority="2758"/>
    <cfRule type="duplicateValues" dxfId="4484" priority="2759"/>
    <cfRule type="duplicateValues" dxfId="4483" priority="2760"/>
    <cfRule type="duplicateValues" dxfId="4482" priority="2761"/>
    <cfRule type="duplicateValues" dxfId="4481" priority="2762"/>
    <cfRule type="duplicateValues" dxfId="4480" priority="2763"/>
    <cfRule type="duplicateValues" dxfId="4479" priority="2764"/>
    <cfRule type="duplicateValues" dxfId="4478" priority="2765"/>
    <cfRule type="duplicateValues" dxfId="4477" priority="2766"/>
    <cfRule type="duplicateValues" dxfId="4476" priority="2767"/>
    <cfRule type="duplicateValues" dxfId="4475" priority="2768"/>
    <cfRule type="duplicateValues" dxfId="4474" priority="2769"/>
    <cfRule type="duplicateValues" dxfId="4473" priority="2770"/>
    <cfRule type="duplicateValues" dxfId="4472" priority="2771"/>
    <cfRule type="duplicateValues" dxfId="4471" priority="2772"/>
    <cfRule type="duplicateValues" dxfId="4470" priority="2773"/>
    <cfRule type="duplicateValues" dxfId="4469" priority="2774"/>
    <cfRule type="duplicateValues" dxfId="4468" priority="2775"/>
    <cfRule type="duplicateValues" dxfId="4467" priority="2776"/>
    <cfRule type="duplicateValues" dxfId="4466" priority="2777"/>
    <cfRule type="duplicateValues" dxfId="4465" priority="2778"/>
    <cfRule type="duplicateValues" dxfId="4464" priority="2779"/>
    <cfRule type="duplicateValues" dxfId="4463" priority="2780"/>
    <cfRule type="duplicateValues" dxfId="4462" priority="2781"/>
    <cfRule type="duplicateValues" dxfId="4461" priority="2782"/>
    <cfRule type="duplicateValues" dxfId="4460" priority="2783"/>
    <cfRule type="duplicateValues" dxfId="4459" priority="2784"/>
    <cfRule type="duplicateValues" dxfId="4458" priority="2785"/>
    <cfRule type="duplicateValues" dxfId="4457" priority="2786"/>
    <cfRule type="duplicateValues" dxfId="4456" priority="2787"/>
    <cfRule type="duplicateValues" dxfId="4455" priority="2788"/>
    <cfRule type="duplicateValues" dxfId="4454" priority="2789"/>
    <cfRule type="duplicateValues" dxfId="4453" priority="2790"/>
    <cfRule type="duplicateValues" dxfId="4452" priority="2791"/>
    <cfRule type="duplicateValues" dxfId="4451" priority="2792"/>
    <cfRule type="duplicateValues" dxfId="4450" priority="2793"/>
    <cfRule type="duplicateValues" dxfId="4449" priority="2794"/>
    <cfRule type="duplicateValues" dxfId="4448" priority="2795"/>
    <cfRule type="duplicateValues" dxfId="4447" priority="2796"/>
    <cfRule type="duplicateValues" dxfId="4446" priority="2797"/>
    <cfRule type="duplicateValues" dxfId="4445" priority="2798"/>
    <cfRule type="duplicateValues" dxfId="4444" priority="2799"/>
    <cfRule type="duplicateValues" dxfId="4443" priority="2800"/>
    <cfRule type="duplicateValues" dxfId="4442" priority="2801"/>
    <cfRule type="duplicateValues" dxfId="4441" priority="2802"/>
    <cfRule type="duplicateValues" dxfId="4440" priority="2803"/>
    <cfRule type="duplicateValues" dxfId="4439" priority="2804"/>
    <cfRule type="duplicateValues" dxfId="4438" priority="2805"/>
    <cfRule type="duplicateValues" dxfId="4437" priority="2806"/>
    <cfRule type="duplicateValues" dxfId="4436" priority="2807"/>
    <cfRule type="duplicateValues" dxfId="4435" priority="2808"/>
    <cfRule type="duplicateValues" dxfId="4434" priority="2809"/>
    <cfRule type="duplicateValues" dxfId="4433" priority="2810"/>
    <cfRule type="duplicateValues" dxfId="4432" priority="2811"/>
    <cfRule type="duplicateValues" dxfId="4431" priority="2812"/>
    <cfRule type="duplicateValues" dxfId="4430" priority="2813"/>
    <cfRule type="duplicateValues" dxfId="4429" priority="2814"/>
    <cfRule type="duplicateValues" dxfId="4428" priority="2815"/>
    <cfRule type="duplicateValues" dxfId="4427" priority="2816"/>
    <cfRule type="duplicateValues" dxfId="4426" priority="2817"/>
    <cfRule type="duplicateValues" dxfId="4425" priority="2818"/>
    <cfRule type="duplicateValues" dxfId="4424" priority="2819"/>
    <cfRule type="duplicateValues" dxfId="4423" priority="2820"/>
    <cfRule type="duplicateValues" dxfId="4422" priority="2821"/>
    <cfRule type="duplicateValues" dxfId="4421" priority="2822"/>
    <cfRule type="duplicateValues" dxfId="4420" priority="2823"/>
    <cfRule type="duplicateValues" dxfId="4419" priority="2824"/>
    <cfRule type="duplicateValues" dxfId="4418" priority="2825"/>
    <cfRule type="duplicateValues" dxfId="4417" priority="2826"/>
    <cfRule type="duplicateValues" dxfId="4416" priority="2827"/>
    <cfRule type="duplicateValues" dxfId="4415" priority="2828"/>
    <cfRule type="duplicateValues" dxfId="4414" priority="2829"/>
    <cfRule type="duplicateValues" dxfId="4413" priority="2830"/>
    <cfRule type="duplicateValues" dxfId="4412" priority="2831"/>
    <cfRule type="duplicateValues" dxfId="4411" priority="2832"/>
    <cfRule type="duplicateValues" dxfId="4410" priority="2833"/>
    <cfRule type="duplicateValues" dxfId="4409" priority="2834"/>
    <cfRule type="duplicateValues" dxfId="4408" priority="2835"/>
    <cfRule type="duplicateValues" dxfId="4407" priority="2836"/>
    <cfRule type="duplicateValues" dxfId="4406" priority="2837"/>
    <cfRule type="duplicateValues" dxfId="4405" priority="2838"/>
    <cfRule type="duplicateValues" dxfId="4404" priority="2839"/>
    <cfRule type="duplicateValues" dxfId="4403" priority="2840"/>
    <cfRule type="duplicateValues" dxfId="4402" priority="2841"/>
    <cfRule type="duplicateValues" dxfId="4401" priority="2842"/>
    <cfRule type="duplicateValues" dxfId="4400" priority="2843"/>
    <cfRule type="duplicateValues" dxfId="4399" priority="2844"/>
    <cfRule type="duplicateValues" dxfId="4398" priority="2845"/>
    <cfRule type="duplicateValues" dxfId="4397" priority="2846"/>
    <cfRule type="duplicateValues" dxfId="4396" priority="2847"/>
    <cfRule type="duplicateValues" dxfId="4395" priority="2848"/>
    <cfRule type="duplicateValues" dxfId="4394" priority="2849"/>
    <cfRule type="duplicateValues" dxfId="4393" priority="2850"/>
    <cfRule type="duplicateValues" dxfId="4392" priority="2851"/>
    <cfRule type="duplicateValues" dxfId="4391" priority="2852"/>
    <cfRule type="duplicateValues" dxfId="4390" priority="2853"/>
    <cfRule type="duplicateValues" dxfId="4389" priority="2854"/>
    <cfRule type="duplicateValues" dxfId="4388" priority="2855"/>
    <cfRule type="duplicateValues" dxfId="4387" priority="2856"/>
    <cfRule type="duplicateValues" dxfId="4386" priority="2857"/>
    <cfRule type="duplicateValues" dxfId="4385" priority="2858"/>
    <cfRule type="duplicateValues" dxfId="4384" priority="2859"/>
    <cfRule type="duplicateValues" dxfId="4383" priority="2860"/>
    <cfRule type="duplicateValues" dxfId="4382" priority="2861"/>
    <cfRule type="duplicateValues" dxfId="4381" priority="2862"/>
    <cfRule type="duplicateValues" dxfId="4380" priority="2863"/>
    <cfRule type="duplicateValues" dxfId="4379" priority="2864"/>
    <cfRule type="duplicateValues" dxfId="4378" priority="2865"/>
    <cfRule type="duplicateValues" dxfId="4377" priority="2866"/>
    <cfRule type="duplicateValues" dxfId="4376" priority="2867"/>
    <cfRule type="duplicateValues" dxfId="4375" priority="2868"/>
    <cfRule type="duplicateValues" dxfId="4374" priority="2869"/>
    <cfRule type="duplicateValues" dxfId="4373" priority="2870"/>
    <cfRule type="duplicateValues" dxfId="4372" priority="2871"/>
    <cfRule type="duplicateValues" dxfId="4371" priority="2872"/>
    <cfRule type="duplicateValues" dxfId="4370" priority="2873"/>
    <cfRule type="duplicateValues" dxfId="4369" priority="2874"/>
    <cfRule type="duplicateValues" dxfId="4368" priority="2875"/>
    <cfRule type="duplicateValues" dxfId="4367" priority="2876"/>
    <cfRule type="duplicateValues" dxfId="4366" priority="2877"/>
    <cfRule type="duplicateValues" dxfId="4365" priority="2878"/>
    <cfRule type="duplicateValues" dxfId="4364" priority="2879"/>
    <cfRule type="duplicateValues" dxfId="4363" priority="2880"/>
    <cfRule type="duplicateValues" dxfId="4362" priority="2881"/>
    <cfRule type="duplicateValues" dxfId="4361" priority="2882"/>
    <cfRule type="duplicateValues" dxfId="4360" priority="2883"/>
    <cfRule type="duplicateValues" dxfId="4359" priority="2884"/>
    <cfRule type="duplicateValues" dxfId="4358" priority="2885"/>
    <cfRule type="duplicateValues" dxfId="4357" priority="2886"/>
    <cfRule type="duplicateValues" dxfId="4356" priority="2887"/>
    <cfRule type="duplicateValues" dxfId="4355" priority="2888"/>
    <cfRule type="duplicateValues" dxfId="4354" priority="2889"/>
    <cfRule type="duplicateValues" dxfId="4353" priority="2890"/>
    <cfRule type="duplicateValues" dxfId="4352" priority="2891"/>
    <cfRule type="duplicateValues" dxfId="4351" priority="2892"/>
    <cfRule type="duplicateValues" dxfId="4350" priority="2893"/>
    <cfRule type="duplicateValues" dxfId="4349" priority="2894"/>
    <cfRule type="duplicateValues" dxfId="4348" priority="2895"/>
    <cfRule type="duplicateValues" dxfId="4347" priority="2896"/>
    <cfRule type="duplicateValues" dxfId="4346" priority="2897"/>
    <cfRule type="duplicateValues" dxfId="4345" priority="2898"/>
    <cfRule type="duplicateValues" dxfId="4344" priority="2899"/>
    <cfRule type="duplicateValues" dxfId="4343" priority="2900"/>
    <cfRule type="duplicateValues" dxfId="4342" priority="2901"/>
    <cfRule type="duplicateValues" dxfId="4341" priority="2902"/>
    <cfRule type="duplicateValues" dxfId="4340" priority="2903"/>
    <cfRule type="duplicateValues" dxfId="4339" priority="2904"/>
    <cfRule type="duplicateValues" dxfId="4338" priority="2905"/>
    <cfRule type="duplicateValues" dxfId="4337" priority="2906"/>
    <cfRule type="duplicateValues" dxfId="4336" priority="2907"/>
    <cfRule type="duplicateValues" dxfId="4335" priority="2908"/>
    <cfRule type="duplicateValues" dxfId="4334" priority="2909"/>
    <cfRule type="duplicateValues" dxfId="4333" priority="2910"/>
    <cfRule type="duplicateValues" dxfId="4332" priority="2911"/>
    <cfRule type="duplicateValues" dxfId="4331" priority="2912"/>
    <cfRule type="duplicateValues" dxfId="4330" priority="2913"/>
    <cfRule type="duplicateValues" dxfId="4329" priority="2914"/>
    <cfRule type="duplicateValues" dxfId="4328" priority="2915"/>
    <cfRule type="duplicateValues" dxfId="4327" priority="2916"/>
    <cfRule type="duplicateValues" dxfId="4326" priority="2917"/>
    <cfRule type="duplicateValues" dxfId="4325" priority="2918"/>
    <cfRule type="duplicateValues" dxfId="4324" priority="2919"/>
    <cfRule type="duplicateValues" dxfId="4323" priority="2920"/>
    <cfRule type="duplicateValues" dxfId="4322" priority="2921"/>
    <cfRule type="duplicateValues" dxfId="4321" priority="2922"/>
    <cfRule type="duplicateValues" dxfId="4320" priority="2923"/>
    <cfRule type="duplicateValues" dxfId="4319" priority="2924"/>
    <cfRule type="duplicateValues" dxfId="4318" priority="2925"/>
    <cfRule type="duplicateValues" dxfId="4317" priority="2926"/>
    <cfRule type="duplicateValues" dxfId="4316" priority="2927"/>
    <cfRule type="duplicateValues" dxfId="4315" priority="2928"/>
    <cfRule type="duplicateValues" dxfId="4314" priority="2929"/>
    <cfRule type="duplicateValues" dxfId="4313" priority="2930"/>
    <cfRule type="duplicateValues" dxfId="4312" priority="2931"/>
    <cfRule type="duplicateValues" dxfId="4311" priority="2932"/>
    <cfRule type="duplicateValues" dxfId="4310" priority="2933"/>
    <cfRule type="duplicateValues" dxfId="4309" priority="2934"/>
    <cfRule type="duplicateValues" dxfId="4308" priority="2935"/>
    <cfRule type="duplicateValues" dxfId="4307" priority="2936"/>
    <cfRule type="duplicateValues" dxfId="4306" priority="2937"/>
    <cfRule type="duplicateValues" dxfId="4305" priority="2938"/>
    <cfRule type="duplicateValues" dxfId="4304" priority="2939"/>
    <cfRule type="duplicateValues" dxfId="4303" priority="2940"/>
    <cfRule type="duplicateValues" dxfId="4302" priority="2941"/>
    <cfRule type="duplicateValues" dxfId="4301" priority="2942"/>
    <cfRule type="duplicateValues" dxfId="4300" priority="2943"/>
    <cfRule type="duplicateValues" dxfId="4299" priority="2944"/>
    <cfRule type="duplicateValues" dxfId="4298" priority="2945"/>
    <cfRule type="duplicateValues" dxfId="4297" priority="2946"/>
    <cfRule type="duplicateValues" dxfId="4296" priority="2947"/>
    <cfRule type="duplicateValues" dxfId="4295" priority="2948"/>
    <cfRule type="duplicateValues" dxfId="4294" priority="2949"/>
    <cfRule type="duplicateValues" dxfId="4293" priority="2950"/>
    <cfRule type="duplicateValues" dxfId="4292" priority="2951"/>
    <cfRule type="duplicateValues" dxfId="4291" priority="2952"/>
    <cfRule type="duplicateValues" dxfId="4290" priority="2953"/>
    <cfRule type="duplicateValues" dxfId="4289" priority="2954"/>
    <cfRule type="duplicateValues" dxfId="4288" priority="2955"/>
    <cfRule type="duplicateValues" dxfId="4287" priority="2956"/>
    <cfRule type="duplicateValues" dxfId="4286" priority="2957"/>
    <cfRule type="duplicateValues" dxfId="4285" priority="2958"/>
    <cfRule type="duplicateValues" dxfId="4284" priority="2959"/>
    <cfRule type="duplicateValues" dxfId="4283" priority="2960"/>
    <cfRule type="duplicateValues" dxfId="4282" priority="2961"/>
    <cfRule type="duplicateValues" dxfId="4281" priority="2962"/>
    <cfRule type="duplicateValues" dxfId="4280" priority="2963"/>
    <cfRule type="duplicateValues" dxfId="4279" priority="2964"/>
    <cfRule type="duplicateValues" dxfId="4278" priority="2965"/>
    <cfRule type="duplicateValues" dxfId="4277" priority="2966"/>
    <cfRule type="duplicateValues" dxfId="4276" priority="2967"/>
    <cfRule type="duplicateValues" dxfId="4275" priority="2968"/>
    <cfRule type="duplicateValues" dxfId="4274" priority="2969"/>
    <cfRule type="duplicateValues" dxfId="4273" priority="2970"/>
    <cfRule type="duplicateValues" dxfId="4272" priority="2971"/>
    <cfRule type="duplicateValues" dxfId="4271" priority="2972"/>
    <cfRule type="duplicateValues" dxfId="4270" priority="2973"/>
    <cfRule type="duplicateValues" dxfId="4269" priority="2974"/>
    <cfRule type="duplicateValues" dxfId="4268" priority="2975"/>
    <cfRule type="duplicateValues" dxfId="4267" priority="2976"/>
    <cfRule type="duplicateValues" dxfId="4266" priority="2977"/>
    <cfRule type="duplicateValues" dxfId="4265" priority="2978"/>
    <cfRule type="duplicateValues" dxfId="4264" priority="2979"/>
    <cfRule type="duplicateValues" dxfId="4263" priority="2980"/>
    <cfRule type="duplicateValues" dxfId="4262" priority="2981"/>
    <cfRule type="duplicateValues" dxfId="4261" priority="2982"/>
    <cfRule type="duplicateValues" dxfId="4260" priority="2983"/>
    <cfRule type="duplicateValues" dxfId="4259" priority="2984"/>
    <cfRule type="duplicateValues" dxfId="4258" priority="2985"/>
    <cfRule type="duplicateValues" dxfId="4257" priority="2986"/>
    <cfRule type="duplicateValues" dxfId="4256" priority="2987"/>
    <cfRule type="duplicateValues" dxfId="4255" priority="2988"/>
    <cfRule type="duplicateValues" dxfId="4254" priority="2989"/>
    <cfRule type="duplicateValues" dxfId="4253" priority="2990"/>
    <cfRule type="duplicateValues" dxfId="4252" priority="2991"/>
    <cfRule type="duplicateValues" dxfId="4251" priority="2992"/>
    <cfRule type="duplicateValues" dxfId="4250" priority="2993"/>
    <cfRule type="duplicateValues" dxfId="4249" priority="2994"/>
    <cfRule type="duplicateValues" dxfId="4248" priority="2995"/>
    <cfRule type="duplicateValues" dxfId="4247" priority="2996"/>
    <cfRule type="duplicateValues" dxfId="4246" priority="2997"/>
  </conditionalFormatting>
  <conditionalFormatting sqref="C292">
    <cfRule type="duplicateValues" dxfId="4245" priority="11907"/>
    <cfRule type="duplicateValues" dxfId="4244" priority="11908"/>
    <cfRule type="duplicateValues" dxfId="4243" priority="11909"/>
    <cfRule type="duplicateValues" dxfId="4242" priority="11910"/>
    <cfRule type="duplicateValues" dxfId="4241" priority="11911"/>
    <cfRule type="duplicateValues" dxfId="4240" priority="11912"/>
    <cfRule type="duplicateValues" dxfId="4239" priority="11913"/>
    <cfRule type="duplicateValues" dxfId="4238" priority="11914"/>
    <cfRule type="duplicateValues" dxfId="4237" priority="11915"/>
    <cfRule type="duplicateValues" dxfId="4236" priority="11916"/>
    <cfRule type="duplicateValues" dxfId="4235" priority="11917"/>
    <cfRule type="duplicateValues" dxfId="4234" priority="11918"/>
    <cfRule type="duplicateValues" dxfId="4233" priority="11919"/>
    <cfRule type="duplicateValues" dxfId="4232" priority="11920"/>
    <cfRule type="duplicateValues" dxfId="4231" priority="11921"/>
    <cfRule type="duplicateValues" dxfId="4230" priority="11922"/>
    <cfRule type="duplicateValues" dxfId="4229" priority="11923"/>
    <cfRule type="duplicateValues" dxfId="4228" priority="11924"/>
    <cfRule type="duplicateValues" dxfId="4227" priority="11925"/>
    <cfRule type="duplicateValues" dxfId="4226" priority="11926"/>
    <cfRule type="duplicateValues" dxfId="4225" priority="11927"/>
    <cfRule type="duplicateValues" dxfId="4224" priority="11928"/>
    <cfRule type="duplicateValues" dxfId="4223" priority="11929"/>
    <cfRule type="duplicateValues" dxfId="4222" priority="11930"/>
    <cfRule type="duplicateValues" dxfId="4221" priority="11931"/>
    <cfRule type="duplicateValues" dxfId="4220" priority="11932"/>
    <cfRule type="duplicateValues" dxfId="4219" priority="11933"/>
    <cfRule type="duplicateValues" dxfId="4218" priority="11934"/>
    <cfRule type="duplicateValues" dxfId="4217" priority="11935"/>
    <cfRule type="duplicateValues" dxfId="4216" priority="11936"/>
    <cfRule type="duplicateValues" dxfId="4215" priority="11937"/>
    <cfRule type="duplicateValues" dxfId="4214" priority="11938"/>
    <cfRule type="duplicateValues" dxfId="4213" priority="11939"/>
    <cfRule type="duplicateValues" dxfId="4212" priority="11940"/>
    <cfRule type="duplicateValues" dxfId="4211" priority="11941"/>
    <cfRule type="duplicateValues" dxfId="4210" priority="11942"/>
    <cfRule type="duplicateValues" dxfId="4209" priority="11943"/>
    <cfRule type="duplicateValues" dxfId="4208" priority="11944"/>
    <cfRule type="duplicateValues" dxfId="4207" priority="11945"/>
    <cfRule type="duplicateValues" dxfId="4206" priority="11946"/>
    <cfRule type="duplicateValues" dxfId="4205" priority="11947"/>
    <cfRule type="duplicateValues" dxfId="4204" priority="11948"/>
    <cfRule type="duplicateValues" dxfId="4203" priority="11949"/>
    <cfRule type="duplicateValues" dxfId="4202" priority="11950"/>
    <cfRule type="duplicateValues" dxfId="4201" priority="11951"/>
    <cfRule type="duplicateValues" dxfId="4200" priority="11952"/>
    <cfRule type="duplicateValues" dxfId="4199" priority="11953"/>
    <cfRule type="duplicateValues" dxfId="4198" priority="11954"/>
    <cfRule type="duplicateValues" dxfId="4197" priority="11955"/>
    <cfRule type="duplicateValues" dxfId="4196" priority="11956"/>
    <cfRule type="duplicateValues" dxfId="4195" priority="11957"/>
    <cfRule type="duplicateValues" dxfId="4194" priority="11958"/>
    <cfRule type="duplicateValues" dxfId="4193" priority="11959"/>
    <cfRule type="duplicateValues" dxfId="4192" priority="11960"/>
    <cfRule type="duplicateValues" dxfId="4191" priority="11961"/>
    <cfRule type="duplicateValues" dxfId="4190" priority="11962"/>
    <cfRule type="duplicateValues" dxfId="4189" priority="11963"/>
    <cfRule type="duplicateValues" dxfId="4188" priority="11964"/>
    <cfRule type="duplicateValues" dxfId="4187" priority="11965"/>
    <cfRule type="duplicateValues" dxfId="4186" priority="11966"/>
    <cfRule type="duplicateValues" dxfId="4185" priority="11967"/>
    <cfRule type="duplicateValues" dxfId="4184" priority="11968"/>
    <cfRule type="duplicateValues" dxfId="4183" priority="11969"/>
    <cfRule type="duplicateValues" dxfId="4182" priority="11970"/>
    <cfRule type="duplicateValues" dxfId="4181" priority="11971"/>
    <cfRule type="duplicateValues" dxfId="4180" priority="11972"/>
    <cfRule type="duplicateValues" dxfId="4179" priority="11973"/>
    <cfRule type="duplicateValues" dxfId="4178" priority="11974"/>
    <cfRule type="duplicateValues" dxfId="4177" priority="11975"/>
    <cfRule type="duplicateValues" dxfId="4176" priority="11976"/>
    <cfRule type="duplicateValues" dxfId="4175" priority="11977"/>
    <cfRule type="duplicateValues" dxfId="4174" priority="11978"/>
    <cfRule type="duplicateValues" dxfId="4173" priority="11979"/>
    <cfRule type="duplicateValues" dxfId="4172" priority="11980"/>
    <cfRule type="duplicateValues" dxfId="4171" priority="11981"/>
    <cfRule type="duplicateValues" dxfId="4170" priority="11982"/>
    <cfRule type="duplicateValues" dxfId="4169" priority="11983"/>
    <cfRule type="duplicateValues" dxfId="4168" priority="11984"/>
    <cfRule type="duplicateValues" dxfId="4167" priority="11985"/>
    <cfRule type="duplicateValues" dxfId="4166" priority="11986"/>
    <cfRule type="duplicateValues" dxfId="4165" priority="11987"/>
    <cfRule type="duplicateValues" dxfId="4164" priority="11988"/>
    <cfRule type="duplicateValues" dxfId="4163" priority="11989"/>
    <cfRule type="duplicateValues" dxfId="4162" priority="11990"/>
    <cfRule type="duplicateValues" dxfId="4161" priority="11991"/>
    <cfRule type="duplicateValues" dxfId="4160" priority="11992"/>
    <cfRule type="duplicateValues" dxfId="4159" priority="11993"/>
    <cfRule type="duplicateValues" dxfId="4158" priority="11994"/>
    <cfRule type="duplicateValues" dxfId="4157" priority="11995"/>
    <cfRule type="duplicateValues" dxfId="4156" priority="11996"/>
    <cfRule type="duplicateValues" dxfId="4155" priority="11997"/>
    <cfRule type="duplicateValues" dxfId="4154" priority="11998"/>
    <cfRule type="duplicateValues" dxfId="4153" priority="11999"/>
    <cfRule type="duplicateValues" dxfId="4152" priority="12000"/>
    <cfRule type="duplicateValues" dxfId="4151" priority="12001"/>
    <cfRule type="duplicateValues" dxfId="4150" priority="12002"/>
    <cfRule type="duplicateValues" dxfId="4149" priority="12003"/>
    <cfRule type="duplicateValues" dxfId="4148" priority="12004"/>
    <cfRule type="duplicateValues" dxfId="4147" priority="12005"/>
    <cfRule type="duplicateValues" dxfId="4146" priority="12006"/>
    <cfRule type="duplicateValues" dxfId="4145" priority="12007"/>
    <cfRule type="duplicateValues" dxfId="4144" priority="12008"/>
    <cfRule type="duplicateValues" dxfId="4143" priority="12009"/>
    <cfRule type="duplicateValues" dxfId="4142" priority="12010"/>
    <cfRule type="duplicateValues" dxfId="4141" priority="12011"/>
    <cfRule type="duplicateValues" dxfId="4140" priority="12012"/>
    <cfRule type="duplicateValues" dxfId="4139" priority="12013"/>
    <cfRule type="duplicateValues" dxfId="4138" priority="12014"/>
    <cfRule type="duplicateValues" dxfId="4137" priority="12015"/>
    <cfRule type="duplicateValues" dxfId="4136" priority="12016"/>
    <cfRule type="duplicateValues" dxfId="4135" priority="12017"/>
    <cfRule type="duplicateValues" dxfId="4134" priority="12018"/>
    <cfRule type="duplicateValues" dxfId="4133" priority="12019"/>
    <cfRule type="duplicateValues" dxfId="4132" priority="12020"/>
    <cfRule type="duplicateValues" dxfId="4131" priority="12021"/>
    <cfRule type="duplicateValues" dxfId="4130" priority="12022"/>
    <cfRule type="duplicateValues" dxfId="4129" priority="12023"/>
    <cfRule type="duplicateValues" dxfId="4128" priority="12024"/>
    <cfRule type="duplicateValues" dxfId="4127" priority="12025"/>
    <cfRule type="duplicateValues" dxfId="4126" priority="12026"/>
    <cfRule type="duplicateValues" dxfId="4125" priority="12027"/>
    <cfRule type="duplicateValues" dxfId="4124" priority="12028"/>
    <cfRule type="duplicateValues" dxfId="4123" priority="12029"/>
    <cfRule type="duplicateValues" dxfId="4122" priority="12030"/>
    <cfRule type="duplicateValues" dxfId="4121" priority="12031"/>
    <cfRule type="duplicateValues" dxfId="4120" priority="12032"/>
    <cfRule type="duplicateValues" dxfId="4119" priority="12033"/>
    <cfRule type="duplicateValues" dxfId="4118" priority="12034"/>
    <cfRule type="duplicateValues" dxfId="4117" priority="12035"/>
    <cfRule type="duplicateValues" dxfId="4116" priority="12036"/>
    <cfRule type="duplicateValues" dxfId="4115" priority="12037"/>
    <cfRule type="duplicateValues" dxfId="4114" priority="12038"/>
    <cfRule type="duplicateValues" dxfId="4113" priority="12039"/>
    <cfRule type="duplicateValues" dxfId="4112" priority="12040"/>
    <cfRule type="duplicateValues" dxfId="4111" priority="12041"/>
    <cfRule type="duplicateValues" dxfId="4110" priority="12042"/>
    <cfRule type="duplicateValues" dxfId="4109" priority="12043"/>
    <cfRule type="duplicateValues" dxfId="4108" priority="12044"/>
    <cfRule type="duplicateValues" dxfId="4107" priority="12045"/>
    <cfRule type="duplicateValues" dxfId="4106" priority="12046"/>
    <cfRule type="duplicateValues" dxfId="4105" priority="12047"/>
    <cfRule type="duplicateValues" dxfId="4104" priority="12048"/>
    <cfRule type="duplicateValues" dxfId="4103" priority="12049"/>
    <cfRule type="duplicateValues" dxfId="4102" priority="12050"/>
    <cfRule type="duplicateValues" dxfId="4101" priority="12051"/>
    <cfRule type="duplicateValues" dxfId="4100" priority="12052"/>
    <cfRule type="duplicateValues" dxfId="4099" priority="12053"/>
    <cfRule type="duplicateValues" dxfId="4098" priority="12054"/>
    <cfRule type="duplicateValues" dxfId="4097" priority="12055"/>
    <cfRule type="duplicateValues" dxfId="4096" priority="12056"/>
    <cfRule type="duplicateValues" dxfId="4095" priority="12057"/>
    <cfRule type="duplicateValues" dxfId="4094" priority="12058"/>
    <cfRule type="duplicateValues" dxfId="4093" priority="12059"/>
    <cfRule type="duplicateValues" dxfId="4092" priority="12060"/>
    <cfRule type="duplicateValues" dxfId="4091" priority="12061"/>
    <cfRule type="duplicateValues" dxfId="4090" priority="12062"/>
    <cfRule type="duplicateValues" dxfId="4089" priority="12063"/>
    <cfRule type="duplicateValues" dxfId="4088" priority="12064"/>
    <cfRule type="duplicateValues" dxfId="4087" priority="12065"/>
    <cfRule type="duplicateValues" dxfId="4086" priority="12066"/>
    <cfRule type="duplicateValues" dxfId="4085" priority="12067"/>
    <cfRule type="duplicateValues" dxfId="4084" priority="12068"/>
    <cfRule type="duplicateValues" dxfId="4083" priority="12069"/>
    <cfRule type="duplicateValues" dxfId="4082" priority="12070"/>
    <cfRule type="duplicateValues" dxfId="4081" priority="12071"/>
    <cfRule type="duplicateValues" dxfId="4080" priority="12072"/>
    <cfRule type="duplicateValues" dxfId="4079" priority="12073"/>
    <cfRule type="duplicateValues" dxfId="4078" priority="12074"/>
    <cfRule type="duplicateValues" dxfId="4077" priority="12075"/>
    <cfRule type="duplicateValues" dxfId="4076" priority="12076"/>
    <cfRule type="duplicateValues" dxfId="4075" priority="12077"/>
    <cfRule type="duplicateValues" dxfId="4074" priority="12078"/>
    <cfRule type="duplicateValues" dxfId="4073" priority="12079"/>
    <cfRule type="duplicateValues" dxfId="4072" priority="12080"/>
    <cfRule type="duplicateValues" dxfId="4071" priority="12081"/>
    <cfRule type="duplicateValues" dxfId="4070" priority="12082"/>
    <cfRule type="duplicateValues" dxfId="4069" priority="12083"/>
    <cfRule type="duplicateValues" dxfId="4068" priority="12084"/>
    <cfRule type="duplicateValues" dxfId="4067" priority="12085"/>
    <cfRule type="duplicateValues" dxfId="4066" priority="12086"/>
    <cfRule type="duplicateValues" dxfId="4065" priority="12087"/>
    <cfRule type="duplicateValues" dxfId="4064" priority="12088"/>
    <cfRule type="duplicateValues" dxfId="4063" priority="12089"/>
    <cfRule type="duplicateValues" dxfId="4062" priority="12090"/>
    <cfRule type="duplicateValues" dxfId="4061" priority="12091"/>
    <cfRule type="duplicateValues" dxfId="4060" priority="12092"/>
    <cfRule type="duplicateValues" dxfId="4059" priority="12093"/>
    <cfRule type="duplicateValues" dxfId="4058" priority="12094"/>
    <cfRule type="duplicateValues" dxfId="4057" priority="12095"/>
    <cfRule type="duplicateValues" dxfId="4056" priority="12096"/>
    <cfRule type="duplicateValues" dxfId="4055" priority="12097"/>
    <cfRule type="duplicateValues" dxfId="4054" priority="12098"/>
    <cfRule type="duplicateValues" dxfId="4053" priority="12099"/>
    <cfRule type="duplicateValues" dxfId="4052" priority="12100"/>
    <cfRule type="duplicateValues" dxfId="4051" priority="12101"/>
    <cfRule type="duplicateValues" dxfId="4050" priority="12102"/>
    <cfRule type="duplicateValues" dxfId="4049" priority="12103"/>
    <cfRule type="duplicateValues" dxfId="4048" priority="12104"/>
    <cfRule type="duplicateValues" dxfId="4047" priority="12105"/>
    <cfRule type="duplicateValues" dxfId="4046" priority="12106"/>
    <cfRule type="duplicateValues" dxfId="4045" priority="12107"/>
    <cfRule type="duplicateValues" dxfId="4044" priority="12108"/>
    <cfRule type="duplicateValues" dxfId="4043" priority="12109"/>
    <cfRule type="duplicateValues" dxfId="4042" priority="12110"/>
    <cfRule type="duplicateValues" dxfId="4041" priority="12111"/>
    <cfRule type="duplicateValues" dxfId="4040" priority="12112"/>
    <cfRule type="duplicateValues" dxfId="4039" priority="12113"/>
    <cfRule type="duplicateValues" dxfId="4038" priority="12114"/>
    <cfRule type="duplicateValues" dxfId="4037" priority="12115"/>
    <cfRule type="duplicateValues" dxfId="4036" priority="12116"/>
    <cfRule type="duplicateValues" dxfId="4035" priority="12117"/>
    <cfRule type="duplicateValues" dxfId="4034" priority="12118"/>
    <cfRule type="duplicateValues" dxfId="4033" priority="12119"/>
    <cfRule type="duplicateValues" dxfId="4032" priority="12120"/>
    <cfRule type="duplicateValues" dxfId="4031" priority="12121"/>
    <cfRule type="duplicateValues" dxfId="4030" priority="12122"/>
    <cfRule type="duplicateValues" dxfId="4029" priority="12123"/>
    <cfRule type="duplicateValues" dxfId="4028" priority="12124"/>
    <cfRule type="duplicateValues" dxfId="4027" priority="12125"/>
    <cfRule type="duplicateValues" dxfId="4026" priority="12126"/>
    <cfRule type="duplicateValues" dxfId="4025" priority="12127"/>
    <cfRule type="duplicateValues" dxfId="4024" priority="12128"/>
    <cfRule type="duplicateValues" dxfId="4023" priority="12129"/>
    <cfRule type="duplicateValues" dxfId="4022" priority="12130"/>
    <cfRule type="duplicateValues" dxfId="4021" priority="12131"/>
    <cfRule type="duplicateValues" dxfId="4020" priority="12132"/>
    <cfRule type="duplicateValues" dxfId="4019" priority="12133"/>
    <cfRule type="duplicateValues" dxfId="4018" priority="12134"/>
    <cfRule type="duplicateValues" dxfId="4017" priority="12135"/>
    <cfRule type="duplicateValues" dxfId="4016" priority="12136"/>
    <cfRule type="duplicateValues" dxfId="4015" priority="12137"/>
    <cfRule type="duplicateValues" dxfId="4014" priority="12138"/>
    <cfRule type="duplicateValues" dxfId="4013" priority="12139"/>
    <cfRule type="duplicateValues" dxfId="4012" priority="12140"/>
    <cfRule type="duplicateValues" dxfId="4011" priority="12141"/>
    <cfRule type="duplicateValues" dxfId="4010" priority="12142"/>
    <cfRule type="duplicateValues" dxfId="4009" priority="12143"/>
    <cfRule type="duplicateValues" dxfId="4008" priority="12144"/>
    <cfRule type="duplicateValues" dxfId="4007" priority="12145"/>
    <cfRule type="duplicateValues" dxfId="4006" priority="12146"/>
    <cfRule type="duplicateValues" dxfId="4005" priority="12147"/>
    <cfRule type="duplicateValues" dxfId="4004" priority="12148"/>
    <cfRule type="duplicateValues" dxfId="4003" priority="12149"/>
    <cfRule type="duplicateValues" dxfId="4002" priority="12150"/>
    <cfRule type="duplicateValues" dxfId="4001" priority="12151"/>
    <cfRule type="duplicateValues" dxfId="4000" priority="12152"/>
    <cfRule type="duplicateValues" dxfId="3999" priority="12153"/>
    <cfRule type="duplicateValues" dxfId="3998" priority="12154"/>
    <cfRule type="duplicateValues" dxfId="3997" priority="12155"/>
    <cfRule type="duplicateValues" dxfId="3996" priority="12156"/>
    <cfRule type="duplicateValues" dxfId="3995" priority="12157"/>
    <cfRule type="duplicateValues" dxfId="3994" priority="12158"/>
    <cfRule type="duplicateValues" dxfId="3993" priority="12159"/>
    <cfRule type="duplicateValues" dxfId="3992" priority="12160"/>
    <cfRule type="duplicateValues" dxfId="3991" priority="12161"/>
    <cfRule type="duplicateValues" dxfId="3990" priority="12162"/>
    <cfRule type="duplicateValues" dxfId="3989" priority="12163"/>
    <cfRule type="duplicateValues" dxfId="3988" priority="12164"/>
    <cfRule type="duplicateValues" dxfId="3987" priority="12165"/>
    <cfRule type="duplicateValues" dxfId="3986" priority="12166"/>
    <cfRule type="duplicateValues" dxfId="3985" priority="12167"/>
    <cfRule type="duplicateValues" dxfId="3984" priority="12168"/>
    <cfRule type="duplicateValues" dxfId="3983" priority="12169"/>
    <cfRule type="duplicateValues" dxfId="3982" priority="12170"/>
    <cfRule type="duplicateValues" dxfId="3981" priority="12171"/>
    <cfRule type="duplicateValues" dxfId="3980" priority="12172"/>
    <cfRule type="duplicateValues" dxfId="3979" priority="12173"/>
    <cfRule type="duplicateValues" dxfId="3978" priority="12174"/>
    <cfRule type="duplicateValues" dxfId="3977" priority="12175"/>
    <cfRule type="duplicateValues" dxfId="3976" priority="12176"/>
    <cfRule type="duplicateValues" dxfId="3975" priority="12177"/>
    <cfRule type="duplicateValues" dxfId="3974" priority="12178"/>
    <cfRule type="duplicateValues" dxfId="3973" priority="12179"/>
    <cfRule type="duplicateValues" dxfId="3972" priority="12180"/>
    <cfRule type="duplicateValues" dxfId="3971" priority="12181"/>
    <cfRule type="duplicateValues" dxfId="3970" priority="12182"/>
    <cfRule type="duplicateValues" dxfId="3969" priority="12183"/>
    <cfRule type="duplicateValues" dxfId="3968" priority="12184"/>
    <cfRule type="duplicateValues" dxfId="3967" priority="12185"/>
    <cfRule type="duplicateValues" dxfId="3966" priority="12186"/>
    <cfRule type="duplicateValues" dxfId="3965" priority="12187"/>
    <cfRule type="duplicateValues" dxfId="3964" priority="12188"/>
    <cfRule type="duplicateValues" dxfId="3963" priority="12189"/>
    <cfRule type="duplicateValues" dxfId="3962" priority="12190"/>
    <cfRule type="duplicateValues" dxfId="3961" priority="12191"/>
    <cfRule type="duplicateValues" dxfId="3960" priority="12192"/>
    <cfRule type="duplicateValues" dxfId="3959" priority="12193"/>
    <cfRule type="duplicateValues" dxfId="3958" priority="12194"/>
    <cfRule type="duplicateValues" dxfId="3957" priority="12195"/>
    <cfRule type="duplicateValues" dxfId="3956" priority="12196"/>
    <cfRule type="duplicateValues" dxfId="3955" priority="12197"/>
    <cfRule type="duplicateValues" dxfId="3954" priority="12198"/>
    <cfRule type="duplicateValues" dxfId="3953" priority="12199"/>
    <cfRule type="duplicateValues" dxfId="3952" priority="12200"/>
    <cfRule type="duplicateValues" dxfId="3951" priority="12201"/>
    <cfRule type="duplicateValues" dxfId="3950" priority="12202"/>
    <cfRule type="duplicateValues" dxfId="3949" priority="12203"/>
    <cfRule type="duplicateValues" dxfId="3948" priority="12204"/>
    <cfRule type="duplicateValues" dxfId="3947" priority="12205"/>
    <cfRule type="duplicateValues" dxfId="3946" priority="12206"/>
    <cfRule type="duplicateValues" dxfId="3945" priority="12207"/>
    <cfRule type="duplicateValues" dxfId="3944" priority="12208"/>
    <cfRule type="duplicateValues" dxfId="3943" priority="12209"/>
    <cfRule type="duplicateValues" dxfId="3942" priority="12210"/>
    <cfRule type="duplicateValues" dxfId="3941" priority="12211"/>
    <cfRule type="duplicateValues" dxfId="3940" priority="12212"/>
    <cfRule type="duplicateValues" dxfId="3939" priority="12213"/>
    <cfRule type="duplicateValues" dxfId="3938" priority="12214"/>
    <cfRule type="duplicateValues" dxfId="3937" priority="12215"/>
    <cfRule type="duplicateValues" dxfId="3936" priority="12216"/>
    <cfRule type="duplicateValues" dxfId="3935" priority="12217"/>
    <cfRule type="duplicateValues" dxfId="3934" priority="12218"/>
    <cfRule type="duplicateValues" dxfId="3933" priority="12219"/>
    <cfRule type="duplicateValues" dxfId="3932" priority="12220"/>
    <cfRule type="duplicateValues" dxfId="3931" priority="12221"/>
    <cfRule type="duplicateValues" dxfId="3930" priority="12222"/>
    <cfRule type="duplicateValues" dxfId="3929" priority="12223"/>
    <cfRule type="duplicateValues" dxfId="3928" priority="12224"/>
    <cfRule type="duplicateValues" dxfId="3927" priority="12225"/>
    <cfRule type="duplicateValues" dxfId="3926" priority="12226"/>
    <cfRule type="duplicateValues" dxfId="3925" priority="12227"/>
    <cfRule type="duplicateValues" dxfId="3924" priority="12228"/>
    <cfRule type="duplicateValues" dxfId="3923" priority="12229"/>
    <cfRule type="duplicateValues" dxfId="3922" priority="12230"/>
    <cfRule type="duplicateValues" dxfId="3921" priority="12231"/>
    <cfRule type="duplicateValues" dxfId="3920" priority="12232"/>
    <cfRule type="duplicateValues" dxfId="3919" priority="12233"/>
    <cfRule type="duplicateValues" dxfId="3918" priority="12234"/>
    <cfRule type="duplicateValues" dxfId="3917" priority="12235"/>
    <cfRule type="duplicateValues" dxfId="3916" priority="12236"/>
    <cfRule type="duplicateValues" dxfId="3915" priority="12237"/>
    <cfRule type="duplicateValues" dxfId="3914" priority="12238"/>
    <cfRule type="duplicateValues" dxfId="3913" priority="12239"/>
    <cfRule type="duplicateValues" dxfId="3912" priority="12240"/>
    <cfRule type="duplicateValues" dxfId="3911" priority="12241"/>
    <cfRule type="duplicateValues" dxfId="3910" priority="12242"/>
    <cfRule type="duplicateValues" dxfId="3909" priority="12243"/>
    <cfRule type="duplicateValues" dxfId="3908" priority="12244"/>
    <cfRule type="duplicateValues" dxfId="3907" priority="12245"/>
    <cfRule type="duplicateValues" dxfId="3906" priority="12246"/>
    <cfRule type="duplicateValues" dxfId="3905" priority="12247"/>
    <cfRule type="duplicateValues" dxfId="3904" priority="12248"/>
    <cfRule type="duplicateValues" dxfId="3903" priority="12249"/>
    <cfRule type="duplicateValues" dxfId="3902" priority="12250"/>
    <cfRule type="duplicateValues" dxfId="3901" priority="12251"/>
  </conditionalFormatting>
  <conditionalFormatting sqref="C293:C296">
    <cfRule type="duplicateValues" dxfId="3900" priority="2308"/>
    <cfRule type="duplicateValues" dxfId="3899" priority="2309"/>
    <cfRule type="duplicateValues" dxfId="3898" priority="2310"/>
    <cfRule type="duplicateValues" dxfId="3897" priority="2311"/>
    <cfRule type="duplicateValues" dxfId="3896" priority="2312"/>
    <cfRule type="duplicateValues" dxfId="3895" priority="2313"/>
    <cfRule type="duplicateValues" dxfId="3894" priority="2314"/>
    <cfRule type="duplicateValues" dxfId="3893" priority="2315"/>
    <cfRule type="duplicateValues" dxfId="3892" priority="2316"/>
    <cfRule type="duplicateValues" dxfId="3891" priority="2317"/>
    <cfRule type="duplicateValues" dxfId="3890" priority="2318"/>
    <cfRule type="duplicateValues" dxfId="3889" priority="2319"/>
    <cfRule type="duplicateValues" dxfId="3888" priority="2320"/>
    <cfRule type="duplicateValues" dxfId="3887" priority="2321"/>
    <cfRule type="duplicateValues" dxfId="3886" priority="2322"/>
    <cfRule type="duplicateValues" dxfId="3885" priority="2323"/>
    <cfRule type="duplicateValues" dxfId="3884" priority="2324"/>
    <cfRule type="duplicateValues" dxfId="3883" priority="2325"/>
    <cfRule type="duplicateValues" dxfId="3882" priority="2326"/>
    <cfRule type="duplicateValues" dxfId="3881" priority="2327"/>
    <cfRule type="duplicateValues" dxfId="3880" priority="2328"/>
    <cfRule type="duplicateValues" dxfId="3879" priority="2329"/>
    <cfRule type="duplicateValues" dxfId="3878" priority="2330"/>
    <cfRule type="duplicateValues" dxfId="3877" priority="2331"/>
    <cfRule type="duplicateValues" dxfId="3876" priority="2332"/>
    <cfRule type="duplicateValues" dxfId="3875" priority="2333"/>
    <cfRule type="duplicateValues" dxfId="3874" priority="2334"/>
    <cfRule type="duplicateValues" dxfId="3873" priority="2335"/>
    <cfRule type="duplicateValues" dxfId="3872" priority="2336"/>
    <cfRule type="duplicateValues" dxfId="3871" priority="2337"/>
    <cfRule type="duplicateValues" dxfId="3870" priority="2338"/>
    <cfRule type="duplicateValues" dxfId="3869" priority="2339"/>
    <cfRule type="duplicateValues" dxfId="3868" priority="2340"/>
    <cfRule type="duplicateValues" dxfId="3867" priority="2341"/>
    <cfRule type="duplicateValues" dxfId="3866" priority="2342"/>
    <cfRule type="duplicateValues" dxfId="3865" priority="2343"/>
    <cfRule type="duplicateValues" dxfId="3864" priority="2344"/>
    <cfRule type="duplicateValues" dxfId="3863" priority="2345"/>
    <cfRule type="duplicateValues" dxfId="3862" priority="2346"/>
    <cfRule type="duplicateValues" dxfId="3861" priority="2347"/>
    <cfRule type="duplicateValues" dxfId="3860" priority="2348"/>
    <cfRule type="duplicateValues" dxfId="3859" priority="2349"/>
    <cfRule type="duplicateValues" dxfId="3858" priority="2350"/>
    <cfRule type="duplicateValues" dxfId="3857" priority="2351"/>
    <cfRule type="duplicateValues" dxfId="3856" priority="2352"/>
    <cfRule type="duplicateValues" dxfId="3855" priority="2353"/>
    <cfRule type="duplicateValues" dxfId="3854" priority="2354"/>
    <cfRule type="duplicateValues" dxfId="3853" priority="2355"/>
    <cfRule type="duplicateValues" dxfId="3852" priority="2356"/>
    <cfRule type="duplicateValues" dxfId="3851" priority="2357"/>
    <cfRule type="duplicateValues" dxfId="3850" priority="2358"/>
    <cfRule type="duplicateValues" dxfId="3849" priority="2359"/>
    <cfRule type="duplicateValues" dxfId="3848" priority="2360"/>
    <cfRule type="duplicateValues" dxfId="3847" priority="2361"/>
    <cfRule type="duplicateValues" dxfId="3846" priority="2362"/>
    <cfRule type="duplicateValues" dxfId="3845" priority="2363"/>
    <cfRule type="duplicateValues" dxfId="3844" priority="2364"/>
    <cfRule type="duplicateValues" dxfId="3843" priority="2365"/>
    <cfRule type="duplicateValues" dxfId="3842" priority="2366"/>
    <cfRule type="duplicateValues" dxfId="3841" priority="2367"/>
    <cfRule type="duplicateValues" dxfId="3840" priority="2368"/>
    <cfRule type="duplicateValues" dxfId="3839" priority="2369"/>
    <cfRule type="duplicateValues" dxfId="3838" priority="2370"/>
    <cfRule type="duplicateValues" dxfId="3837" priority="2371"/>
    <cfRule type="duplicateValues" dxfId="3836" priority="2372"/>
    <cfRule type="duplicateValues" dxfId="3835" priority="2373"/>
    <cfRule type="duplicateValues" dxfId="3834" priority="2374"/>
    <cfRule type="duplicateValues" dxfId="3833" priority="2375"/>
    <cfRule type="duplicateValues" dxfId="3832" priority="2376"/>
    <cfRule type="duplicateValues" dxfId="3831" priority="2377"/>
    <cfRule type="duplicateValues" dxfId="3830" priority="2378"/>
    <cfRule type="duplicateValues" dxfId="3829" priority="2379"/>
    <cfRule type="duplicateValues" dxfId="3828" priority="2380"/>
    <cfRule type="duplicateValues" dxfId="3827" priority="2381"/>
    <cfRule type="duplicateValues" dxfId="3826" priority="2382"/>
    <cfRule type="duplicateValues" dxfId="3825" priority="2383"/>
    <cfRule type="duplicateValues" dxfId="3824" priority="2384"/>
    <cfRule type="duplicateValues" dxfId="3823" priority="2385"/>
    <cfRule type="duplicateValues" dxfId="3822" priority="2386"/>
    <cfRule type="duplicateValues" dxfId="3821" priority="2387"/>
    <cfRule type="duplicateValues" dxfId="3820" priority="2388"/>
    <cfRule type="duplicateValues" dxfId="3819" priority="2389"/>
    <cfRule type="duplicateValues" dxfId="3818" priority="2390"/>
    <cfRule type="duplicateValues" dxfId="3817" priority="2391"/>
    <cfRule type="duplicateValues" dxfId="3816" priority="2392"/>
    <cfRule type="duplicateValues" dxfId="3815" priority="2393"/>
    <cfRule type="duplicateValues" dxfId="3814" priority="2394"/>
    <cfRule type="duplicateValues" dxfId="3813" priority="2395"/>
    <cfRule type="duplicateValues" dxfId="3812" priority="2396"/>
    <cfRule type="duplicateValues" dxfId="3811" priority="2397"/>
    <cfRule type="duplicateValues" dxfId="3810" priority="2398"/>
    <cfRule type="duplicateValues" dxfId="3809" priority="2399"/>
    <cfRule type="duplicateValues" dxfId="3808" priority="2400"/>
    <cfRule type="duplicateValues" dxfId="3807" priority="2401"/>
    <cfRule type="duplicateValues" dxfId="3806" priority="2402"/>
    <cfRule type="duplicateValues" dxfId="3805" priority="2403"/>
    <cfRule type="duplicateValues" dxfId="3804" priority="2404"/>
    <cfRule type="duplicateValues" dxfId="3803" priority="2405"/>
    <cfRule type="duplicateValues" dxfId="3802" priority="2406"/>
    <cfRule type="duplicateValues" dxfId="3801" priority="2407"/>
    <cfRule type="duplicateValues" dxfId="3800" priority="2408"/>
    <cfRule type="duplicateValues" dxfId="3799" priority="2409"/>
    <cfRule type="duplicateValues" dxfId="3798" priority="2410"/>
    <cfRule type="duplicateValues" dxfId="3797" priority="2411"/>
    <cfRule type="duplicateValues" dxfId="3796" priority="2412"/>
    <cfRule type="duplicateValues" dxfId="3795" priority="2413"/>
    <cfRule type="duplicateValues" dxfId="3794" priority="2414"/>
    <cfRule type="duplicateValues" dxfId="3793" priority="2415"/>
    <cfRule type="duplicateValues" dxfId="3792" priority="2416"/>
    <cfRule type="duplicateValues" dxfId="3791" priority="2417"/>
    <cfRule type="duplicateValues" dxfId="3790" priority="2418"/>
    <cfRule type="duplicateValues" dxfId="3789" priority="2419"/>
    <cfRule type="duplicateValues" dxfId="3788" priority="2420"/>
    <cfRule type="duplicateValues" dxfId="3787" priority="2421"/>
    <cfRule type="duplicateValues" dxfId="3786" priority="2422"/>
    <cfRule type="duplicateValues" dxfId="3785" priority="2423"/>
    <cfRule type="duplicateValues" dxfId="3784" priority="2424"/>
    <cfRule type="duplicateValues" dxfId="3783" priority="2425"/>
    <cfRule type="duplicateValues" dxfId="3782" priority="2426"/>
    <cfRule type="duplicateValues" dxfId="3781" priority="2427"/>
    <cfRule type="duplicateValues" dxfId="3780" priority="2428"/>
    <cfRule type="duplicateValues" dxfId="3779" priority="2429"/>
    <cfRule type="duplicateValues" dxfId="3778" priority="2430"/>
    <cfRule type="duplicateValues" dxfId="3777" priority="2431"/>
    <cfRule type="duplicateValues" dxfId="3776" priority="2432"/>
    <cfRule type="duplicateValues" dxfId="3775" priority="2433"/>
    <cfRule type="duplicateValues" dxfId="3774" priority="2434"/>
    <cfRule type="duplicateValues" dxfId="3773" priority="2435"/>
    <cfRule type="duplicateValues" dxfId="3772" priority="2436"/>
    <cfRule type="duplicateValues" dxfId="3771" priority="2437"/>
    <cfRule type="duplicateValues" dxfId="3770" priority="2438"/>
    <cfRule type="duplicateValues" dxfId="3769" priority="2439"/>
    <cfRule type="duplicateValues" dxfId="3768" priority="2440"/>
    <cfRule type="duplicateValues" dxfId="3767" priority="2441"/>
    <cfRule type="duplicateValues" dxfId="3766" priority="2442"/>
    <cfRule type="duplicateValues" dxfId="3765" priority="2443"/>
    <cfRule type="duplicateValues" dxfId="3764" priority="2444"/>
    <cfRule type="duplicateValues" dxfId="3763" priority="2445"/>
    <cfRule type="duplicateValues" dxfId="3762" priority="2446"/>
    <cfRule type="duplicateValues" dxfId="3761" priority="2447"/>
    <cfRule type="duplicateValues" dxfId="3760" priority="2448"/>
    <cfRule type="duplicateValues" dxfId="3759" priority="2449"/>
    <cfRule type="duplicateValues" dxfId="3758" priority="2450"/>
    <cfRule type="duplicateValues" dxfId="3757" priority="2451"/>
    <cfRule type="duplicateValues" dxfId="3756" priority="2452"/>
    <cfRule type="duplicateValues" dxfId="3755" priority="2453"/>
    <cfRule type="duplicateValues" dxfId="3754" priority="2454"/>
    <cfRule type="duplicateValues" dxfId="3753" priority="2455"/>
    <cfRule type="duplicateValues" dxfId="3752" priority="2456"/>
    <cfRule type="duplicateValues" dxfId="3751" priority="2457"/>
    <cfRule type="duplicateValues" dxfId="3750" priority="2458"/>
    <cfRule type="duplicateValues" dxfId="3749" priority="2459"/>
    <cfRule type="duplicateValues" dxfId="3748" priority="2460"/>
    <cfRule type="duplicateValues" dxfId="3747" priority="2461"/>
    <cfRule type="duplicateValues" dxfId="3746" priority="2462"/>
    <cfRule type="duplicateValues" dxfId="3745" priority="2463"/>
    <cfRule type="duplicateValues" dxfId="3744" priority="2464"/>
    <cfRule type="duplicateValues" dxfId="3743" priority="2465"/>
    <cfRule type="duplicateValues" dxfId="3742" priority="2466"/>
    <cfRule type="duplicateValues" dxfId="3741" priority="2467"/>
    <cfRule type="duplicateValues" dxfId="3740" priority="2468"/>
    <cfRule type="duplicateValues" dxfId="3739" priority="2469"/>
    <cfRule type="duplicateValues" dxfId="3738" priority="2470"/>
    <cfRule type="duplicateValues" dxfId="3737" priority="2471"/>
    <cfRule type="duplicateValues" dxfId="3736" priority="2472"/>
    <cfRule type="duplicateValues" dxfId="3735" priority="2473"/>
    <cfRule type="duplicateValues" dxfId="3734" priority="2474"/>
    <cfRule type="duplicateValues" dxfId="3733" priority="2475"/>
    <cfRule type="duplicateValues" dxfId="3732" priority="2476"/>
    <cfRule type="duplicateValues" dxfId="3731" priority="2477"/>
    <cfRule type="duplicateValues" dxfId="3730" priority="2478"/>
    <cfRule type="duplicateValues" dxfId="3729" priority="2479"/>
    <cfRule type="duplicateValues" dxfId="3728" priority="2480"/>
    <cfRule type="duplicateValues" dxfId="3727" priority="2481"/>
    <cfRule type="duplicateValues" dxfId="3726" priority="2482"/>
    <cfRule type="duplicateValues" dxfId="3725" priority="2483"/>
    <cfRule type="duplicateValues" dxfId="3724" priority="2484"/>
    <cfRule type="duplicateValues" dxfId="3723" priority="2485"/>
    <cfRule type="duplicateValues" dxfId="3722" priority="2486"/>
    <cfRule type="duplicateValues" dxfId="3721" priority="2487"/>
    <cfRule type="duplicateValues" dxfId="3720" priority="2488"/>
    <cfRule type="duplicateValues" dxfId="3719" priority="2489"/>
    <cfRule type="duplicateValues" dxfId="3718" priority="2490"/>
    <cfRule type="duplicateValues" dxfId="3717" priority="2491"/>
    <cfRule type="duplicateValues" dxfId="3716" priority="2492"/>
    <cfRule type="duplicateValues" dxfId="3715" priority="2493"/>
    <cfRule type="duplicateValues" dxfId="3714" priority="2494"/>
    <cfRule type="duplicateValues" dxfId="3713" priority="2495"/>
    <cfRule type="duplicateValues" dxfId="3712" priority="2496"/>
    <cfRule type="duplicateValues" dxfId="3711" priority="2497"/>
    <cfRule type="duplicateValues" dxfId="3710" priority="2498"/>
    <cfRule type="duplicateValues" dxfId="3709" priority="2499"/>
    <cfRule type="duplicateValues" dxfId="3708" priority="2500"/>
    <cfRule type="duplicateValues" dxfId="3707" priority="2501"/>
    <cfRule type="duplicateValues" dxfId="3706" priority="2502"/>
    <cfRule type="duplicateValues" dxfId="3705" priority="2503"/>
    <cfRule type="duplicateValues" dxfId="3704" priority="2504"/>
    <cfRule type="duplicateValues" dxfId="3703" priority="2505"/>
    <cfRule type="duplicateValues" dxfId="3702" priority="2506"/>
    <cfRule type="duplicateValues" dxfId="3701" priority="2507"/>
    <cfRule type="duplicateValues" dxfId="3700" priority="2508"/>
    <cfRule type="duplicateValues" dxfId="3699" priority="2509"/>
    <cfRule type="duplicateValues" dxfId="3698" priority="2510"/>
    <cfRule type="duplicateValues" dxfId="3697" priority="2511"/>
    <cfRule type="duplicateValues" dxfId="3696" priority="2512"/>
    <cfRule type="duplicateValues" dxfId="3695" priority="2513"/>
    <cfRule type="duplicateValues" dxfId="3694" priority="2514"/>
    <cfRule type="duplicateValues" dxfId="3693" priority="2515"/>
    <cfRule type="duplicateValues" dxfId="3692" priority="2516"/>
    <cfRule type="duplicateValues" dxfId="3691" priority="2517"/>
    <cfRule type="duplicateValues" dxfId="3690" priority="2518"/>
    <cfRule type="duplicateValues" dxfId="3689" priority="2519"/>
    <cfRule type="duplicateValues" dxfId="3688" priority="2520"/>
    <cfRule type="duplicateValues" dxfId="3687" priority="2521"/>
    <cfRule type="duplicateValues" dxfId="3686" priority="2522"/>
    <cfRule type="duplicateValues" dxfId="3685" priority="2523"/>
    <cfRule type="duplicateValues" dxfId="3684" priority="2524"/>
    <cfRule type="duplicateValues" dxfId="3683" priority="2525"/>
    <cfRule type="duplicateValues" dxfId="3682" priority="2526"/>
    <cfRule type="duplicateValues" dxfId="3681" priority="2527"/>
    <cfRule type="duplicateValues" dxfId="3680" priority="2528"/>
    <cfRule type="duplicateValues" dxfId="3679" priority="2529"/>
    <cfRule type="duplicateValues" dxfId="3678" priority="2530"/>
    <cfRule type="duplicateValues" dxfId="3677" priority="2531"/>
    <cfRule type="duplicateValues" dxfId="3676" priority="2532"/>
    <cfRule type="duplicateValues" dxfId="3675" priority="2533"/>
    <cfRule type="duplicateValues" dxfId="3674" priority="2534"/>
    <cfRule type="duplicateValues" dxfId="3673" priority="2535"/>
    <cfRule type="duplicateValues" dxfId="3672" priority="2536"/>
    <cfRule type="duplicateValues" dxfId="3671" priority="2537"/>
    <cfRule type="duplicateValues" dxfId="3670" priority="2538"/>
    <cfRule type="duplicateValues" dxfId="3669" priority="2539"/>
    <cfRule type="duplicateValues" dxfId="3668" priority="2540"/>
    <cfRule type="duplicateValues" dxfId="3667" priority="2541"/>
    <cfRule type="duplicateValues" dxfId="3666" priority="2542"/>
    <cfRule type="duplicateValues" dxfId="3665" priority="2543"/>
    <cfRule type="duplicateValues" dxfId="3664" priority="2544"/>
    <cfRule type="duplicateValues" dxfId="3663" priority="2545"/>
    <cfRule type="duplicateValues" dxfId="3662" priority="2546"/>
    <cfRule type="duplicateValues" dxfId="3661" priority="2547"/>
    <cfRule type="duplicateValues" dxfId="3660" priority="2548"/>
    <cfRule type="duplicateValues" dxfId="3659" priority="2549"/>
    <cfRule type="duplicateValues" dxfId="3658" priority="2550"/>
    <cfRule type="duplicateValues" dxfId="3657" priority="2551"/>
    <cfRule type="duplicateValues" dxfId="3656" priority="2552"/>
    <cfRule type="duplicateValues" dxfId="3655" priority="2553"/>
    <cfRule type="duplicateValues" dxfId="3654" priority="2554"/>
    <cfRule type="duplicateValues" dxfId="3653" priority="2555"/>
    <cfRule type="duplicateValues" dxfId="3652" priority="2556"/>
    <cfRule type="duplicateValues" dxfId="3651" priority="2557"/>
    <cfRule type="duplicateValues" dxfId="3650" priority="2558"/>
    <cfRule type="duplicateValues" dxfId="3649" priority="2559"/>
    <cfRule type="duplicateValues" dxfId="3648" priority="2560"/>
    <cfRule type="duplicateValues" dxfId="3647" priority="2561"/>
    <cfRule type="duplicateValues" dxfId="3646" priority="2562"/>
    <cfRule type="duplicateValues" dxfId="3645" priority="2563"/>
    <cfRule type="duplicateValues" dxfId="3644" priority="2564"/>
    <cfRule type="duplicateValues" dxfId="3643" priority="2565"/>
    <cfRule type="duplicateValues" dxfId="3642" priority="2566"/>
    <cfRule type="duplicateValues" dxfId="3641" priority="2567"/>
    <cfRule type="duplicateValues" dxfId="3640" priority="2568"/>
    <cfRule type="duplicateValues" dxfId="3639" priority="2569"/>
    <cfRule type="duplicateValues" dxfId="3638" priority="2570"/>
    <cfRule type="duplicateValues" dxfId="3637" priority="2571"/>
    <cfRule type="duplicateValues" dxfId="3636" priority="2572"/>
    <cfRule type="duplicateValues" dxfId="3635" priority="2573"/>
    <cfRule type="duplicateValues" dxfId="3634" priority="2574"/>
    <cfRule type="duplicateValues" dxfId="3633" priority="2575"/>
    <cfRule type="duplicateValues" dxfId="3632" priority="2576"/>
    <cfRule type="duplicateValues" dxfId="3631" priority="2577"/>
    <cfRule type="duplicateValues" dxfId="3630" priority="2578"/>
    <cfRule type="duplicateValues" dxfId="3629" priority="2579"/>
    <cfRule type="duplicateValues" dxfId="3628" priority="2580"/>
    <cfRule type="duplicateValues" dxfId="3627" priority="2581"/>
    <cfRule type="duplicateValues" dxfId="3626" priority="2582"/>
    <cfRule type="duplicateValues" dxfId="3625" priority="2583"/>
    <cfRule type="duplicateValues" dxfId="3624" priority="2584"/>
    <cfRule type="duplicateValues" dxfId="3623" priority="2585"/>
    <cfRule type="duplicateValues" dxfId="3622" priority="2586"/>
    <cfRule type="duplicateValues" dxfId="3621" priority="2587"/>
    <cfRule type="duplicateValues" dxfId="3620" priority="2588"/>
    <cfRule type="duplicateValues" dxfId="3619" priority="2589"/>
    <cfRule type="duplicateValues" dxfId="3618" priority="2590"/>
    <cfRule type="duplicateValues" dxfId="3617" priority="2591"/>
    <cfRule type="duplicateValues" dxfId="3616" priority="2592"/>
    <cfRule type="duplicateValues" dxfId="3615" priority="2593"/>
    <cfRule type="duplicateValues" dxfId="3614" priority="2594"/>
    <cfRule type="duplicateValues" dxfId="3613" priority="2595"/>
    <cfRule type="duplicateValues" dxfId="3612" priority="2596"/>
    <cfRule type="duplicateValues" dxfId="3611" priority="2597"/>
    <cfRule type="duplicateValues" dxfId="3610" priority="2598"/>
    <cfRule type="duplicateValues" dxfId="3609" priority="2599"/>
    <cfRule type="duplicateValues" dxfId="3608" priority="2600"/>
    <cfRule type="duplicateValues" dxfId="3607" priority="2601"/>
    <cfRule type="duplicateValues" dxfId="3606" priority="2602"/>
    <cfRule type="duplicateValues" dxfId="3605" priority="2603"/>
    <cfRule type="duplicateValues" dxfId="3604" priority="2604"/>
    <cfRule type="duplicateValues" dxfId="3603" priority="2605"/>
    <cfRule type="duplicateValues" dxfId="3602" priority="2606"/>
    <cfRule type="duplicateValues" dxfId="3601" priority="2607"/>
    <cfRule type="duplicateValues" dxfId="3600" priority="2608"/>
    <cfRule type="duplicateValues" dxfId="3599" priority="2609"/>
    <cfRule type="duplicateValues" dxfId="3598" priority="2610"/>
    <cfRule type="duplicateValues" dxfId="3597" priority="2611"/>
    <cfRule type="duplicateValues" dxfId="3596" priority="2612"/>
    <cfRule type="duplicateValues" dxfId="3595" priority="2613"/>
    <cfRule type="duplicateValues" dxfId="3594" priority="2614"/>
    <cfRule type="duplicateValues" dxfId="3593" priority="2615"/>
    <cfRule type="duplicateValues" dxfId="3592" priority="2616"/>
    <cfRule type="duplicateValues" dxfId="3591" priority="2617"/>
    <cfRule type="duplicateValues" dxfId="3590" priority="2618"/>
    <cfRule type="duplicateValues" dxfId="3589" priority="2619"/>
    <cfRule type="duplicateValues" dxfId="3588" priority="2620"/>
    <cfRule type="duplicateValues" dxfId="3587" priority="2621"/>
    <cfRule type="duplicateValues" dxfId="3586" priority="2622"/>
    <cfRule type="duplicateValues" dxfId="3585" priority="2623"/>
    <cfRule type="duplicateValues" dxfId="3584" priority="2624"/>
    <cfRule type="duplicateValues" dxfId="3583" priority="2625"/>
    <cfRule type="duplicateValues" dxfId="3582" priority="2626"/>
    <cfRule type="duplicateValues" dxfId="3581" priority="2627"/>
    <cfRule type="duplicateValues" dxfId="3580" priority="2628"/>
    <cfRule type="duplicateValues" dxfId="3579" priority="2629"/>
    <cfRule type="duplicateValues" dxfId="3578" priority="2630"/>
    <cfRule type="duplicateValues" dxfId="3577" priority="2631"/>
    <cfRule type="duplicateValues" dxfId="3576" priority="2632"/>
    <cfRule type="duplicateValues" dxfId="3575" priority="2633"/>
    <cfRule type="duplicateValues" dxfId="3574" priority="2634"/>
    <cfRule type="duplicateValues" dxfId="3573" priority="2635"/>
    <cfRule type="duplicateValues" dxfId="3572" priority="2636"/>
    <cfRule type="duplicateValues" dxfId="3571" priority="2637"/>
    <cfRule type="duplicateValues" dxfId="3570" priority="2638"/>
    <cfRule type="duplicateValues" dxfId="3569" priority="2639"/>
    <cfRule type="duplicateValues" dxfId="3568" priority="2640"/>
    <cfRule type="duplicateValues" dxfId="3567" priority="2641"/>
    <cfRule type="duplicateValues" dxfId="3566" priority="2642"/>
    <cfRule type="duplicateValues" dxfId="3565" priority="2643"/>
    <cfRule type="duplicateValues" dxfId="3564" priority="2644"/>
    <cfRule type="duplicateValues" dxfId="3563" priority="2645"/>
    <cfRule type="duplicateValues" dxfId="3562" priority="2646"/>
    <cfRule type="duplicateValues" dxfId="3561" priority="2647"/>
    <cfRule type="duplicateValues" dxfId="3560" priority="2648"/>
    <cfRule type="duplicateValues" dxfId="3559" priority="2649"/>
    <cfRule type="duplicateValues" dxfId="3558" priority="2650"/>
    <cfRule type="duplicateValues" dxfId="3557" priority="2651"/>
    <cfRule type="duplicateValues" dxfId="3556" priority="2652"/>
  </conditionalFormatting>
  <conditionalFormatting sqref="C297">
    <cfRule type="duplicateValues" dxfId="3555" priority="11562"/>
    <cfRule type="duplicateValues" dxfId="3554" priority="11563"/>
    <cfRule type="duplicateValues" dxfId="3553" priority="11564"/>
    <cfRule type="duplicateValues" dxfId="3552" priority="11565"/>
    <cfRule type="duplicateValues" dxfId="3551" priority="11566"/>
    <cfRule type="duplicateValues" dxfId="3550" priority="11567"/>
    <cfRule type="duplicateValues" dxfId="3549" priority="11568"/>
    <cfRule type="duplicateValues" dxfId="3548" priority="11569"/>
    <cfRule type="duplicateValues" dxfId="3547" priority="11570"/>
    <cfRule type="duplicateValues" dxfId="3546" priority="11571"/>
    <cfRule type="duplicateValues" dxfId="3545" priority="11572"/>
    <cfRule type="duplicateValues" dxfId="3544" priority="11573"/>
    <cfRule type="duplicateValues" dxfId="3543" priority="11574"/>
    <cfRule type="duplicateValues" dxfId="3542" priority="11575"/>
    <cfRule type="duplicateValues" dxfId="3541" priority="11576"/>
    <cfRule type="duplicateValues" dxfId="3540" priority="11577"/>
    <cfRule type="duplicateValues" dxfId="3539" priority="11578"/>
    <cfRule type="duplicateValues" dxfId="3538" priority="11579"/>
    <cfRule type="duplicateValues" dxfId="3537" priority="11580"/>
    <cfRule type="duplicateValues" dxfId="3536" priority="11581"/>
    <cfRule type="duplicateValues" dxfId="3535" priority="11582"/>
    <cfRule type="duplicateValues" dxfId="3534" priority="11583"/>
    <cfRule type="duplicateValues" dxfId="3533" priority="11584"/>
    <cfRule type="duplicateValues" dxfId="3532" priority="11585"/>
    <cfRule type="duplicateValues" dxfId="3531" priority="11586"/>
    <cfRule type="duplicateValues" dxfId="3530" priority="11587"/>
    <cfRule type="duplicateValues" dxfId="3529" priority="11588"/>
    <cfRule type="duplicateValues" dxfId="3528" priority="11589"/>
    <cfRule type="duplicateValues" dxfId="3527" priority="11590"/>
    <cfRule type="duplicateValues" dxfId="3526" priority="11591"/>
    <cfRule type="duplicateValues" dxfId="3525" priority="11592"/>
    <cfRule type="duplicateValues" dxfId="3524" priority="11593"/>
    <cfRule type="duplicateValues" dxfId="3523" priority="11594"/>
    <cfRule type="duplicateValues" dxfId="3522" priority="11595"/>
    <cfRule type="duplicateValues" dxfId="3521" priority="11596"/>
    <cfRule type="duplicateValues" dxfId="3520" priority="11597"/>
    <cfRule type="duplicateValues" dxfId="3519" priority="11598"/>
    <cfRule type="duplicateValues" dxfId="3518" priority="11599"/>
    <cfRule type="duplicateValues" dxfId="3517" priority="11600"/>
    <cfRule type="duplicateValues" dxfId="3516" priority="11601"/>
    <cfRule type="duplicateValues" dxfId="3515" priority="11602"/>
    <cfRule type="duplicateValues" dxfId="3514" priority="11603"/>
    <cfRule type="duplicateValues" dxfId="3513" priority="11604"/>
    <cfRule type="duplicateValues" dxfId="3512" priority="11605"/>
    <cfRule type="duplicateValues" dxfId="3511" priority="11606"/>
    <cfRule type="duplicateValues" dxfId="3510" priority="11607"/>
    <cfRule type="duplicateValues" dxfId="3509" priority="11608"/>
    <cfRule type="duplicateValues" dxfId="3508" priority="11609"/>
    <cfRule type="duplicateValues" dxfId="3507" priority="11610"/>
    <cfRule type="duplicateValues" dxfId="3506" priority="11611"/>
    <cfRule type="duplicateValues" dxfId="3505" priority="11612"/>
    <cfRule type="duplicateValues" dxfId="3504" priority="11613"/>
    <cfRule type="duplicateValues" dxfId="3503" priority="11614"/>
    <cfRule type="duplicateValues" dxfId="3502" priority="11615"/>
    <cfRule type="duplicateValues" dxfId="3501" priority="11616"/>
    <cfRule type="duplicateValues" dxfId="3500" priority="11617"/>
    <cfRule type="duplicateValues" dxfId="3499" priority="11618"/>
    <cfRule type="duplicateValues" dxfId="3498" priority="11619"/>
    <cfRule type="duplicateValues" dxfId="3497" priority="11620"/>
    <cfRule type="duplicateValues" dxfId="3496" priority="11621"/>
    <cfRule type="duplicateValues" dxfId="3495" priority="11622"/>
    <cfRule type="duplicateValues" dxfId="3494" priority="11623"/>
    <cfRule type="duplicateValues" dxfId="3493" priority="11624"/>
    <cfRule type="duplicateValues" dxfId="3492" priority="11625"/>
    <cfRule type="duplicateValues" dxfId="3491" priority="11626"/>
    <cfRule type="duplicateValues" dxfId="3490" priority="11627"/>
    <cfRule type="duplicateValues" dxfId="3489" priority="11628"/>
    <cfRule type="duplicateValues" dxfId="3488" priority="11629"/>
    <cfRule type="duplicateValues" dxfId="3487" priority="11630"/>
    <cfRule type="duplicateValues" dxfId="3486" priority="11631"/>
    <cfRule type="duplicateValues" dxfId="3485" priority="11632"/>
    <cfRule type="duplicateValues" dxfId="3484" priority="11633"/>
    <cfRule type="duplicateValues" dxfId="3483" priority="11634"/>
    <cfRule type="duplicateValues" dxfId="3482" priority="11635"/>
    <cfRule type="duplicateValues" dxfId="3481" priority="11636"/>
    <cfRule type="duplicateValues" dxfId="3480" priority="11637"/>
    <cfRule type="duplicateValues" dxfId="3479" priority="11638"/>
    <cfRule type="duplicateValues" dxfId="3478" priority="11639"/>
    <cfRule type="duplicateValues" dxfId="3477" priority="11640"/>
    <cfRule type="duplicateValues" dxfId="3476" priority="11641"/>
    <cfRule type="duplicateValues" dxfId="3475" priority="11642"/>
    <cfRule type="duplicateValues" dxfId="3474" priority="11643"/>
    <cfRule type="duplicateValues" dxfId="3473" priority="11644"/>
    <cfRule type="duplicateValues" dxfId="3472" priority="11645"/>
    <cfRule type="duplicateValues" dxfId="3471" priority="11646"/>
    <cfRule type="duplicateValues" dxfId="3470" priority="11647"/>
    <cfRule type="duplicateValues" dxfId="3469" priority="11648"/>
    <cfRule type="duplicateValues" dxfId="3468" priority="11649"/>
    <cfRule type="duplicateValues" dxfId="3467" priority="11650"/>
    <cfRule type="duplicateValues" dxfId="3466" priority="11651"/>
    <cfRule type="duplicateValues" dxfId="3465" priority="11652"/>
    <cfRule type="duplicateValues" dxfId="3464" priority="11653"/>
    <cfRule type="duplicateValues" dxfId="3463" priority="11654"/>
    <cfRule type="duplicateValues" dxfId="3462" priority="11655"/>
    <cfRule type="duplicateValues" dxfId="3461" priority="11656"/>
    <cfRule type="duplicateValues" dxfId="3460" priority="11657"/>
    <cfRule type="duplicateValues" dxfId="3459" priority="11658"/>
    <cfRule type="duplicateValues" dxfId="3458" priority="11659"/>
    <cfRule type="duplicateValues" dxfId="3457" priority="11660"/>
    <cfRule type="duplicateValues" dxfId="3456" priority="11661"/>
    <cfRule type="duplicateValues" dxfId="3455" priority="11662"/>
    <cfRule type="duplicateValues" dxfId="3454" priority="11663"/>
    <cfRule type="duplicateValues" dxfId="3453" priority="11664"/>
    <cfRule type="duplicateValues" dxfId="3452" priority="11665"/>
    <cfRule type="duplicateValues" dxfId="3451" priority="11666"/>
    <cfRule type="duplicateValues" dxfId="3450" priority="11667"/>
    <cfRule type="duplicateValues" dxfId="3449" priority="11668"/>
    <cfRule type="duplicateValues" dxfId="3448" priority="11669"/>
    <cfRule type="duplicateValues" dxfId="3447" priority="11670"/>
    <cfRule type="duplicateValues" dxfId="3446" priority="11671"/>
    <cfRule type="duplicateValues" dxfId="3445" priority="11672"/>
    <cfRule type="duplicateValues" dxfId="3444" priority="11673"/>
    <cfRule type="duplicateValues" dxfId="3443" priority="11674"/>
    <cfRule type="duplicateValues" dxfId="3442" priority="11675"/>
    <cfRule type="duplicateValues" dxfId="3441" priority="11676"/>
    <cfRule type="duplicateValues" dxfId="3440" priority="11677"/>
    <cfRule type="duplicateValues" dxfId="3439" priority="11678"/>
    <cfRule type="duplicateValues" dxfId="3438" priority="11679"/>
    <cfRule type="duplicateValues" dxfId="3437" priority="11680"/>
    <cfRule type="duplicateValues" dxfId="3436" priority="11681"/>
    <cfRule type="duplicateValues" dxfId="3435" priority="11682"/>
    <cfRule type="duplicateValues" dxfId="3434" priority="11683"/>
    <cfRule type="duplicateValues" dxfId="3433" priority="11684"/>
    <cfRule type="duplicateValues" dxfId="3432" priority="11685"/>
    <cfRule type="duplicateValues" dxfId="3431" priority="11686"/>
    <cfRule type="duplicateValues" dxfId="3430" priority="11687"/>
    <cfRule type="duplicateValues" dxfId="3429" priority="11688"/>
    <cfRule type="duplicateValues" dxfId="3428" priority="11689"/>
    <cfRule type="duplicateValues" dxfId="3427" priority="11690"/>
    <cfRule type="duplicateValues" dxfId="3426" priority="11691"/>
    <cfRule type="duplicateValues" dxfId="3425" priority="11692"/>
    <cfRule type="duplicateValues" dxfId="3424" priority="11693"/>
    <cfRule type="duplicateValues" dxfId="3423" priority="11694"/>
    <cfRule type="duplicateValues" dxfId="3422" priority="11695"/>
    <cfRule type="duplicateValues" dxfId="3421" priority="11696"/>
    <cfRule type="duplicateValues" dxfId="3420" priority="11697"/>
    <cfRule type="duplicateValues" dxfId="3419" priority="11698"/>
    <cfRule type="duplicateValues" dxfId="3418" priority="11699"/>
    <cfRule type="duplicateValues" dxfId="3417" priority="11700"/>
    <cfRule type="duplicateValues" dxfId="3416" priority="11701"/>
    <cfRule type="duplicateValues" dxfId="3415" priority="11702"/>
    <cfRule type="duplicateValues" dxfId="3414" priority="11703"/>
    <cfRule type="duplicateValues" dxfId="3413" priority="11704"/>
    <cfRule type="duplicateValues" dxfId="3412" priority="11705"/>
    <cfRule type="duplicateValues" dxfId="3411" priority="11706"/>
    <cfRule type="duplicateValues" dxfId="3410" priority="11707"/>
    <cfRule type="duplicateValues" dxfId="3409" priority="11708"/>
    <cfRule type="duplicateValues" dxfId="3408" priority="11709"/>
    <cfRule type="duplicateValues" dxfId="3407" priority="11710"/>
    <cfRule type="duplicateValues" dxfId="3406" priority="11711"/>
    <cfRule type="duplicateValues" dxfId="3405" priority="11712"/>
    <cfRule type="duplicateValues" dxfId="3404" priority="11713"/>
    <cfRule type="duplicateValues" dxfId="3403" priority="11714"/>
    <cfRule type="duplicateValues" dxfId="3402" priority="11715"/>
    <cfRule type="duplicateValues" dxfId="3401" priority="11716"/>
    <cfRule type="duplicateValues" dxfId="3400" priority="11717"/>
    <cfRule type="duplicateValues" dxfId="3399" priority="11718"/>
    <cfRule type="duplicateValues" dxfId="3398" priority="11719"/>
    <cfRule type="duplicateValues" dxfId="3397" priority="11720"/>
    <cfRule type="duplicateValues" dxfId="3396" priority="11721"/>
    <cfRule type="duplicateValues" dxfId="3395" priority="11722"/>
    <cfRule type="duplicateValues" dxfId="3394" priority="11723"/>
    <cfRule type="duplicateValues" dxfId="3393" priority="11724"/>
    <cfRule type="duplicateValues" dxfId="3392" priority="11725"/>
    <cfRule type="duplicateValues" dxfId="3391" priority="11726"/>
    <cfRule type="duplicateValues" dxfId="3390" priority="11727"/>
    <cfRule type="duplicateValues" dxfId="3389" priority="11728"/>
    <cfRule type="duplicateValues" dxfId="3388" priority="11729"/>
    <cfRule type="duplicateValues" dxfId="3387" priority="11730"/>
    <cfRule type="duplicateValues" dxfId="3386" priority="11731"/>
    <cfRule type="duplicateValues" dxfId="3385" priority="11732"/>
    <cfRule type="duplicateValues" dxfId="3384" priority="11733"/>
    <cfRule type="duplicateValues" dxfId="3383" priority="11734"/>
    <cfRule type="duplicateValues" dxfId="3382" priority="11735"/>
    <cfRule type="duplicateValues" dxfId="3381" priority="11736"/>
    <cfRule type="duplicateValues" dxfId="3380" priority="11737"/>
    <cfRule type="duplicateValues" dxfId="3379" priority="11738"/>
    <cfRule type="duplicateValues" dxfId="3378" priority="11739"/>
    <cfRule type="duplicateValues" dxfId="3377" priority="11740"/>
    <cfRule type="duplicateValues" dxfId="3376" priority="11741"/>
    <cfRule type="duplicateValues" dxfId="3375" priority="11742"/>
    <cfRule type="duplicateValues" dxfId="3374" priority="11743"/>
    <cfRule type="duplicateValues" dxfId="3373" priority="11744"/>
    <cfRule type="duplicateValues" dxfId="3372" priority="11745"/>
    <cfRule type="duplicateValues" dxfId="3371" priority="11746"/>
    <cfRule type="duplicateValues" dxfId="3370" priority="11747"/>
    <cfRule type="duplicateValues" dxfId="3369" priority="11748"/>
    <cfRule type="duplicateValues" dxfId="3368" priority="11749"/>
    <cfRule type="duplicateValues" dxfId="3367" priority="11750"/>
    <cfRule type="duplicateValues" dxfId="3366" priority="11751"/>
    <cfRule type="duplicateValues" dxfId="3365" priority="11752"/>
    <cfRule type="duplicateValues" dxfId="3364" priority="11753"/>
    <cfRule type="duplicateValues" dxfId="3363" priority="11754"/>
    <cfRule type="duplicateValues" dxfId="3362" priority="11755"/>
    <cfRule type="duplicateValues" dxfId="3361" priority="11756"/>
    <cfRule type="duplicateValues" dxfId="3360" priority="11757"/>
    <cfRule type="duplicateValues" dxfId="3359" priority="11758"/>
    <cfRule type="duplicateValues" dxfId="3358" priority="11759"/>
    <cfRule type="duplicateValues" dxfId="3357" priority="11760"/>
    <cfRule type="duplicateValues" dxfId="3356" priority="11761"/>
    <cfRule type="duplicateValues" dxfId="3355" priority="11762"/>
    <cfRule type="duplicateValues" dxfId="3354" priority="11763"/>
    <cfRule type="duplicateValues" dxfId="3353" priority="11764"/>
    <cfRule type="duplicateValues" dxfId="3352" priority="11765"/>
    <cfRule type="duplicateValues" dxfId="3351" priority="11766"/>
    <cfRule type="duplicateValues" dxfId="3350" priority="11767"/>
    <cfRule type="duplicateValues" dxfId="3349" priority="11768"/>
    <cfRule type="duplicateValues" dxfId="3348" priority="11769"/>
    <cfRule type="duplicateValues" dxfId="3347" priority="11770"/>
    <cfRule type="duplicateValues" dxfId="3346" priority="11771"/>
    <cfRule type="duplicateValues" dxfId="3345" priority="11772"/>
    <cfRule type="duplicateValues" dxfId="3344" priority="11773"/>
    <cfRule type="duplicateValues" dxfId="3343" priority="11774"/>
    <cfRule type="duplicateValues" dxfId="3342" priority="11775"/>
    <cfRule type="duplicateValues" dxfId="3341" priority="11776"/>
    <cfRule type="duplicateValues" dxfId="3340" priority="11777"/>
    <cfRule type="duplicateValues" dxfId="3339" priority="11778"/>
    <cfRule type="duplicateValues" dxfId="3338" priority="11779"/>
    <cfRule type="duplicateValues" dxfId="3337" priority="11780"/>
    <cfRule type="duplicateValues" dxfId="3336" priority="11781"/>
    <cfRule type="duplicateValues" dxfId="3335" priority="11782"/>
    <cfRule type="duplicateValues" dxfId="3334" priority="11783"/>
    <cfRule type="duplicateValues" dxfId="3333" priority="11784"/>
    <cfRule type="duplicateValues" dxfId="3332" priority="11785"/>
    <cfRule type="duplicateValues" dxfId="3331" priority="11786"/>
    <cfRule type="duplicateValues" dxfId="3330" priority="11787"/>
    <cfRule type="duplicateValues" dxfId="3329" priority="11788"/>
    <cfRule type="duplicateValues" dxfId="3328" priority="11789"/>
    <cfRule type="duplicateValues" dxfId="3327" priority="11790"/>
    <cfRule type="duplicateValues" dxfId="3326" priority="11791"/>
    <cfRule type="duplicateValues" dxfId="3325" priority="11792"/>
    <cfRule type="duplicateValues" dxfId="3324" priority="11793"/>
    <cfRule type="duplicateValues" dxfId="3323" priority="11794"/>
    <cfRule type="duplicateValues" dxfId="3322" priority="11795"/>
    <cfRule type="duplicateValues" dxfId="3321" priority="11796"/>
    <cfRule type="duplicateValues" dxfId="3320" priority="11797"/>
    <cfRule type="duplicateValues" dxfId="3319" priority="11798"/>
    <cfRule type="duplicateValues" dxfId="3318" priority="11799"/>
    <cfRule type="duplicateValues" dxfId="3317" priority="11800"/>
    <cfRule type="duplicateValues" dxfId="3316" priority="11801"/>
    <cfRule type="duplicateValues" dxfId="3315" priority="11802"/>
    <cfRule type="duplicateValues" dxfId="3314" priority="11803"/>
    <cfRule type="duplicateValues" dxfId="3313" priority="11804"/>
    <cfRule type="duplicateValues" dxfId="3312" priority="11805"/>
    <cfRule type="duplicateValues" dxfId="3311" priority="11806"/>
    <cfRule type="duplicateValues" dxfId="3310" priority="11807"/>
    <cfRule type="duplicateValues" dxfId="3309" priority="11808"/>
    <cfRule type="duplicateValues" dxfId="3308" priority="11809"/>
    <cfRule type="duplicateValues" dxfId="3307" priority="11810"/>
    <cfRule type="duplicateValues" dxfId="3306" priority="11811"/>
    <cfRule type="duplicateValues" dxfId="3305" priority="11812"/>
    <cfRule type="duplicateValues" dxfId="3304" priority="11813"/>
    <cfRule type="duplicateValues" dxfId="3303" priority="11814"/>
    <cfRule type="duplicateValues" dxfId="3302" priority="11815"/>
    <cfRule type="duplicateValues" dxfId="3301" priority="11816"/>
    <cfRule type="duplicateValues" dxfId="3300" priority="11817"/>
    <cfRule type="duplicateValues" dxfId="3299" priority="11818"/>
    <cfRule type="duplicateValues" dxfId="3298" priority="11819"/>
    <cfRule type="duplicateValues" dxfId="3297" priority="11820"/>
    <cfRule type="duplicateValues" dxfId="3296" priority="11821"/>
    <cfRule type="duplicateValues" dxfId="3295" priority="11822"/>
    <cfRule type="duplicateValues" dxfId="3294" priority="11823"/>
    <cfRule type="duplicateValues" dxfId="3293" priority="11824"/>
    <cfRule type="duplicateValues" dxfId="3292" priority="11825"/>
    <cfRule type="duplicateValues" dxfId="3291" priority="11826"/>
    <cfRule type="duplicateValues" dxfId="3290" priority="11827"/>
    <cfRule type="duplicateValues" dxfId="3289" priority="11828"/>
    <cfRule type="duplicateValues" dxfId="3288" priority="11829"/>
    <cfRule type="duplicateValues" dxfId="3287" priority="11830"/>
    <cfRule type="duplicateValues" dxfId="3286" priority="11831"/>
    <cfRule type="duplicateValues" dxfId="3285" priority="11832"/>
    <cfRule type="duplicateValues" dxfId="3284" priority="11833"/>
    <cfRule type="duplicateValues" dxfId="3283" priority="11834"/>
    <cfRule type="duplicateValues" dxfId="3282" priority="11835"/>
    <cfRule type="duplicateValues" dxfId="3281" priority="11836"/>
    <cfRule type="duplicateValues" dxfId="3280" priority="11837"/>
    <cfRule type="duplicateValues" dxfId="3279" priority="11838"/>
    <cfRule type="duplicateValues" dxfId="3278" priority="11839"/>
    <cfRule type="duplicateValues" dxfId="3277" priority="11840"/>
    <cfRule type="duplicateValues" dxfId="3276" priority="11841"/>
    <cfRule type="duplicateValues" dxfId="3275" priority="11842"/>
    <cfRule type="duplicateValues" dxfId="3274" priority="11843"/>
    <cfRule type="duplicateValues" dxfId="3273" priority="11844"/>
    <cfRule type="duplicateValues" dxfId="3272" priority="11845"/>
    <cfRule type="duplicateValues" dxfId="3271" priority="11846"/>
    <cfRule type="duplicateValues" dxfId="3270" priority="11847"/>
    <cfRule type="duplicateValues" dxfId="3269" priority="11848"/>
    <cfRule type="duplicateValues" dxfId="3268" priority="11849"/>
    <cfRule type="duplicateValues" dxfId="3267" priority="11850"/>
    <cfRule type="duplicateValues" dxfId="3266" priority="11851"/>
    <cfRule type="duplicateValues" dxfId="3265" priority="11852"/>
    <cfRule type="duplicateValues" dxfId="3264" priority="11853"/>
    <cfRule type="duplicateValues" dxfId="3263" priority="11854"/>
    <cfRule type="duplicateValues" dxfId="3262" priority="11855"/>
    <cfRule type="duplicateValues" dxfId="3261" priority="11856"/>
    <cfRule type="duplicateValues" dxfId="3260" priority="11857"/>
    <cfRule type="duplicateValues" dxfId="3259" priority="11858"/>
    <cfRule type="duplicateValues" dxfId="3258" priority="11859"/>
    <cfRule type="duplicateValues" dxfId="3257" priority="11860"/>
    <cfRule type="duplicateValues" dxfId="3256" priority="11861"/>
    <cfRule type="duplicateValues" dxfId="3255" priority="11862"/>
    <cfRule type="duplicateValues" dxfId="3254" priority="11863"/>
    <cfRule type="duplicateValues" dxfId="3253" priority="11864"/>
    <cfRule type="duplicateValues" dxfId="3252" priority="11865"/>
    <cfRule type="duplicateValues" dxfId="3251" priority="11866"/>
    <cfRule type="duplicateValues" dxfId="3250" priority="11867"/>
    <cfRule type="duplicateValues" dxfId="3249" priority="11868"/>
    <cfRule type="duplicateValues" dxfId="3248" priority="11869"/>
    <cfRule type="duplicateValues" dxfId="3247" priority="11870"/>
    <cfRule type="duplicateValues" dxfId="3246" priority="11871"/>
    <cfRule type="duplicateValues" dxfId="3245" priority="11872"/>
    <cfRule type="duplicateValues" dxfId="3244" priority="11873"/>
    <cfRule type="duplicateValues" dxfId="3243" priority="11874"/>
    <cfRule type="duplicateValues" dxfId="3242" priority="11875"/>
    <cfRule type="duplicateValues" dxfId="3241" priority="11876"/>
    <cfRule type="duplicateValues" dxfId="3240" priority="11877"/>
    <cfRule type="duplicateValues" dxfId="3239" priority="11878"/>
    <cfRule type="duplicateValues" dxfId="3238" priority="11879"/>
    <cfRule type="duplicateValues" dxfId="3237" priority="11880"/>
    <cfRule type="duplicateValues" dxfId="3236" priority="11881"/>
    <cfRule type="duplicateValues" dxfId="3235" priority="11882"/>
    <cfRule type="duplicateValues" dxfId="3234" priority="11883"/>
    <cfRule type="duplicateValues" dxfId="3233" priority="11884"/>
    <cfRule type="duplicateValues" dxfId="3232" priority="11885"/>
    <cfRule type="duplicateValues" dxfId="3231" priority="11886"/>
    <cfRule type="duplicateValues" dxfId="3230" priority="11887"/>
    <cfRule type="duplicateValues" dxfId="3229" priority="11888"/>
    <cfRule type="duplicateValues" dxfId="3228" priority="11889"/>
    <cfRule type="duplicateValues" dxfId="3227" priority="11890"/>
    <cfRule type="duplicateValues" dxfId="3226" priority="11891"/>
    <cfRule type="duplicateValues" dxfId="3225" priority="11892"/>
    <cfRule type="duplicateValues" dxfId="3224" priority="11893"/>
    <cfRule type="duplicateValues" dxfId="3223" priority="11894"/>
    <cfRule type="duplicateValues" dxfId="3222" priority="11895"/>
    <cfRule type="duplicateValues" dxfId="3221" priority="11896"/>
    <cfRule type="duplicateValues" dxfId="3220" priority="11897"/>
    <cfRule type="duplicateValues" dxfId="3219" priority="11898"/>
    <cfRule type="duplicateValues" dxfId="3218" priority="11899"/>
    <cfRule type="duplicateValues" dxfId="3217" priority="11900"/>
    <cfRule type="duplicateValues" dxfId="3216" priority="11901"/>
    <cfRule type="duplicateValues" dxfId="3215" priority="11902"/>
    <cfRule type="duplicateValues" dxfId="3214" priority="11903"/>
    <cfRule type="duplicateValues" dxfId="3213" priority="11904"/>
    <cfRule type="duplicateValues" dxfId="3212" priority="11905"/>
    <cfRule type="duplicateValues" dxfId="3211" priority="11906"/>
  </conditionalFormatting>
  <conditionalFormatting sqref="C298">
    <cfRule type="duplicateValues" dxfId="3210" priority="11217"/>
    <cfRule type="duplicateValues" dxfId="3209" priority="11218"/>
    <cfRule type="duplicateValues" dxfId="3208" priority="11219"/>
    <cfRule type="duplicateValues" dxfId="3207" priority="11220"/>
    <cfRule type="duplicateValues" dxfId="3206" priority="11221"/>
    <cfRule type="duplicateValues" dxfId="3205" priority="11222"/>
    <cfRule type="duplicateValues" dxfId="3204" priority="11223"/>
    <cfRule type="duplicateValues" dxfId="3203" priority="11224"/>
    <cfRule type="duplicateValues" dxfId="3202" priority="11225"/>
    <cfRule type="duplicateValues" dxfId="3201" priority="11226"/>
    <cfRule type="duplicateValues" dxfId="3200" priority="11227"/>
    <cfRule type="duplicateValues" dxfId="3199" priority="11228"/>
    <cfRule type="duplicateValues" dxfId="3198" priority="11229"/>
    <cfRule type="duplicateValues" dxfId="3197" priority="11230"/>
    <cfRule type="duplicateValues" dxfId="3196" priority="11231"/>
    <cfRule type="duplicateValues" dxfId="3195" priority="11232"/>
    <cfRule type="duplicateValues" dxfId="3194" priority="11233"/>
    <cfRule type="duplicateValues" dxfId="3193" priority="11234"/>
    <cfRule type="duplicateValues" dxfId="3192" priority="11235"/>
    <cfRule type="duplicateValues" dxfId="3191" priority="11236"/>
    <cfRule type="duplicateValues" dxfId="3190" priority="11237"/>
    <cfRule type="duplicateValues" dxfId="3189" priority="11238"/>
    <cfRule type="duplicateValues" dxfId="3188" priority="11239"/>
    <cfRule type="duplicateValues" dxfId="3187" priority="11240"/>
    <cfRule type="duplicateValues" dxfId="3186" priority="11241"/>
    <cfRule type="duplicateValues" dxfId="3185" priority="11242"/>
    <cfRule type="duplicateValues" dxfId="3184" priority="11243"/>
    <cfRule type="duplicateValues" dxfId="3183" priority="11244"/>
    <cfRule type="duplicateValues" dxfId="3182" priority="11245"/>
    <cfRule type="duplicateValues" dxfId="3181" priority="11246"/>
    <cfRule type="duplicateValues" dxfId="3180" priority="11247"/>
    <cfRule type="duplicateValues" dxfId="3179" priority="11248"/>
    <cfRule type="duplicateValues" dxfId="3178" priority="11249"/>
    <cfRule type="duplicateValues" dxfId="3177" priority="11250"/>
    <cfRule type="duplicateValues" dxfId="3176" priority="11251"/>
    <cfRule type="duplicateValues" dxfId="3175" priority="11252"/>
    <cfRule type="duplicateValues" dxfId="3174" priority="11253"/>
    <cfRule type="duplicateValues" dxfId="3173" priority="11254"/>
    <cfRule type="duplicateValues" dxfId="3172" priority="11255"/>
    <cfRule type="duplicateValues" dxfId="3171" priority="11256"/>
    <cfRule type="duplicateValues" dxfId="3170" priority="11257"/>
    <cfRule type="duplicateValues" dxfId="3169" priority="11258"/>
    <cfRule type="duplicateValues" dxfId="3168" priority="11259"/>
    <cfRule type="duplicateValues" dxfId="3167" priority="11260"/>
    <cfRule type="duplicateValues" dxfId="3166" priority="11261"/>
    <cfRule type="duplicateValues" dxfId="3165" priority="11262"/>
    <cfRule type="duplicateValues" dxfId="3164" priority="11263"/>
    <cfRule type="duplicateValues" dxfId="3163" priority="11264"/>
    <cfRule type="duplicateValues" dxfId="3162" priority="11265"/>
    <cfRule type="duplicateValues" dxfId="3161" priority="11266"/>
    <cfRule type="duplicateValues" dxfId="3160" priority="11267"/>
    <cfRule type="duplicateValues" dxfId="3159" priority="11268"/>
    <cfRule type="duplicateValues" dxfId="3158" priority="11269"/>
    <cfRule type="duplicateValues" dxfId="3157" priority="11270"/>
    <cfRule type="duplicateValues" dxfId="3156" priority="11271"/>
    <cfRule type="duplicateValues" dxfId="3155" priority="11272"/>
    <cfRule type="duplicateValues" dxfId="3154" priority="11273"/>
    <cfRule type="duplicateValues" dxfId="3153" priority="11274"/>
    <cfRule type="duplicateValues" dxfId="3152" priority="11275"/>
    <cfRule type="duplicateValues" dxfId="3151" priority="11276"/>
    <cfRule type="duplicateValues" dxfId="3150" priority="11277"/>
    <cfRule type="duplicateValues" dxfId="3149" priority="11278"/>
    <cfRule type="duplicateValues" dxfId="3148" priority="11279"/>
    <cfRule type="duplicateValues" dxfId="3147" priority="11280"/>
    <cfRule type="duplicateValues" dxfId="3146" priority="11281"/>
    <cfRule type="duplicateValues" dxfId="3145" priority="11282"/>
    <cfRule type="duplicateValues" dxfId="3144" priority="11283"/>
    <cfRule type="duplicateValues" dxfId="3143" priority="11284"/>
    <cfRule type="duplicateValues" dxfId="3142" priority="11285"/>
    <cfRule type="duplicateValues" dxfId="3141" priority="11286"/>
    <cfRule type="duplicateValues" dxfId="3140" priority="11287"/>
    <cfRule type="duplicateValues" dxfId="3139" priority="11288"/>
    <cfRule type="duplicateValues" dxfId="3138" priority="11289"/>
    <cfRule type="duplicateValues" dxfId="3137" priority="11290"/>
    <cfRule type="duplicateValues" dxfId="3136" priority="11291"/>
    <cfRule type="duplicateValues" dxfId="3135" priority="11292"/>
    <cfRule type="duplicateValues" dxfId="3134" priority="11293"/>
    <cfRule type="duplicateValues" dxfId="3133" priority="11294"/>
    <cfRule type="duplicateValues" dxfId="3132" priority="11295"/>
    <cfRule type="duplicateValues" dxfId="3131" priority="11296"/>
    <cfRule type="duplicateValues" dxfId="3130" priority="11297"/>
    <cfRule type="duplicateValues" dxfId="3129" priority="11298"/>
    <cfRule type="duplicateValues" dxfId="3128" priority="11299"/>
    <cfRule type="duplicateValues" dxfId="3127" priority="11300"/>
    <cfRule type="duplicateValues" dxfId="3126" priority="11301"/>
    <cfRule type="duplicateValues" dxfId="3125" priority="11302"/>
    <cfRule type="duplicateValues" dxfId="3124" priority="11303"/>
    <cfRule type="duplicateValues" dxfId="3123" priority="11304"/>
    <cfRule type="duplicateValues" dxfId="3122" priority="11305"/>
    <cfRule type="duplicateValues" dxfId="3121" priority="11306"/>
    <cfRule type="duplicateValues" dxfId="3120" priority="11307"/>
    <cfRule type="duplicateValues" dxfId="3119" priority="11308"/>
    <cfRule type="duplicateValues" dxfId="3118" priority="11309"/>
    <cfRule type="duplicateValues" dxfId="3117" priority="11310"/>
    <cfRule type="duplicateValues" dxfId="3116" priority="11311"/>
    <cfRule type="duplicateValues" dxfId="3115" priority="11312"/>
    <cfRule type="duplicateValues" dxfId="3114" priority="11313"/>
    <cfRule type="duplicateValues" dxfId="3113" priority="11314"/>
    <cfRule type="duplicateValues" dxfId="3112" priority="11315"/>
    <cfRule type="duplicateValues" dxfId="3111" priority="11316"/>
    <cfRule type="duplicateValues" dxfId="3110" priority="11317"/>
    <cfRule type="duplicateValues" dxfId="3109" priority="11318"/>
    <cfRule type="duplicateValues" dxfId="3108" priority="11319"/>
    <cfRule type="duplicateValues" dxfId="3107" priority="11320"/>
    <cfRule type="duplicateValues" dxfId="3106" priority="11321"/>
    <cfRule type="duplicateValues" dxfId="3105" priority="11322"/>
    <cfRule type="duplicateValues" dxfId="3104" priority="11323"/>
    <cfRule type="duplicateValues" dxfId="3103" priority="11324"/>
    <cfRule type="duplicateValues" dxfId="3102" priority="11325"/>
    <cfRule type="duplicateValues" dxfId="3101" priority="11326"/>
    <cfRule type="duplicateValues" dxfId="3100" priority="11327"/>
    <cfRule type="duplicateValues" dxfId="3099" priority="11328"/>
    <cfRule type="duplicateValues" dxfId="3098" priority="11329"/>
    <cfRule type="duplicateValues" dxfId="3097" priority="11330"/>
    <cfRule type="duplicateValues" dxfId="3096" priority="11331"/>
    <cfRule type="duplicateValues" dxfId="3095" priority="11332"/>
    <cfRule type="duplicateValues" dxfId="3094" priority="11333"/>
    <cfRule type="duplicateValues" dxfId="3093" priority="11334"/>
    <cfRule type="duplicateValues" dxfId="3092" priority="11335"/>
    <cfRule type="duplicateValues" dxfId="3091" priority="11336"/>
    <cfRule type="duplicateValues" dxfId="3090" priority="11337"/>
    <cfRule type="duplicateValues" dxfId="3089" priority="11338"/>
    <cfRule type="duplicateValues" dxfId="3088" priority="11339"/>
    <cfRule type="duplicateValues" dxfId="3087" priority="11340"/>
    <cfRule type="duplicateValues" dxfId="3086" priority="11341"/>
    <cfRule type="duplicateValues" dxfId="3085" priority="11342"/>
    <cfRule type="duplicateValues" dxfId="3084" priority="11343"/>
    <cfRule type="duplicateValues" dxfId="3083" priority="11344"/>
    <cfRule type="duplicateValues" dxfId="3082" priority="11345"/>
    <cfRule type="duplicateValues" dxfId="3081" priority="11346"/>
    <cfRule type="duplicateValues" dxfId="3080" priority="11347"/>
    <cfRule type="duplicateValues" dxfId="3079" priority="11348"/>
    <cfRule type="duplicateValues" dxfId="3078" priority="11349"/>
    <cfRule type="duplicateValues" dxfId="3077" priority="11350"/>
    <cfRule type="duplicateValues" dxfId="3076" priority="11351"/>
    <cfRule type="duplicateValues" dxfId="3075" priority="11352"/>
    <cfRule type="duplicateValues" dxfId="3074" priority="11353"/>
    <cfRule type="duplicateValues" dxfId="3073" priority="11354"/>
    <cfRule type="duplicateValues" dxfId="3072" priority="11355"/>
    <cfRule type="duplicateValues" dxfId="3071" priority="11356"/>
    <cfRule type="duplicateValues" dxfId="3070" priority="11357"/>
    <cfRule type="duplicateValues" dxfId="3069" priority="11358"/>
    <cfRule type="duplicateValues" dxfId="3068" priority="11359"/>
    <cfRule type="duplicateValues" dxfId="3067" priority="11360"/>
    <cfRule type="duplicateValues" dxfId="3066" priority="11361"/>
    <cfRule type="duplicateValues" dxfId="3065" priority="11362"/>
    <cfRule type="duplicateValues" dxfId="3064" priority="11363"/>
    <cfRule type="duplicateValues" dxfId="3063" priority="11364"/>
    <cfRule type="duplicateValues" dxfId="3062" priority="11365"/>
    <cfRule type="duplicateValues" dxfId="3061" priority="11366"/>
    <cfRule type="duplicateValues" dxfId="3060" priority="11367"/>
    <cfRule type="duplicateValues" dxfId="3059" priority="11368"/>
    <cfRule type="duplicateValues" dxfId="3058" priority="11369"/>
    <cfRule type="duplicateValues" dxfId="3057" priority="11370"/>
    <cfRule type="duplicateValues" dxfId="3056" priority="11371"/>
    <cfRule type="duplicateValues" dxfId="3055" priority="11372"/>
    <cfRule type="duplicateValues" dxfId="3054" priority="11373"/>
    <cfRule type="duplicateValues" dxfId="3053" priority="11374"/>
    <cfRule type="duplicateValues" dxfId="3052" priority="11375"/>
    <cfRule type="duplicateValues" dxfId="3051" priority="11376"/>
    <cfRule type="duplicateValues" dxfId="3050" priority="11377"/>
    <cfRule type="duplicateValues" dxfId="3049" priority="11378"/>
    <cfRule type="duplicateValues" dxfId="3048" priority="11379"/>
    <cfRule type="duplicateValues" dxfId="3047" priority="11380"/>
    <cfRule type="duplicateValues" dxfId="3046" priority="11381"/>
    <cfRule type="duplicateValues" dxfId="3045" priority="11382"/>
    <cfRule type="duplicateValues" dxfId="3044" priority="11383"/>
    <cfRule type="duplicateValues" dxfId="3043" priority="11384"/>
    <cfRule type="duplicateValues" dxfId="3042" priority="11385"/>
    <cfRule type="duplicateValues" dxfId="3041" priority="11386"/>
    <cfRule type="duplicateValues" dxfId="3040" priority="11387"/>
    <cfRule type="duplicateValues" dxfId="3039" priority="11388"/>
    <cfRule type="duplicateValues" dxfId="3038" priority="11389"/>
    <cfRule type="duplicateValues" dxfId="3037" priority="11390"/>
    <cfRule type="duplicateValues" dxfId="3036" priority="11391"/>
    <cfRule type="duplicateValues" dxfId="3035" priority="11392"/>
    <cfRule type="duplicateValues" dxfId="3034" priority="11393"/>
    <cfRule type="duplicateValues" dxfId="3033" priority="11394"/>
    <cfRule type="duplicateValues" dxfId="3032" priority="11395"/>
    <cfRule type="duplicateValues" dxfId="3031" priority="11396"/>
    <cfRule type="duplicateValues" dxfId="3030" priority="11397"/>
    <cfRule type="duplicateValues" dxfId="3029" priority="11398"/>
    <cfRule type="duplicateValues" dxfId="3028" priority="11399"/>
    <cfRule type="duplicateValues" dxfId="3027" priority="11400"/>
    <cfRule type="duplicateValues" dxfId="3026" priority="11401"/>
    <cfRule type="duplicateValues" dxfId="3025" priority="11402"/>
    <cfRule type="duplicateValues" dxfId="3024" priority="11403"/>
    <cfRule type="duplicateValues" dxfId="3023" priority="11404"/>
    <cfRule type="duplicateValues" dxfId="3022" priority="11405"/>
    <cfRule type="duplicateValues" dxfId="3021" priority="11406"/>
    <cfRule type="duplicateValues" dxfId="3020" priority="11407"/>
    <cfRule type="duplicateValues" dxfId="3019" priority="11408"/>
    <cfRule type="duplicateValues" dxfId="3018" priority="11409"/>
    <cfRule type="duplicateValues" dxfId="3017" priority="11410"/>
    <cfRule type="duplicateValues" dxfId="3016" priority="11411"/>
    <cfRule type="duplicateValues" dxfId="3015" priority="11412"/>
    <cfRule type="duplicateValues" dxfId="3014" priority="11413"/>
    <cfRule type="duplicateValues" dxfId="3013" priority="11414"/>
    <cfRule type="duplicateValues" dxfId="3012" priority="11415"/>
    <cfRule type="duplicateValues" dxfId="3011" priority="11416"/>
    <cfRule type="duplicateValues" dxfId="3010" priority="11417"/>
    <cfRule type="duplicateValues" dxfId="3009" priority="11418"/>
    <cfRule type="duplicateValues" dxfId="3008" priority="11419"/>
    <cfRule type="duplicateValues" dxfId="3007" priority="11420"/>
    <cfRule type="duplicateValues" dxfId="3006" priority="11421"/>
    <cfRule type="duplicateValues" dxfId="3005" priority="11422"/>
    <cfRule type="duplicateValues" dxfId="3004" priority="11423"/>
    <cfRule type="duplicateValues" dxfId="3003" priority="11424"/>
    <cfRule type="duplicateValues" dxfId="3002" priority="11425"/>
    <cfRule type="duplicateValues" dxfId="3001" priority="11426"/>
    <cfRule type="duplicateValues" dxfId="3000" priority="11427"/>
    <cfRule type="duplicateValues" dxfId="2999" priority="11428"/>
    <cfRule type="duplicateValues" dxfId="2998" priority="11429"/>
    <cfRule type="duplicateValues" dxfId="2997" priority="11430"/>
    <cfRule type="duplicateValues" dxfId="2996" priority="11431"/>
    <cfRule type="duplicateValues" dxfId="2995" priority="11432"/>
    <cfRule type="duplicateValues" dxfId="2994" priority="11433"/>
    <cfRule type="duplicateValues" dxfId="2993" priority="11434"/>
    <cfRule type="duplicateValues" dxfId="2992" priority="11435"/>
    <cfRule type="duplicateValues" dxfId="2991" priority="11436"/>
    <cfRule type="duplicateValues" dxfId="2990" priority="11437"/>
    <cfRule type="duplicateValues" dxfId="2989" priority="11438"/>
    <cfRule type="duplicateValues" dxfId="2988" priority="11439"/>
    <cfRule type="duplicateValues" dxfId="2987" priority="11440"/>
    <cfRule type="duplicateValues" dxfId="2986" priority="11441"/>
    <cfRule type="duplicateValues" dxfId="2985" priority="11442"/>
    <cfRule type="duplicateValues" dxfId="2984" priority="11443"/>
    <cfRule type="duplicateValues" dxfId="2983" priority="11444"/>
    <cfRule type="duplicateValues" dxfId="2982" priority="11445"/>
    <cfRule type="duplicateValues" dxfId="2981" priority="11446"/>
    <cfRule type="duplicateValues" dxfId="2980" priority="11447"/>
    <cfRule type="duplicateValues" dxfId="2979" priority="11448"/>
    <cfRule type="duplicateValues" dxfId="2978" priority="11449"/>
    <cfRule type="duplicateValues" dxfId="2977" priority="11450"/>
    <cfRule type="duplicateValues" dxfId="2976" priority="11451"/>
    <cfRule type="duplicateValues" dxfId="2975" priority="11452"/>
    <cfRule type="duplicateValues" dxfId="2974" priority="11453"/>
    <cfRule type="duplicateValues" dxfId="2973" priority="11454"/>
    <cfRule type="duplicateValues" dxfId="2972" priority="11455"/>
    <cfRule type="duplicateValues" dxfId="2971" priority="11456"/>
    <cfRule type="duplicateValues" dxfId="2970" priority="11457"/>
    <cfRule type="duplicateValues" dxfId="2969" priority="11458"/>
    <cfRule type="duplicateValues" dxfId="2968" priority="11459"/>
    <cfRule type="duplicateValues" dxfId="2967" priority="11460"/>
    <cfRule type="duplicateValues" dxfId="2966" priority="11461"/>
    <cfRule type="duplicateValues" dxfId="2965" priority="11462"/>
    <cfRule type="duplicateValues" dxfId="2964" priority="11463"/>
    <cfRule type="duplicateValues" dxfId="2963" priority="11464"/>
    <cfRule type="duplicateValues" dxfId="2962" priority="11465"/>
    <cfRule type="duplicateValues" dxfId="2961" priority="11466"/>
    <cfRule type="duplicateValues" dxfId="2960" priority="11467"/>
    <cfRule type="duplicateValues" dxfId="2959" priority="11468"/>
    <cfRule type="duplicateValues" dxfId="2958" priority="11469"/>
    <cfRule type="duplicateValues" dxfId="2957" priority="11470"/>
    <cfRule type="duplicateValues" dxfId="2956" priority="11471"/>
    <cfRule type="duplicateValues" dxfId="2955" priority="11472"/>
    <cfRule type="duplicateValues" dxfId="2954" priority="11473"/>
    <cfRule type="duplicateValues" dxfId="2953" priority="11474"/>
    <cfRule type="duplicateValues" dxfId="2952" priority="11475"/>
    <cfRule type="duplicateValues" dxfId="2951" priority="11476"/>
    <cfRule type="duplicateValues" dxfId="2950" priority="11477"/>
    <cfRule type="duplicateValues" dxfId="2949" priority="11478"/>
    <cfRule type="duplicateValues" dxfId="2948" priority="11479"/>
    <cfRule type="duplicateValues" dxfId="2947" priority="11480"/>
    <cfRule type="duplicateValues" dxfId="2946" priority="11481"/>
    <cfRule type="duplicateValues" dxfId="2945" priority="11482"/>
    <cfRule type="duplicateValues" dxfId="2944" priority="11483"/>
    <cfRule type="duplicateValues" dxfId="2943" priority="11484"/>
    <cfRule type="duplicateValues" dxfId="2942" priority="11485"/>
    <cfRule type="duplicateValues" dxfId="2941" priority="11486"/>
    <cfRule type="duplicateValues" dxfId="2940" priority="11487"/>
    <cfRule type="duplicateValues" dxfId="2939" priority="11488"/>
    <cfRule type="duplicateValues" dxfId="2938" priority="11489"/>
    <cfRule type="duplicateValues" dxfId="2937" priority="11490"/>
    <cfRule type="duplicateValues" dxfId="2936" priority="11491"/>
    <cfRule type="duplicateValues" dxfId="2935" priority="11492"/>
    <cfRule type="duplicateValues" dxfId="2934" priority="11493"/>
    <cfRule type="duplicateValues" dxfId="2933" priority="11494"/>
    <cfRule type="duplicateValues" dxfId="2932" priority="11495"/>
    <cfRule type="duplicateValues" dxfId="2931" priority="11496"/>
    <cfRule type="duplicateValues" dxfId="2930" priority="11497"/>
    <cfRule type="duplicateValues" dxfId="2929" priority="11498"/>
    <cfRule type="duplicateValues" dxfId="2928" priority="11499"/>
    <cfRule type="duplicateValues" dxfId="2927" priority="11500"/>
    <cfRule type="duplicateValues" dxfId="2926" priority="11501"/>
    <cfRule type="duplicateValues" dxfId="2925" priority="11502"/>
    <cfRule type="duplicateValues" dxfId="2924" priority="11503"/>
    <cfRule type="duplicateValues" dxfId="2923" priority="11504"/>
    <cfRule type="duplicateValues" dxfId="2922" priority="11505"/>
    <cfRule type="duplicateValues" dxfId="2921" priority="11506"/>
    <cfRule type="duplicateValues" dxfId="2920" priority="11507"/>
    <cfRule type="duplicateValues" dxfId="2919" priority="11508"/>
    <cfRule type="duplicateValues" dxfId="2918" priority="11509"/>
    <cfRule type="duplicateValues" dxfId="2917" priority="11510"/>
    <cfRule type="duplicateValues" dxfId="2916" priority="11511"/>
    <cfRule type="duplicateValues" dxfId="2915" priority="11512"/>
    <cfRule type="duplicateValues" dxfId="2914" priority="11513"/>
    <cfRule type="duplicateValues" dxfId="2913" priority="11514"/>
    <cfRule type="duplicateValues" dxfId="2912" priority="11515"/>
    <cfRule type="duplicateValues" dxfId="2911" priority="11516"/>
    <cfRule type="duplicateValues" dxfId="2910" priority="11517"/>
    <cfRule type="duplicateValues" dxfId="2909" priority="11518"/>
    <cfRule type="duplicateValues" dxfId="2908" priority="11519"/>
    <cfRule type="duplicateValues" dxfId="2907" priority="11520"/>
    <cfRule type="duplicateValues" dxfId="2906" priority="11521"/>
    <cfRule type="duplicateValues" dxfId="2905" priority="11522"/>
    <cfRule type="duplicateValues" dxfId="2904" priority="11523"/>
    <cfRule type="duplicateValues" dxfId="2903" priority="11524"/>
    <cfRule type="duplicateValues" dxfId="2902" priority="11525"/>
    <cfRule type="duplicateValues" dxfId="2901" priority="11526"/>
    <cfRule type="duplicateValues" dxfId="2900" priority="11527"/>
    <cfRule type="duplicateValues" dxfId="2899" priority="11528"/>
    <cfRule type="duplicateValues" dxfId="2898" priority="11529"/>
    <cfRule type="duplicateValues" dxfId="2897" priority="11530"/>
    <cfRule type="duplicateValues" dxfId="2896" priority="11531"/>
    <cfRule type="duplicateValues" dxfId="2895" priority="11532"/>
    <cfRule type="duplicateValues" dxfId="2894" priority="11533"/>
    <cfRule type="duplicateValues" dxfId="2893" priority="11534"/>
    <cfRule type="duplicateValues" dxfId="2892" priority="11535"/>
    <cfRule type="duplicateValues" dxfId="2891" priority="11536"/>
    <cfRule type="duplicateValues" dxfId="2890" priority="11537"/>
    <cfRule type="duplicateValues" dxfId="2889" priority="11538"/>
    <cfRule type="duplicateValues" dxfId="2888" priority="11539"/>
    <cfRule type="duplicateValues" dxfId="2887" priority="11540"/>
    <cfRule type="duplicateValues" dxfId="2886" priority="11541"/>
    <cfRule type="duplicateValues" dxfId="2885" priority="11542"/>
    <cfRule type="duplicateValues" dxfId="2884" priority="11543"/>
    <cfRule type="duplicateValues" dxfId="2883" priority="11544"/>
    <cfRule type="duplicateValues" dxfId="2882" priority="11545"/>
    <cfRule type="duplicateValues" dxfId="2881" priority="11546"/>
    <cfRule type="duplicateValues" dxfId="2880" priority="11547"/>
    <cfRule type="duplicateValues" dxfId="2879" priority="11548"/>
    <cfRule type="duplicateValues" dxfId="2878" priority="11549"/>
    <cfRule type="duplicateValues" dxfId="2877" priority="11550"/>
    <cfRule type="duplicateValues" dxfId="2876" priority="11551"/>
    <cfRule type="duplicateValues" dxfId="2875" priority="11552"/>
    <cfRule type="duplicateValues" dxfId="2874" priority="11553"/>
    <cfRule type="duplicateValues" dxfId="2873" priority="11554"/>
    <cfRule type="duplicateValues" dxfId="2872" priority="11555"/>
    <cfRule type="duplicateValues" dxfId="2871" priority="11556"/>
    <cfRule type="duplicateValues" dxfId="2870" priority="11557"/>
    <cfRule type="duplicateValues" dxfId="2869" priority="11558"/>
    <cfRule type="duplicateValues" dxfId="2868" priority="11559"/>
    <cfRule type="duplicateValues" dxfId="2867" priority="11560"/>
    <cfRule type="duplicateValues" dxfId="2866" priority="11561"/>
  </conditionalFormatting>
  <conditionalFormatting sqref="C299:C300">
    <cfRule type="duplicateValues" dxfId="2865" priority="1963"/>
    <cfRule type="duplicateValues" dxfId="2864" priority="1964"/>
    <cfRule type="duplicateValues" dxfId="2863" priority="1965"/>
    <cfRule type="duplicateValues" dxfId="2862" priority="1966"/>
    <cfRule type="duplicateValues" dxfId="2861" priority="1967"/>
    <cfRule type="duplicateValues" dxfId="2860" priority="1968"/>
    <cfRule type="duplicateValues" dxfId="2859" priority="1969"/>
    <cfRule type="duplicateValues" dxfId="2858" priority="1970"/>
    <cfRule type="duplicateValues" dxfId="2857" priority="1971"/>
    <cfRule type="duplicateValues" dxfId="2856" priority="1972"/>
    <cfRule type="duplicateValues" dxfId="2855" priority="1973"/>
    <cfRule type="duplicateValues" dxfId="2854" priority="1974"/>
    <cfRule type="duplicateValues" dxfId="2853" priority="1975"/>
    <cfRule type="duplicateValues" dxfId="2852" priority="1976"/>
    <cfRule type="duplicateValues" dxfId="2851" priority="1977"/>
    <cfRule type="duplicateValues" dxfId="2850" priority="1978"/>
    <cfRule type="duplicateValues" dxfId="2849" priority="1979"/>
    <cfRule type="duplicateValues" dxfId="2848" priority="1980"/>
    <cfRule type="duplicateValues" dxfId="2847" priority="1981"/>
    <cfRule type="duplicateValues" dxfId="2846" priority="1982"/>
    <cfRule type="duplicateValues" dxfId="2845" priority="1983"/>
    <cfRule type="duplicateValues" dxfId="2844" priority="1984"/>
    <cfRule type="duplicateValues" dxfId="2843" priority="1985"/>
    <cfRule type="duplicateValues" dxfId="2842" priority="1986"/>
    <cfRule type="duplicateValues" dxfId="2841" priority="1987"/>
    <cfRule type="duplicateValues" dxfId="2840" priority="1988"/>
    <cfRule type="duplicateValues" dxfId="2839" priority="1989"/>
    <cfRule type="duplicateValues" dxfId="2838" priority="1990"/>
    <cfRule type="duplicateValues" dxfId="2837" priority="1991"/>
    <cfRule type="duplicateValues" dxfId="2836" priority="1992"/>
    <cfRule type="duplicateValues" dxfId="2835" priority="1993"/>
    <cfRule type="duplicateValues" dxfId="2834" priority="1994"/>
    <cfRule type="duplicateValues" dxfId="2833" priority="1995"/>
    <cfRule type="duplicateValues" dxfId="2832" priority="1996"/>
    <cfRule type="duplicateValues" dxfId="2831" priority="1997"/>
    <cfRule type="duplicateValues" dxfId="2830" priority="1998"/>
    <cfRule type="duplicateValues" dxfId="2829" priority="1999"/>
    <cfRule type="duplicateValues" dxfId="2828" priority="2000"/>
    <cfRule type="duplicateValues" dxfId="2827" priority="2001"/>
    <cfRule type="duplicateValues" dxfId="2826" priority="2002"/>
    <cfRule type="duplicateValues" dxfId="2825" priority="2003"/>
    <cfRule type="duplicateValues" dxfId="2824" priority="2004"/>
    <cfRule type="duplicateValues" dxfId="2823" priority="2005"/>
    <cfRule type="duplicateValues" dxfId="2822" priority="2006"/>
    <cfRule type="duplicateValues" dxfId="2821" priority="2007"/>
    <cfRule type="duplicateValues" dxfId="2820" priority="2008"/>
    <cfRule type="duplicateValues" dxfId="2819" priority="2009"/>
    <cfRule type="duplicateValues" dxfId="2818" priority="2010"/>
    <cfRule type="duplicateValues" dxfId="2817" priority="2011"/>
    <cfRule type="duplicateValues" dxfId="2816" priority="2012"/>
    <cfRule type="duplicateValues" dxfId="2815" priority="2013"/>
    <cfRule type="duplicateValues" dxfId="2814" priority="2014"/>
    <cfRule type="duplicateValues" dxfId="2813" priority="2015"/>
    <cfRule type="duplicateValues" dxfId="2812" priority="2016"/>
    <cfRule type="duplicateValues" dxfId="2811" priority="2017"/>
    <cfRule type="duplicateValues" dxfId="2810" priority="2018"/>
    <cfRule type="duplicateValues" dxfId="2809" priority="2019"/>
    <cfRule type="duplicateValues" dxfId="2808" priority="2020"/>
    <cfRule type="duplicateValues" dxfId="2807" priority="2021"/>
    <cfRule type="duplicateValues" dxfId="2806" priority="2022"/>
    <cfRule type="duplicateValues" dxfId="2805" priority="2023"/>
    <cfRule type="duplicateValues" dxfId="2804" priority="2024"/>
    <cfRule type="duplicateValues" dxfId="2803" priority="2025"/>
    <cfRule type="duplicateValues" dxfId="2802" priority="2026"/>
    <cfRule type="duplicateValues" dxfId="2801" priority="2027"/>
    <cfRule type="duplicateValues" dxfId="2800" priority="2028"/>
    <cfRule type="duplicateValues" dxfId="2799" priority="2029"/>
    <cfRule type="duplicateValues" dxfId="2798" priority="2030"/>
    <cfRule type="duplicateValues" dxfId="2797" priority="2031"/>
    <cfRule type="duplicateValues" dxfId="2796" priority="2032"/>
    <cfRule type="duplicateValues" dxfId="2795" priority="2033"/>
    <cfRule type="duplicateValues" dxfId="2794" priority="2034"/>
    <cfRule type="duplicateValues" dxfId="2793" priority="2035"/>
    <cfRule type="duplicateValues" dxfId="2792" priority="2036"/>
    <cfRule type="duplicateValues" dxfId="2791" priority="2037"/>
    <cfRule type="duplicateValues" dxfId="2790" priority="2038"/>
    <cfRule type="duplicateValues" dxfId="2789" priority="2039"/>
    <cfRule type="duplicateValues" dxfId="2788" priority="2040"/>
    <cfRule type="duplicateValues" dxfId="2787" priority="2041"/>
    <cfRule type="duplicateValues" dxfId="2786" priority="2042"/>
    <cfRule type="duplicateValues" dxfId="2785" priority="2043"/>
    <cfRule type="duplicateValues" dxfId="2784" priority="2044"/>
    <cfRule type="duplicateValues" dxfId="2783" priority="2045"/>
    <cfRule type="duplicateValues" dxfId="2782" priority="2046"/>
    <cfRule type="duplicateValues" dxfId="2781" priority="2047"/>
    <cfRule type="duplicateValues" dxfId="2780" priority="2048"/>
    <cfRule type="duplicateValues" dxfId="2779" priority="2049"/>
    <cfRule type="duplicateValues" dxfId="2778" priority="2050"/>
    <cfRule type="duplicateValues" dxfId="2777" priority="2051"/>
    <cfRule type="duplicateValues" dxfId="2776" priority="2052"/>
    <cfRule type="duplicateValues" dxfId="2775" priority="2053"/>
    <cfRule type="duplicateValues" dxfId="2774" priority="2054"/>
    <cfRule type="duplicateValues" dxfId="2773" priority="2055"/>
    <cfRule type="duplicateValues" dxfId="2772" priority="2056"/>
    <cfRule type="duplicateValues" dxfId="2771" priority="2057"/>
    <cfRule type="duplicateValues" dxfId="2770" priority="2058"/>
    <cfRule type="duplicateValues" dxfId="2769" priority="2059"/>
    <cfRule type="duplicateValues" dxfId="2768" priority="2060"/>
    <cfRule type="duplicateValues" dxfId="2767" priority="2061"/>
    <cfRule type="duplicateValues" dxfId="2766" priority="2062"/>
    <cfRule type="duplicateValues" dxfId="2765" priority="2063"/>
    <cfRule type="duplicateValues" dxfId="2764" priority="2064"/>
    <cfRule type="duplicateValues" dxfId="2763" priority="2065"/>
    <cfRule type="duplicateValues" dxfId="2762" priority="2066"/>
    <cfRule type="duplicateValues" dxfId="2761" priority="2067"/>
    <cfRule type="duplicateValues" dxfId="2760" priority="2068"/>
    <cfRule type="duplicateValues" dxfId="2759" priority="2069"/>
    <cfRule type="duplicateValues" dxfId="2758" priority="2070"/>
    <cfRule type="duplicateValues" dxfId="2757" priority="2071"/>
    <cfRule type="duplicateValues" dxfId="2756" priority="2072"/>
    <cfRule type="duplicateValues" dxfId="2755" priority="2073"/>
    <cfRule type="duplicateValues" dxfId="2754" priority="2074"/>
    <cfRule type="duplicateValues" dxfId="2753" priority="2075"/>
    <cfRule type="duplicateValues" dxfId="2752" priority="2076"/>
    <cfRule type="duplicateValues" dxfId="2751" priority="2077"/>
    <cfRule type="duplicateValues" dxfId="2750" priority="2078"/>
    <cfRule type="duplicateValues" dxfId="2749" priority="2079"/>
    <cfRule type="duplicateValues" dxfId="2748" priority="2080"/>
    <cfRule type="duplicateValues" dxfId="2747" priority="2081"/>
    <cfRule type="duplicateValues" dxfId="2746" priority="2082"/>
    <cfRule type="duplicateValues" dxfId="2745" priority="2083"/>
    <cfRule type="duplicateValues" dxfId="2744" priority="2084"/>
    <cfRule type="duplicateValues" dxfId="2743" priority="2085"/>
    <cfRule type="duplicateValues" dxfId="2742" priority="2086"/>
    <cfRule type="duplicateValues" dxfId="2741" priority="2087"/>
    <cfRule type="duplicateValues" dxfId="2740" priority="2088"/>
    <cfRule type="duplicateValues" dxfId="2739" priority="2089"/>
    <cfRule type="duplicateValues" dxfId="2738" priority="2090"/>
    <cfRule type="duplicateValues" dxfId="2737" priority="2091"/>
    <cfRule type="duplicateValues" dxfId="2736" priority="2092"/>
    <cfRule type="duplicateValues" dxfId="2735" priority="2093"/>
    <cfRule type="duplicateValues" dxfId="2734" priority="2094"/>
    <cfRule type="duplicateValues" dxfId="2733" priority="2095"/>
    <cfRule type="duplicateValues" dxfId="2732" priority="2096"/>
    <cfRule type="duplicateValues" dxfId="2731" priority="2097"/>
    <cfRule type="duplicateValues" dxfId="2730" priority="2098"/>
    <cfRule type="duplicateValues" dxfId="2729" priority="2099"/>
    <cfRule type="duplicateValues" dxfId="2728" priority="2100"/>
    <cfRule type="duplicateValues" dxfId="2727" priority="2101"/>
    <cfRule type="duplicateValues" dxfId="2726" priority="2102"/>
    <cfRule type="duplicateValues" dxfId="2725" priority="2103"/>
    <cfRule type="duplicateValues" dxfId="2724" priority="2104"/>
    <cfRule type="duplicateValues" dxfId="2723" priority="2105"/>
    <cfRule type="duplicateValues" dxfId="2722" priority="2106"/>
    <cfRule type="duplicateValues" dxfId="2721" priority="2107"/>
    <cfRule type="duplicateValues" dxfId="2720" priority="2108"/>
    <cfRule type="duplicateValues" dxfId="2719" priority="2109"/>
    <cfRule type="duplicateValues" dxfId="2718" priority="2110"/>
    <cfRule type="duplicateValues" dxfId="2717" priority="2111"/>
    <cfRule type="duplicateValues" dxfId="2716" priority="2112"/>
    <cfRule type="duplicateValues" dxfId="2715" priority="2113"/>
    <cfRule type="duplicateValues" dxfId="2714" priority="2114"/>
    <cfRule type="duplicateValues" dxfId="2713" priority="2115"/>
    <cfRule type="duplicateValues" dxfId="2712" priority="2116"/>
    <cfRule type="duplicateValues" dxfId="2711" priority="2117"/>
    <cfRule type="duplicateValues" dxfId="2710" priority="2118"/>
    <cfRule type="duplicateValues" dxfId="2709" priority="2119"/>
    <cfRule type="duplicateValues" dxfId="2708" priority="2120"/>
    <cfRule type="duplicateValues" dxfId="2707" priority="2121"/>
    <cfRule type="duplicateValues" dxfId="2706" priority="2122"/>
    <cfRule type="duplicateValues" dxfId="2705" priority="2123"/>
    <cfRule type="duplicateValues" dxfId="2704" priority="2124"/>
    <cfRule type="duplicateValues" dxfId="2703" priority="2125"/>
    <cfRule type="duplicateValues" dxfId="2702" priority="2126"/>
    <cfRule type="duplicateValues" dxfId="2701" priority="2127"/>
    <cfRule type="duplicateValues" dxfId="2700" priority="2128"/>
    <cfRule type="duplicateValues" dxfId="2699" priority="2129"/>
    <cfRule type="duplicateValues" dxfId="2698" priority="2130"/>
    <cfRule type="duplicateValues" dxfId="2697" priority="2131"/>
    <cfRule type="duplicateValues" dxfId="2696" priority="2132"/>
    <cfRule type="duplicateValues" dxfId="2695" priority="2133"/>
    <cfRule type="duplicateValues" dxfId="2694" priority="2134"/>
    <cfRule type="duplicateValues" dxfId="2693" priority="2135"/>
    <cfRule type="duplicateValues" dxfId="2692" priority="2136"/>
    <cfRule type="duplicateValues" dxfId="2691" priority="2137"/>
    <cfRule type="duplicateValues" dxfId="2690" priority="2138"/>
    <cfRule type="duplicateValues" dxfId="2689" priority="2139"/>
    <cfRule type="duplicateValues" dxfId="2688" priority="2140"/>
    <cfRule type="duplicateValues" dxfId="2687" priority="2141"/>
    <cfRule type="duplicateValues" dxfId="2686" priority="2142"/>
    <cfRule type="duplicateValues" dxfId="2685" priority="2143"/>
    <cfRule type="duplicateValues" dxfId="2684" priority="2144"/>
    <cfRule type="duplicateValues" dxfId="2683" priority="2145"/>
    <cfRule type="duplicateValues" dxfId="2682" priority="2146"/>
    <cfRule type="duplicateValues" dxfId="2681" priority="2147"/>
    <cfRule type="duplicateValues" dxfId="2680" priority="2148"/>
    <cfRule type="duplicateValues" dxfId="2679" priority="2149"/>
    <cfRule type="duplicateValues" dxfId="2678" priority="2150"/>
    <cfRule type="duplicateValues" dxfId="2677" priority="2151"/>
    <cfRule type="duplicateValues" dxfId="2676" priority="2152"/>
    <cfRule type="duplicateValues" dxfId="2675" priority="2153"/>
    <cfRule type="duplicateValues" dxfId="2674" priority="2154"/>
    <cfRule type="duplicateValues" dxfId="2673" priority="2155"/>
    <cfRule type="duplicateValues" dxfId="2672" priority="2156"/>
    <cfRule type="duplicateValues" dxfId="2671" priority="2157"/>
    <cfRule type="duplicateValues" dxfId="2670" priority="2158"/>
    <cfRule type="duplicateValues" dxfId="2669" priority="2159"/>
    <cfRule type="duplicateValues" dxfId="2668" priority="2160"/>
    <cfRule type="duplicateValues" dxfId="2667" priority="2161"/>
    <cfRule type="duplicateValues" dxfId="2666" priority="2162"/>
    <cfRule type="duplicateValues" dxfId="2665" priority="2163"/>
    <cfRule type="duplicateValues" dxfId="2664" priority="2164"/>
    <cfRule type="duplicateValues" dxfId="2663" priority="2165"/>
    <cfRule type="duplicateValues" dxfId="2662" priority="2166"/>
    <cfRule type="duplicateValues" dxfId="2661" priority="2167"/>
    <cfRule type="duplicateValues" dxfId="2660" priority="2168"/>
    <cfRule type="duplicateValues" dxfId="2659" priority="2169"/>
    <cfRule type="duplicateValues" dxfId="2658" priority="2170"/>
    <cfRule type="duplicateValues" dxfId="2657" priority="2171"/>
    <cfRule type="duplicateValues" dxfId="2656" priority="2172"/>
    <cfRule type="duplicateValues" dxfId="2655" priority="2173"/>
    <cfRule type="duplicateValues" dxfId="2654" priority="2174"/>
    <cfRule type="duplicateValues" dxfId="2653" priority="2175"/>
    <cfRule type="duplicateValues" dxfId="2652" priority="2176"/>
    <cfRule type="duplicateValues" dxfId="2651" priority="2177"/>
    <cfRule type="duplicateValues" dxfId="2650" priority="2178"/>
    <cfRule type="duplicateValues" dxfId="2649" priority="2179"/>
    <cfRule type="duplicateValues" dxfId="2648" priority="2180"/>
    <cfRule type="duplicateValues" dxfId="2647" priority="2181"/>
    <cfRule type="duplicateValues" dxfId="2646" priority="2182"/>
    <cfRule type="duplicateValues" dxfId="2645" priority="2183"/>
    <cfRule type="duplicateValues" dxfId="2644" priority="2184"/>
    <cfRule type="duplicateValues" dxfId="2643" priority="2185"/>
    <cfRule type="duplicateValues" dxfId="2642" priority="2186"/>
    <cfRule type="duplicateValues" dxfId="2641" priority="2187"/>
    <cfRule type="duplicateValues" dxfId="2640" priority="2188"/>
    <cfRule type="duplicateValues" dxfId="2639" priority="2189"/>
    <cfRule type="duplicateValues" dxfId="2638" priority="2190"/>
    <cfRule type="duplicateValues" dxfId="2637" priority="2191"/>
    <cfRule type="duplicateValues" dxfId="2636" priority="2192"/>
    <cfRule type="duplicateValues" dxfId="2635" priority="2193"/>
    <cfRule type="duplicateValues" dxfId="2634" priority="2194"/>
    <cfRule type="duplicateValues" dxfId="2633" priority="2195"/>
    <cfRule type="duplicateValues" dxfId="2632" priority="2196"/>
    <cfRule type="duplicateValues" dxfId="2631" priority="2197"/>
    <cfRule type="duplicateValues" dxfId="2630" priority="2198"/>
    <cfRule type="duplicateValues" dxfId="2629" priority="2199"/>
    <cfRule type="duplicateValues" dxfId="2628" priority="2200"/>
    <cfRule type="duplicateValues" dxfId="2627" priority="2201"/>
    <cfRule type="duplicateValues" dxfId="2626" priority="2202"/>
    <cfRule type="duplicateValues" dxfId="2625" priority="2203"/>
    <cfRule type="duplicateValues" dxfId="2624" priority="2204"/>
    <cfRule type="duplicateValues" dxfId="2623" priority="2205"/>
    <cfRule type="duplicateValues" dxfId="2622" priority="2206"/>
    <cfRule type="duplicateValues" dxfId="2621" priority="2207"/>
    <cfRule type="duplicateValues" dxfId="2620" priority="2208"/>
    <cfRule type="duplicateValues" dxfId="2619" priority="2209"/>
    <cfRule type="duplicateValues" dxfId="2618" priority="2210"/>
    <cfRule type="duplicateValues" dxfId="2617" priority="2211"/>
    <cfRule type="duplicateValues" dxfId="2616" priority="2212"/>
    <cfRule type="duplicateValues" dxfId="2615" priority="2213"/>
    <cfRule type="duplicateValues" dxfId="2614" priority="2214"/>
    <cfRule type="duplicateValues" dxfId="2613" priority="2215"/>
    <cfRule type="duplicateValues" dxfId="2612" priority="2216"/>
    <cfRule type="duplicateValues" dxfId="2611" priority="2217"/>
    <cfRule type="duplicateValues" dxfId="2610" priority="2218"/>
    <cfRule type="duplicateValues" dxfId="2609" priority="2219"/>
    <cfRule type="duplicateValues" dxfId="2608" priority="2220"/>
    <cfRule type="duplicateValues" dxfId="2607" priority="2221"/>
    <cfRule type="duplicateValues" dxfId="2606" priority="2222"/>
    <cfRule type="duplicateValues" dxfId="2605" priority="2223"/>
    <cfRule type="duplicateValues" dxfId="2604" priority="2224"/>
    <cfRule type="duplicateValues" dxfId="2603" priority="2225"/>
    <cfRule type="duplicateValues" dxfId="2602" priority="2226"/>
    <cfRule type="duplicateValues" dxfId="2601" priority="2227"/>
    <cfRule type="duplicateValues" dxfId="2600" priority="2228"/>
    <cfRule type="duplicateValues" dxfId="2599" priority="2229"/>
    <cfRule type="duplicateValues" dxfId="2598" priority="2230"/>
    <cfRule type="duplicateValues" dxfId="2597" priority="2231"/>
    <cfRule type="duplicateValues" dxfId="2596" priority="2232"/>
    <cfRule type="duplicateValues" dxfId="2595" priority="2233"/>
    <cfRule type="duplicateValues" dxfId="2594" priority="2234"/>
    <cfRule type="duplicateValues" dxfId="2593" priority="2235"/>
    <cfRule type="duplicateValues" dxfId="2592" priority="2236"/>
    <cfRule type="duplicateValues" dxfId="2591" priority="2237"/>
    <cfRule type="duplicateValues" dxfId="2590" priority="2238"/>
    <cfRule type="duplicateValues" dxfId="2589" priority="2239"/>
    <cfRule type="duplicateValues" dxfId="2588" priority="2240"/>
    <cfRule type="duplicateValues" dxfId="2587" priority="2241"/>
    <cfRule type="duplicateValues" dxfId="2586" priority="2242"/>
    <cfRule type="duplicateValues" dxfId="2585" priority="2243"/>
    <cfRule type="duplicateValues" dxfId="2584" priority="2244"/>
    <cfRule type="duplicateValues" dxfId="2583" priority="2245"/>
    <cfRule type="duplicateValues" dxfId="2582" priority="2246"/>
    <cfRule type="duplicateValues" dxfId="2581" priority="2247"/>
    <cfRule type="duplicateValues" dxfId="2580" priority="2248"/>
    <cfRule type="duplicateValues" dxfId="2579" priority="2249"/>
    <cfRule type="duplicateValues" dxfId="2578" priority="2250"/>
    <cfRule type="duplicateValues" dxfId="2577" priority="2251"/>
    <cfRule type="duplicateValues" dxfId="2576" priority="2252"/>
    <cfRule type="duplicateValues" dxfId="2575" priority="2253"/>
    <cfRule type="duplicateValues" dxfId="2574" priority="2254"/>
    <cfRule type="duplicateValues" dxfId="2573" priority="2255"/>
    <cfRule type="duplicateValues" dxfId="2572" priority="2256"/>
    <cfRule type="duplicateValues" dxfId="2571" priority="2257"/>
    <cfRule type="duplicateValues" dxfId="2570" priority="2258"/>
    <cfRule type="duplicateValues" dxfId="2569" priority="2259"/>
    <cfRule type="duplicateValues" dxfId="2568" priority="2260"/>
    <cfRule type="duplicateValues" dxfId="2567" priority="2261"/>
    <cfRule type="duplicateValues" dxfId="2566" priority="2262"/>
    <cfRule type="duplicateValues" dxfId="2565" priority="2263"/>
    <cfRule type="duplicateValues" dxfId="2564" priority="2264"/>
    <cfRule type="duplicateValues" dxfId="2563" priority="2265"/>
    <cfRule type="duplicateValues" dxfId="2562" priority="2266"/>
    <cfRule type="duplicateValues" dxfId="2561" priority="2267"/>
    <cfRule type="duplicateValues" dxfId="2560" priority="2268"/>
    <cfRule type="duplicateValues" dxfId="2559" priority="2269"/>
    <cfRule type="duplicateValues" dxfId="2558" priority="2270"/>
    <cfRule type="duplicateValues" dxfId="2557" priority="2271"/>
    <cfRule type="duplicateValues" dxfId="2556" priority="2272"/>
    <cfRule type="duplicateValues" dxfId="2555" priority="2273"/>
    <cfRule type="duplicateValues" dxfId="2554" priority="2274"/>
    <cfRule type="duplicateValues" dxfId="2553" priority="2275"/>
    <cfRule type="duplicateValues" dxfId="2552" priority="2276"/>
    <cfRule type="duplicateValues" dxfId="2551" priority="2277"/>
    <cfRule type="duplicateValues" dxfId="2550" priority="2278"/>
    <cfRule type="duplicateValues" dxfId="2549" priority="2279"/>
    <cfRule type="duplicateValues" dxfId="2548" priority="2280"/>
    <cfRule type="duplicateValues" dxfId="2547" priority="2281"/>
    <cfRule type="duplicateValues" dxfId="2546" priority="2282"/>
    <cfRule type="duplicateValues" dxfId="2545" priority="2283"/>
    <cfRule type="duplicateValues" dxfId="2544" priority="2284"/>
    <cfRule type="duplicateValues" dxfId="2543" priority="2285"/>
    <cfRule type="duplicateValues" dxfId="2542" priority="2286"/>
    <cfRule type="duplicateValues" dxfId="2541" priority="2287"/>
    <cfRule type="duplicateValues" dxfId="2540" priority="2288"/>
    <cfRule type="duplicateValues" dxfId="2539" priority="2289"/>
    <cfRule type="duplicateValues" dxfId="2538" priority="2290"/>
    <cfRule type="duplicateValues" dxfId="2537" priority="2291"/>
    <cfRule type="duplicateValues" dxfId="2536" priority="2292"/>
    <cfRule type="duplicateValues" dxfId="2535" priority="2293"/>
    <cfRule type="duplicateValues" dxfId="2534" priority="2294"/>
    <cfRule type="duplicateValues" dxfId="2533" priority="2295"/>
    <cfRule type="duplicateValues" dxfId="2532" priority="2296"/>
    <cfRule type="duplicateValues" dxfId="2531" priority="2297"/>
    <cfRule type="duplicateValues" dxfId="2530" priority="2298"/>
    <cfRule type="duplicateValues" dxfId="2529" priority="2299"/>
    <cfRule type="duplicateValues" dxfId="2528" priority="2300"/>
    <cfRule type="duplicateValues" dxfId="2527" priority="2301"/>
    <cfRule type="duplicateValues" dxfId="2526" priority="2302"/>
    <cfRule type="duplicateValues" dxfId="2525" priority="2303"/>
    <cfRule type="duplicateValues" dxfId="2524" priority="2304"/>
    <cfRule type="duplicateValues" dxfId="2523" priority="2305"/>
    <cfRule type="duplicateValues" dxfId="2522" priority="2306"/>
    <cfRule type="duplicateValues" dxfId="2521" priority="2307"/>
  </conditionalFormatting>
  <conditionalFormatting sqref="C301">
    <cfRule type="duplicateValues" dxfId="2520" priority="10872"/>
    <cfRule type="duplicateValues" dxfId="2519" priority="10873"/>
    <cfRule type="duplicateValues" dxfId="2518" priority="10874"/>
    <cfRule type="duplicateValues" dxfId="2517" priority="10875"/>
    <cfRule type="duplicateValues" dxfId="2516" priority="10876"/>
    <cfRule type="duplicateValues" dxfId="2515" priority="10877"/>
    <cfRule type="duplicateValues" dxfId="2514" priority="10878"/>
    <cfRule type="duplicateValues" dxfId="2513" priority="10879"/>
    <cfRule type="duplicateValues" dxfId="2512" priority="10880"/>
    <cfRule type="duplicateValues" dxfId="2511" priority="10881"/>
    <cfRule type="duplicateValues" dxfId="2510" priority="10882"/>
    <cfRule type="duplicateValues" dxfId="2509" priority="10883"/>
    <cfRule type="duplicateValues" dxfId="2508" priority="10884"/>
    <cfRule type="duplicateValues" dxfId="2507" priority="10885"/>
    <cfRule type="duplicateValues" dxfId="2506" priority="10886"/>
    <cfRule type="duplicateValues" dxfId="2505" priority="10887"/>
    <cfRule type="duplicateValues" dxfId="2504" priority="10888"/>
    <cfRule type="duplicateValues" dxfId="2503" priority="10889"/>
    <cfRule type="duplicateValues" dxfId="2502" priority="10890"/>
    <cfRule type="duplicateValues" dxfId="2501" priority="10891"/>
    <cfRule type="duplicateValues" dxfId="2500" priority="10892"/>
    <cfRule type="duplicateValues" dxfId="2499" priority="10893"/>
    <cfRule type="duplicateValues" dxfId="2498" priority="10894"/>
    <cfRule type="duplicateValues" dxfId="2497" priority="10895"/>
    <cfRule type="duplicateValues" dxfId="2496" priority="10896"/>
    <cfRule type="duplicateValues" dxfId="2495" priority="10897"/>
    <cfRule type="duplicateValues" dxfId="2494" priority="10898"/>
    <cfRule type="duplicateValues" dxfId="2493" priority="10899"/>
    <cfRule type="duplicateValues" dxfId="2492" priority="10900"/>
    <cfRule type="duplicateValues" dxfId="2491" priority="10901"/>
    <cfRule type="duplicateValues" dxfId="2490" priority="10902"/>
    <cfRule type="duplicateValues" dxfId="2489" priority="10903"/>
    <cfRule type="duplicateValues" dxfId="2488" priority="10904"/>
    <cfRule type="duplicateValues" dxfId="2487" priority="10905"/>
    <cfRule type="duplicateValues" dxfId="2486" priority="10906"/>
    <cfRule type="duplicateValues" dxfId="2485" priority="10907"/>
    <cfRule type="duplicateValues" dxfId="2484" priority="10908"/>
    <cfRule type="duplicateValues" dxfId="2483" priority="10909"/>
    <cfRule type="duplicateValues" dxfId="2482" priority="10910"/>
    <cfRule type="duplicateValues" dxfId="2481" priority="10911"/>
    <cfRule type="duplicateValues" dxfId="2480" priority="10912"/>
    <cfRule type="duplicateValues" dxfId="2479" priority="10913"/>
    <cfRule type="duplicateValues" dxfId="2478" priority="10914"/>
    <cfRule type="duplicateValues" dxfId="2477" priority="10915"/>
    <cfRule type="duplicateValues" dxfId="2476" priority="10916"/>
    <cfRule type="duplicateValues" dxfId="2475" priority="10917"/>
    <cfRule type="duplicateValues" dxfId="2474" priority="10918"/>
    <cfRule type="duplicateValues" dxfId="2473" priority="10919"/>
    <cfRule type="duplicateValues" dxfId="2472" priority="10920"/>
    <cfRule type="duplicateValues" dxfId="2471" priority="10921"/>
    <cfRule type="duplicateValues" dxfId="2470" priority="10922"/>
    <cfRule type="duplicateValues" dxfId="2469" priority="10923"/>
    <cfRule type="duplicateValues" dxfId="2468" priority="10924"/>
    <cfRule type="duplicateValues" dxfId="2467" priority="10925"/>
    <cfRule type="duplicateValues" dxfId="2466" priority="10926"/>
    <cfRule type="duplicateValues" dxfId="2465" priority="10927"/>
    <cfRule type="duplicateValues" dxfId="2464" priority="10928"/>
    <cfRule type="duplicateValues" dxfId="2463" priority="10929"/>
    <cfRule type="duplicateValues" dxfId="2462" priority="10930"/>
    <cfRule type="duplicateValues" dxfId="2461" priority="10931"/>
    <cfRule type="duplicateValues" dxfId="2460" priority="10932"/>
    <cfRule type="duplicateValues" dxfId="2459" priority="10933"/>
    <cfRule type="duplicateValues" dxfId="2458" priority="10934"/>
    <cfRule type="duplicateValues" dxfId="2457" priority="10935"/>
    <cfRule type="duplicateValues" dxfId="2456" priority="10936"/>
    <cfRule type="duplicateValues" dxfId="2455" priority="10937"/>
    <cfRule type="duplicateValues" dxfId="2454" priority="10938"/>
    <cfRule type="duplicateValues" dxfId="2453" priority="10939"/>
    <cfRule type="duplicateValues" dxfId="2452" priority="10940"/>
    <cfRule type="duplicateValues" dxfId="2451" priority="10941"/>
    <cfRule type="duplicateValues" dxfId="2450" priority="10942"/>
    <cfRule type="duplicateValues" dxfId="2449" priority="10943"/>
    <cfRule type="duplicateValues" dxfId="2448" priority="10944"/>
    <cfRule type="duplicateValues" dxfId="2447" priority="10945"/>
    <cfRule type="duplicateValues" dxfId="2446" priority="10946"/>
    <cfRule type="duplicateValues" dxfId="2445" priority="10947"/>
    <cfRule type="duplicateValues" dxfId="2444" priority="10948"/>
    <cfRule type="duplicateValues" dxfId="2443" priority="10949"/>
    <cfRule type="duplicateValues" dxfId="2442" priority="10950"/>
    <cfRule type="duplicateValues" dxfId="2441" priority="10951"/>
    <cfRule type="duplicateValues" dxfId="2440" priority="10952"/>
    <cfRule type="duplicateValues" dxfId="2439" priority="10953"/>
    <cfRule type="duplicateValues" dxfId="2438" priority="10954"/>
    <cfRule type="duplicateValues" dxfId="2437" priority="10955"/>
    <cfRule type="duplicateValues" dxfId="2436" priority="10956"/>
    <cfRule type="duplicateValues" dxfId="2435" priority="10957"/>
    <cfRule type="duplicateValues" dxfId="2434" priority="10958"/>
    <cfRule type="duplicateValues" dxfId="2433" priority="10959"/>
    <cfRule type="duplicateValues" dxfId="2432" priority="10960"/>
    <cfRule type="duplicateValues" dxfId="2431" priority="10961"/>
    <cfRule type="duplicateValues" dxfId="2430" priority="10962"/>
    <cfRule type="duplicateValues" dxfId="2429" priority="10963"/>
    <cfRule type="duplicateValues" dxfId="2428" priority="10964"/>
    <cfRule type="duplicateValues" dxfId="2427" priority="10965"/>
    <cfRule type="duplicateValues" dxfId="2426" priority="10966"/>
    <cfRule type="duplicateValues" dxfId="2425" priority="10967"/>
    <cfRule type="duplicateValues" dxfId="2424" priority="10968"/>
    <cfRule type="duplicateValues" dxfId="2423" priority="10969"/>
    <cfRule type="duplicateValues" dxfId="2422" priority="10970"/>
    <cfRule type="duplicateValues" dxfId="2421" priority="10971"/>
    <cfRule type="duplicateValues" dxfId="2420" priority="10972"/>
    <cfRule type="duplicateValues" dxfId="2419" priority="10973"/>
    <cfRule type="duplicateValues" dxfId="2418" priority="10974"/>
    <cfRule type="duplicateValues" dxfId="2417" priority="10975"/>
    <cfRule type="duplicateValues" dxfId="2416" priority="10976"/>
    <cfRule type="duplicateValues" dxfId="2415" priority="10977"/>
    <cfRule type="duplicateValues" dxfId="2414" priority="10978"/>
    <cfRule type="duplicateValues" dxfId="2413" priority="10979"/>
    <cfRule type="duplicateValues" dxfId="2412" priority="10980"/>
    <cfRule type="duplicateValues" dxfId="2411" priority="10981"/>
    <cfRule type="duplicateValues" dxfId="2410" priority="10982"/>
    <cfRule type="duplicateValues" dxfId="2409" priority="10983"/>
    <cfRule type="duplicateValues" dxfId="2408" priority="10984"/>
    <cfRule type="duplicateValues" dxfId="2407" priority="10985"/>
    <cfRule type="duplicateValues" dxfId="2406" priority="10986"/>
    <cfRule type="duplicateValues" dxfId="2405" priority="10987"/>
    <cfRule type="duplicateValues" dxfId="2404" priority="10988"/>
    <cfRule type="duplicateValues" dxfId="2403" priority="10989"/>
    <cfRule type="duplicateValues" dxfId="2402" priority="10990"/>
    <cfRule type="duplicateValues" dxfId="2401" priority="10991"/>
    <cfRule type="duplicateValues" dxfId="2400" priority="10992"/>
    <cfRule type="duplicateValues" dxfId="2399" priority="10993"/>
    <cfRule type="duplicateValues" dxfId="2398" priority="10994"/>
    <cfRule type="duplicateValues" dxfId="2397" priority="10995"/>
    <cfRule type="duplicateValues" dxfId="2396" priority="10996"/>
    <cfRule type="duplicateValues" dxfId="2395" priority="10997"/>
    <cfRule type="duplicateValues" dxfId="2394" priority="10998"/>
    <cfRule type="duplicateValues" dxfId="2393" priority="10999"/>
    <cfRule type="duplicateValues" dxfId="2392" priority="11000"/>
    <cfRule type="duplicateValues" dxfId="2391" priority="11001"/>
    <cfRule type="duplicateValues" dxfId="2390" priority="11002"/>
    <cfRule type="duplicateValues" dxfId="2389" priority="11003"/>
    <cfRule type="duplicateValues" dxfId="2388" priority="11004"/>
    <cfRule type="duplicateValues" dxfId="2387" priority="11005"/>
    <cfRule type="duplicateValues" dxfId="2386" priority="11006"/>
    <cfRule type="duplicateValues" dxfId="2385" priority="11007"/>
    <cfRule type="duplicateValues" dxfId="2384" priority="11008"/>
    <cfRule type="duplicateValues" dxfId="2383" priority="11009"/>
    <cfRule type="duplicateValues" dxfId="2382" priority="11010"/>
    <cfRule type="duplicateValues" dxfId="2381" priority="11011"/>
    <cfRule type="duplicateValues" dxfId="2380" priority="11012"/>
    <cfRule type="duplicateValues" dxfId="2379" priority="11013"/>
    <cfRule type="duplicateValues" dxfId="2378" priority="11014"/>
    <cfRule type="duplicateValues" dxfId="2377" priority="11015"/>
    <cfRule type="duplicateValues" dxfId="2376" priority="11016"/>
    <cfRule type="duplicateValues" dxfId="2375" priority="11017"/>
    <cfRule type="duplicateValues" dxfId="2374" priority="11018"/>
    <cfRule type="duplicateValues" dxfId="2373" priority="11019"/>
    <cfRule type="duplicateValues" dxfId="2372" priority="11020"/>
    <cfRule type="duplicateValues" dxfId="2371" priority="11021"/>
    <cfRule type="duplicateValues" dxfId="2370" priority="11022"/>
    <cfRule type="duplicateValues" dxfId="2369" priority="11023"/>
    <cfRule type="duplicateValues" dxfId="2368" priority="11024"/>
    <cfRule type="duplicateValues" dxfId="2367" priority="11025"/>
    <cfRule type="duplicateValues" dxfId="2366" priority="11026"/>
    <cfRule type="duplicateValues" dxfId="2365" priority="11027"/>
    <cfRule type="duplicateValues" dxfId="2364" priority="11028"/>
    <cfRule type="duplicateValues" dxfId="2363" priority="11029"/>
    <cfRule type="duplicateValues" dxfId="2362" priority="11030"/>
    <cfRule type="duplicateValues" dxfId="2361" priority="11031"/>
    <cfRule type="duplicateValues" dxfId="2360" priority="11032"/>
    <cfRule type="duplicateValues" dxfId="2359" priority="11033"/>
    <cfRule type="duplicateValues" dxfId="2358" priority="11034"/>
    <cfRule type="duplicateValues" dxfId="2357" priority="11035"/>
    <cfRule type="duplicateValues" dxfId="2356" priority="11036"/>
    <cfRule type="duplicateValues" dxfId="2355" priority="11037"/>
    <cfRule type="duplicateValues" dxfId="2354" priority="11038"/>
    <cfRule type="duplicateValues" dxfId="2353" priority="11039"/>
    <cfRule type="duplicateValues" dxfId="2352" priority="11040"/>
    <cfRule type="duplicateValues" dxfId="2351" priority="11041"/>
    <cfRule type="duplicateValues" dxfId="2350" priority="11042"/>
    <cfRule type="duplicateValues" dxfId="2349" priority="11043"/>
    <cfRule type="duplicateValues" dxfId="2348" priority="11044"/>
    <cfRule type="duplicateValues" dxfId="2347" priority="11045"/>
    <cfRule type="duplicateValues" dxfId="2346" priority="11046"/>
    <cfRule type="duplicateValues" dxfId="2345" priority="11047"/>
    <cfRule type="duplicateValues" dxfId="2344" priority="11048"/>
    <cfRule type="duplicateValues" dxfId="2343" priority="11049"/>
    <cfRule type="duplicateValues" dxfId="2342" priority="11050"/>
    <cfRule type="duplicateValues" dxfId="2341" priority="11051"/>
    <cfRule type="duplicateValues" dxfId="2340" priority="11052"/>
    <cfRule type="duplicateValues" dxfId="2339" priority="11053"/>
    <cfRule type="duplicateValues" dxfId="2338" priority="11054"/>
    <cfRule type="duplicateValues" dxfId="2337" priority="11055"/>
    <cfRule type="duplicateValues" dxfId="2336" priority="11056"/>
    <cfRule type="duplicateValues" dxfId="2335" priority="11057"/>
    <cfRule type="duplicateValues" dxfId="2334" priority="11058"/>
    <cfRule type="duplicateValues" dxfId="2333" priority="11059"/>
    <cfRule type="duplicateValues" dxfId="2332" priority="11060"/>
    <cfRule type="duplicateValues" dxfId="2331" priority="11061"/>
    <cfRule type="duplicateValues" dxfId="2330" priority="11062"/>
    <cfRule type="duplicateValues" dxfId="2329" priority="11063"/>
    <cfRule type="duplicateValues" dxfId="2328" priority="11064"/>
    <cfRule type="duplicateValues" dxfId="2327" priority="11065"/>
    <cfRule type="duplicateValues" dxfId="2326" priority="11066"/>
    <cfRule type="duplicateValues" dxfId="2325" priority="11067"/>
    <cfRule type="duplicateValues" dxfId="2324" priority="11068"/>
    <cfRule type="duplicateValues" dxfId="2323" priority="11069"/>
    <cfRule type="duplicateValues" dxfId="2322" priority="11070"/>
    <cfRule type="duplicateValues" dxfId="2321" priority="11071"/>
    <cfRule type="duplicateValues" dxfId="2320" priority="11072"/>
    <cfRule type="duplicateValues" dxfId="2319" priority="11073"/>
    <cfRule type="duplicateValues" dxfId="2318" priority="11074"/>
    <cfRule type="duplicateValues" dxfId="2317" priority="11075"/>
    <cfRule type="duplicateValues" dxfId="2316" priority="11076"/>
    <cfRule type="duplicateValues" dxfId="2315" priority="11077"/>
    <cfRule type="duplicateValues" dxfId="2314" priority="11078"/>
    <cfRule type="duplicateValues" dxfId="2313" priority="11079"/>
    <cfRule type="duplicateValues" dxfId="2312" priority="11080"/>
    <cfRule type="duplicateValues" dxfId="2311" priority="11081"/>
    <cfRule type="duplicateValues" dxfId="2310" priority="11082"/>
    <cfRule type="duplicateValues" dxfId="2309" priority="11083"/>
    <cfRule type="duplicateValues" dxfId="2308" priority="11084"/>
    <cfRule type="duplicateValues" dxfId="2307" priority="11085"/>
    <cfRule type="duplicateValues" dxfId="2306" priority="11086"/>
    <cfRule type="duplicateValues" dxfId="2305" priority="11087"/>
    <cfRule type="duplicateValues" dxfId="2304" priority="11088"/>
    <cfRule type="duplicateValues" dxfId="2303" priority="11089"/>
    <cfRule type="duplicateValues" dxfId="2302" priority="11090"/>
    <cfRule type="duplicateValues" dxfId="2301" priority="11091"/>
    <cfRule type="duplicateValues" dxfId="2300" priority="11092"/>
    <cfRule type="duplicateValues" dxfId="2299" priority="11093"/>
    <cfRule type="duplicateValues" dxfId="2298" priority="11094"/>
    <cfRule type="duplicateValues" dxfId="2297" priority="11095"/>
    <cfRule type="duplicateValues" dxfId="2296" priority="11096"/>
    <cfRule type="duplicateValues" dxfId="2295" priority="11097"/>
    <cfRule type="duplicateValues" dxfId="2294" priority="11098"/>
    <cfRule type="duplicateValues" dxfId="2293" priority="11099"/>
    <cfRule type="duplicateValues" dxfId="2292" priority="11100"/>
    <cfRule type="duplicateValues" dxfId="2291" priority="11101"/>
    <cfRule type="duplicateValues" dxfId="2290" priority="11102"/>
    <cfRule type="duplicateValues" dxfId="2289" priority="11103"/>
    <cfRule type="duplicateValues" dxfId="2288" priority="11104"/>
    <cfRule type="duplicateValues" dxfId="2287" priority="11105"/>
    <cfRule type="duplicateValues" dxfId="2286" priority="11106"/>
    <cfRule type="duplicateValues" dxfId="2285" priority="11107"/>
    <cfRule type="duplicateValues" dxfId="2284" priority="11108"/>
    <cfRule type="duplicateValues" dxfId="2283" priority="11109"/>
    <cfRule type="duplicateValues" dxfId="2282" priority="11110"/>
    <cfRule type="duplicateValues" dxfId="2281" priority="11111"/>
    <cfRule type="duplicateValues" dxfId="2280" priority="11112"/>
    <cfRule type="duplicateValues" dxfId="2279" priority="11113"/>
    <cfRule type="duplicateValues" dxfId="2278" priority="11114"/>
    <cfRule type="duplicateValues" dxfId="2277" priority="11115"/>
    <cfRule type="duplicateValues" dxfId="2276" priority="11116"/>
    <cfRule type="duplicateValues" dxfId="2275" priority="11117"/>
    <cfRule type="duplicateValues" dxfId="2274" priority="11118"/>
    <cfRule type="duplicateValues" dxfId="2273" priority="11119"/>
    <cfRule type="duplicateValues" dxfId="2272" priority="11120"/>
    <cfRule type="duplicateValues" dxfId="2271" priority="11121"/>
    <cfRule type="duplicateValues" dxfId="2270" priority="11122"/>
    <cfRule type="duplicateValues" dxfId="2269" priority="11123"/>
    <cfRule type="duplicateValues" dxfId="2268" priority="11124"/>
    <cfRule type="duplicateValues" dxfId="2267" priority="11125"/>
    <cfRule type="duplicateValues" dxfId="2266" priority="11126"/>
    <cfRule type="duplicateValues" dxfId="2265" priority="11127"/>
    <cfRule type="duplicateValues" dxfId="2264" priority="11128"/>
    <cfRule type="duplicateValues" dxfId="2263" priority="11129"/>
    <cfRule type="duplicateValues" dxfId="2262" priority="11130"/>
    <cfRule type="duplicateValues" dxfId="2261" priority="11131"/>
    <cfRule type="duplicateValues" dxfId="2260" priority="11132"/>
    <cfRule type="duplicateValues" dxfId="2259" priority="11133"/>
    <cfRule type="duplicateValues" dxfId="2258" priority="11134"/>
    <cfRule type="duplicateValues" dxfId="2257" priority="11135"/>
    <cfRule type="duplicateValues" dxfId="2256" priority="11136"/>
    <cfRule type="duplicateValues" dxfId="2255" priority="11137"/>
    <cfRule type="duplicateValues" dxfId="2254" priority="11138"/>
    <cfRule type="duplicateValues" dxfId="2253" priority="11139"/>
    <cfRule type="duplicateValues" dxfId="2252" priority="11140"/>
    <cfRule type="duplicateValues" dxfId="2251" priority="11141"/>
    <cfRule type="duplicateValues" dxfId="2250" priority="11142"/>
    <cfRule type="duplicateValues" dxfId="2249" priority="11143"/>
    <cfRule type="duplicateValues" dxfId="2248" priority="11144"/>
    <cfRule type="duplicateValues" dxfId="2247" priority="11145"/>
    <cfRule type="duplicateValues" dxfId="2246" priority="11146"/>
    <cfRule type="duplicateValues" dxfId="2245" priority="11147"/>
    <cfRule type="duplicateValues" dxfId="2244" priority="11148"/>
    <cfRule type="duplicateValues" dxfId="2243" priority="11149"/>
    <cfRule type="duplicateValues" dxfId="2242" priority="11150"/>
    <cfRule type="duplicateValues" dxfId="2241" priority="11151"/>
    <cfRule type="duplicateValues" dxfId="2240" priority="11152"/>
    <cfRule type="duplicateValues" dxfId="2239" priority="11153"/>
    <cfRule type="duplicateValues" dxfId="2238" priority="11154"/>
    <cfRule type="duplicateValues" dxfId="2237" priority="11155"/>
    <cfRule type="duplicateValues" dxfId="2236" priority="11156"/>
    <cfRule type="duplicateValues" dxfId="2235" priority="11157"/>
    <cfRule type="duplicateValues" dxfId="2234" priority="11158"/>
    <cfRule type="duplicateValues" dxfId="2233" priority="11159"/>
    <cfRule type="duplicateValues" dxfId="2232" priority="11160"/>
    <cfRule type="duplicateValues" dxfId="2231" priority="11161"/>
    <cfRule type="duplicateValues" dxfId="2230" priority="11162"/>
    <cfRule type="duplicateValues" dxfId="2229" priority="11163"/>
    <cfRule type="duplicateValues" dxfId="2228" priority="11164"/>
    <cfRule type="duplicateValues" dxfId="2227" priority="11165"/>
    <cfRule type="duplicateValues" dxfId="2226" priority="11166"/>
    <cfRule type="duplicateValues" dxfId="2225" priority="11167"/>
    <cfRule type="duplicateValues" dxfId="2224" priority="11168"/>
    <cfRule type="duplicateValues" dxfId="2223" priority="11169"/>
    <cfRule type="duplicateValues" dxfId="2222" priority="11170"/>
    <cfRule type="duplicateValues" dxfId="2221" priority="11171"/>
    <cfRule type="duplicateValues" dxfId="2220" priority="11172"/>
    <cfRule type="duplicateValues" dxfId="2219" priority="11173"/>
    <cfRule type="duplicateValues" dxfId="2218" priority="11174"/>
    <cfRule type="duplicateValues" dxfId="2217" priority="11175"/>
    <cfRule type="duplicateValues" dxfId="2216" priority="11176"/>
    <cfRule type="duplicateValues" dxfId="2215" priority="11177"/>
    <cfRule type="duplicateValues" dxfId="2214" priority="11178"/>
    <cfRule type="duplicateValues" dxfId="2213" priority="11179"/>
    <cfRule type="duplicateValues" dxfId="2212" priority="11180"/>
    <cfRule type="duplicateValues" dxfId="2211" priority="11181"/>
    <cfRule type="duplicateValues" dxfId="2210" priority="11182"/>
    <cfRule type="duplicateValues" dxfId="2209" priority="11183"/>
    <cfRule type="duplicateValues" dxfId="2208" priority="11184"/>
    <cfRule type="duplicateValues" dxfId="2207" priority="11185"/>
    <cfRule type="duplicateValues" dxfId="2206" priority="11186"/>
    <cfRule type="duplicateValues" dxfId="2205" priority="11187"/>
    <cfRule type="duplicateValues" dxfId="2204" priority="11188"/>
    <cfRule type="duplicateValues" dxfId="2203" priority="11189"/>
    <cfRule type="duplicateValues" dxfId="2202" priority="11190"/>
    <cfRule type="duplicateValues" dxfId="2201" priority="11191"/>
    <cfRule type="duplicateValues" dxfId="2200" priority="11192"/>
    <cfRule type="duplicateValues" dxfId="2199" priority="11193"/>
    <cfRule type="duplicateValues" dxfId="2198" priority="11194"/>
    <cfRule type="duplicateValues" dxfId="2197" priority="11195"/>
    <cfRule type="duplicateValues" dxfId="2196" priority="11196"/>
    <cfRule type="duplicateValues" dxfId="2195" priority="11197"/>
    <cfRule type="duplicateValues" dxfId="2194" priority="11198"/>
    <cfRule type="duplicateValues" dxfId="2193" priority="11199"/>
    <cfRule type="duplicateValues" dxfId="2192" priority="11200"/>
    <cfRule type="duplicateValues" dxfId="2191" priority="11201"/>
    <cfRule type="duplicateValues" dxfId="2190" priority="11202"/>
    <cfRule type="duplicateValues" dxfId="2189" priority="11203"/>
    <cfRule type="duplicateValues" dxfId="2188" priority="11204"/>
    <cfRule type="duplicateValues" dxfId="2187" priority="11205"/>
    <cfRule type="duplicateValues" dxfId="2186" priority="11206"/>
    <cfRule type="duplicateValues" dxfId="2185" priority="11207"/>
    <cfRule type="duplicateValues" dxfId="2184" priority="11208"/>
    <cfRule type="duplicateValues" dxfId="2183" priority="11209"/>
    <cfRule type="duplicateValues" dxfId="2182" priority="11210"/>
    <cfRule type="duplicateValues" dxfId="2181" priority="11211"/>
    <cfRule type="duplicateValues" dxfId="2180" priority="11212"/>
    <cfRule type="duplicateValues" dxfId="2179" priority="11213"/>
    <cfRule type="duplicateValues" dxfId="2178" priority="11214"/>
    <cfRule type="duplicateValues" dxfId="2177" priority="11215"/>
    <cfRule type="duplicateValues" dxfId="2176" priority="11216"/>
  </conditionalFormatting>
  <conditionalFormatting sqref="C302:C305">
    <cfRule type="duplicateValues" dxfId="2175" priority="1618"/>
    <cfRule type="duplicateValues" dxfId="2174" priority="1619"/>
    <cfRule type="duplicateValues" dxfId="2173" priority="1620"/>
    <cfRule type="duplicateValues" dxfId="2172" priority="1621"/>
    <cfRule type="duplicateValues" dxfId="2171" priority="1622"/>
    <cfRule type="duplicateValues" dxfId="2170" priority="1623"/>
    <cfRule type="duplicateValues" dxfId="2169" priority="1624"/>
    <cfRule type="duplicateValues" dxfId="2168" priority="1625"/>
    <cfRule type="duplicateValues" dxfId="2167" priority="1626"/>
    <cfRule type="duplicateValues" dxfId="2166" priority="1627"/>
    <cfRule type="duplicateValues" dxfId="2165" priority="1628"/>
    <cfRule type="duplicateValues" dxfId="2164" priority="1629"/>
    <cfRule type="duplicateValues" dxfId="2163" priority="1630"/>
    <cfRule type="duplicateValues" dxfId="2162" priority="1631"/>
    <cfRule type="duplicateValues" dxfId="2161" priority="1632"/>
    <cfRule type="duplicateValues" dxfId="2160" priority="1633"/>
    <cfRule type="duplicateValues" dxfId="2159" priority="1634"/>
    <cfRule type="duplicateValues" dxfId="2158" priority="1635"/>
    <cfRule type="duplicateValues" dxfId="2157" priority="1636"/>
    <cfRule type="duplicateValues" dxfId="2156" priority="1637"/>
    <cfRule type="duplicateValues" dxfId="2155" priority="1638"/>
    <cfRule type="duplicateValues" dxfId="2154" priority="1639"/>
    <cfRule type="duplicateValues" dxfId="2153" priority="1640"/>
    <cfRule type="duplicateValues" dxfId="2152" priority="1641"/>
    <cfRule type="duplicateValues" dxfId="2151" priority="1642"/>
    <cfRule type="duplicateValues" dxfId="2150" priority="1643"/>
    <cfRule type="duplicateValues" dxfId="2149" priority="1644"/>
    <cfRule type="duplicateValues" dxfId="2148" priority="1645"/>
    <cfRule type="duplicateValues" dxfId="2147" priority="1646"/>
    <cfRule type="duplicateValues" dxfId="2146" priority="1647"/>
    <cfRule type="duplicateValues" dxfId="2145" priority="1648"/>
    <cfRule type="duplicateValues" dxfId="2144" priority="1649"/>
    <cfRule type="duplicateValues" dxfId="2143" priority="1650"/>
    <cfRule type="duplicateValues" dxfId="2142" priority="1651"/>
    <cfRule type="duplicateValues" dxfId="2141" priority="1652"/>
    <cfRule type="duplicateValues" dxfId="2140" priority="1653"/>
    <cfRule type="duplicateValues" dxfId="2139" priority="1654"/>
    <cfRule type="duplicateValues" dxfId="2138" priority="1655"/>
    <cfRule type="duplicateValues" dxfId="2137" priority="1656"/>
    <cfRule type="duplicateValues" dxfId="2136" priority="1657"/>
    <cfRule type="duplicateValues" dxfId="2135" priority="1658"/>
    <cfRule type="duplicateValues" dxfId="2134" priority="1659"/>
    <cfRule type="duplicateValues" dxfId="2133" priority="1660"/>
    <cfRule type="duplicateValues" dxfId="2132" priority="1661"/>
    <cfRule type="duplicateValues" dxfId="2131" priority="1662"/>
    <cfRule type="duplicateValues" dxfId="2130" priority="1663"/>
    <cfRule type="duplicateValues" dxfId="2129" priority="1664"/>
    <cfRule type="duplicateValues" dxfId="2128" priority="1665"/>
    <cfRule type="duplicateValues" dxfId="2127" priority="1666"/>
    <cfRule type="duplicateValues" dxfId="2126" priority="1667"/>
    <cfRule type="duplicateValues" dxfId="2125" priority="1668"/>
    <cfRule type="duplicateValues" dxfId="2124" priority="1669"/>
    <cfRule type="duplicateValues" dxfId="2123" priority="1670"/>
    <cfRule type="duplicateValues" dxfId="2122" priority="1671"/>
    <cfRule type="duplicateValues" dxfId="2121" priority="1672"/>
    <cfRule type="duplicateValues" dxfId="2120" priority="1673"/>
    <cfRule type="duplicateValues" dxfId="2119" priority="1674"/>
    <cfRule type="duplicateValues" dxfId="2118" priority="1675"/>
    <cfRule type="duplicateValues" dxfId="2117" priority="1676"/>
    <cfRule type="duplicateValues" dxfId="2116" priority="1677"/>
    <cfRule type="duplicateValues" dxfId="2115" priority="1678"/>
    <cfRule type="duplicateValues" dxfId="2114" priority="1679"/>
    <cfRule type="duplicateValues" dxfId="2113" priority="1680"/>
    <cfRule type="duplicateValues" dxfId="2112" priority="1681"/>
    <cfRule type="duplicateValues" dxfId="2111" priority="1682"/>
    <cfRule type="duplicateValues" dxfId="2110" priority="1683"/>
    <cfRule type="duplicateValues" dxfId="2109" priority="1684"/>
    <cfRule type="duplicateValues" dxfId="2108" priority="1685"/>
    <cfRule type="duplicateValues" dxfId="2107" priority="1686"/>
    <cfRule type="duplicateValues" dxfId="2106" priority="1687"/>
    <cfRule type="duplicateValues" dxfId="2105" priority="1688"/>
    <cfRule type="duplicateValues" dxfId="2104" priority="1689"/>
    <cfRule type="duplicateValues" dxfId="2103" priority="1690"/>
    <cfRule type="duplicateValues" dxfId="2102" priority="1691"/>
    <cfRule type="duplicateValues" dxfId="2101" priority="1692"/>
    <cfRule type="duplicateValues" dxfId="2100" priority="1693"/>
    <cfRule type="duplicateValues" dxfId="2099" priority="1694"/>
    <cfRule type="duplicateValues" dxfId="2098" priority="1695"/>
    <cfRule type="duplicateValues" dxfId="2097" priority="1696"/>
    <cfRule type="duplicateValues" dxfId="2096" priority="1697"/>
    <cfRule type="duplicateValues" dxfId="2095" priority="1698"/>
    <cfRule type="duplicateValues" dxfId="2094" priority="1699"/>
    <cfRule type="duplicateValues" dxfId="2093" priority="1700"/>
    <cfRule type="duplicateValues" dxfId="2092" priority="1701"/>
    <cfRule type="duplicateValues" dxfId="2091" priority="1702"/>
    <cfRule type="duplicateValues" dxfId="2090" priority="1703"/>
    <cfRule type="duplicateValues" dxfId="2089" priority="1704"/>
    <cfRule type="duplicateValues" dxfId="2088" priority="1705"/>
    <cfRule type="duplicateValues" dxfId="2087" priority="1706"/>
    <cfRule type="duplicateValues" dxfId="2086" priority="1707"/>
    <cfRule type="duplicateValues" dxfId="2085" priority="1708"/>
    <cfRule type="duplicateValues" dxfId="2084" priority="1709"/>
    <cfRule type="duplicateValues" dxfId="2083" priority="1710"/>
    <cfRule type="duplicateValues" dxfId="2082" priority="1711"/>
    <cfRule type="duplicateValues" dxfId="2081" priority="1712"/>
    <cfRule type="duplicateValues" dxfId="2080" priority="1713"/>
    <cfRule type="duplicateValues" dxfId="2079" priority="1714"/>
    <cfRule type="duplicateValues" dxfId="2078" priority="1715"/>
    <cfRule type="duplicateValues" dxfId="2077" priority="1716"/>
    <cfRule type="duplicateValues" dxfId="2076" priority="1717"/>
    <cfRule type="duplicateValues" dxfId="2075" priority="1718"/>
    <cfRule type="duplicateValues" dxfId="2074" priority="1719"/>
    <cfRule type="duplicateValues" dxfId="2073" priority="1720"/>
    <cfRule type="duplicateValues" dxfId="2072" priority="1721"/>
    <cfRule type="duplicateValues" dxfId="2071" priority="1722"/>
    <cfRule type="duplicateValues" dxfId="2070" priority="1723"/>
    <cfRule type="duplicateValues" dxfId="2069" priority="1724"/>
    <cfRule type="duplicateValues" dxfId="2068" priority="1725"/>
    <cfRule type="duplicateValues" dxfId="2067" priority="1726"/>
    <cfRule type="duplicateValues" dxfId="2066" priority="1727"/>
    <cfRule type="duplicateValues" dxfId="2065" priority="1728"/>
    <cfRule type="duplicateValues" dxfId="2064" priority="1729"/>
    <cfRule type="duplicateValues" dxfId="2063" priority="1730"/>
    <cfRule type="duplicateValues" dxfId="2062" priority="1731"/>
    <cfRule type="duplicateValues" dxfId="2061" priority="1732"/>
    <cfRule type="duplicateValues" dxfId="2060" priority="1733"/>
    <cfRule type="duplicateValues" dxfId="2059" priority="1734"/>
    <cfRule type="duplicateValues" dxfId="2058" priority="1735"/>
    <cfRule type="duplicateValues" dxfId="2057" priority="1736"/>
    <cfRule type="duplicateValues" dxfId="2056" priority="1737"/>
    <cfRule type="duplicateValues" dxfId="2055" priority="1738"/>
    <cfRule type="duplicateValues" dxfId="2054" priority="1739"/>
    <cfRule type="duplicateValues" dxfId="2053" priority="1740"/>
    <cfRule type="duplicateValues" dxfId="2052" priority="1741"/>
    <cfRule type="duplicateValues" dxfId="2051" priority="1742"/>
    <cfRule type="duplicateValues" dxfId="2050" priority="1743"/>
    <cfRule type="duplicateValues" dxfId="2049" priority="1744"/>
    <cfRule type="duplicateValues" dxfId="2048" priority="1745"/>
    <cfRule type="duplicateValues" dxfId="2047" priority="1746"/>
    <cfRule type="duplicateValues" dxfId="2046" priority="1747"/>
    <cfRule type="duplicateValues" dxfId="2045" priority="1748"/>
    <cfRule type="duplicateValues" dxfId="2044" priority="1749"/>
    <cfRule type="duplicateValues" dxfId="2043" priority="1750"/>
    <cfRule type="duplicateValues" dxfId="2042" priority="1751"/>
    <cfRule type="duplicateValues" dxfId="2041" priority="1752"/>
    <cfRule type="duplicateValues" dxfId="2040" priority="1753"/>
    <cfRule type="duplicateValues" dxfId="2039" priority="1754"/>
    <cfRule type="duplicateValues" dxfId="2038" priority="1755"/>
    <cfRule type="duplicateValues" dxfId="2037" priority="1756"/>
    <cfRule type="duplicateValues" dxfId="2036" priority="1757"/>
    <cfRule type="duplicateValues" dxfId="2035" priority="1758"/>
    <cfRule type="duplicateValues" dxfId="2034" priority="1759"/>
    <cfRule type="duplicateValues" dxfId="2033" priority="1760"/>
    <cfRule type="duplicateValues" dxfId="2032" priority="1761"/>
    <cfRule type="duplicateValues" dxfId="2031" priority="1762"/>
    <cfRule type="duplicateValues" dxfId="2030" priority="1763"/>
    <cfRule type="duplicateValues" dxfId="2029" priority="1764"/>
    <cfRule type="duplicateValues" dxfId="2028" priority="1765"/>
    <cfRule type="duplicateValues" dxfId="2027" priority="1766"/>
    <cfRule type="duplicateValues" dxfId="2026" priority="1767"/>
    <cfRule type="duplicateValues" dxfId="2025" priority="1768"/>
    <cfRule type="duplicateValues" dxfId="2024" priority="1769"/>
    <cfRule type="duplicateValues" dxfId="2023" priority="1770"/>
    <cfRule type="duplicateValues" dxfId="2022" priority="1771"/>
    <cfRule type="duplicateValues" dxfId="2021" priority="1772"/>
    <cfRule type="duplicateValues" dxfId="2020" priority="1773"/>
    <cfRule type="duplicateValues" dxfId="2019" priority="1774"/>
    <cfRule type="duplicateValues" dxfId="2018" priority="1775"/>
    <cfRule type="duplicateValues" dxfId="2017" priority="1776"/>
    <cfRule type="duplicateValues" dxfId="2016" priority="1777"/>
    <cfRule type="duplicateValues" dxfId="2015" priority="1778"/>
    <cfRule type="duplicateValues" dxfId="2014" priority="1779"/>
    <cfRule type="duplicateValues" dxfId="2013" priority="1780"/>
    <cfRule type="duplicateValues" dxfId="2012" priority="1781"/>
    <cfRule type="duplicateValues" dxfId="2011" priority="1782"/>
    <cfRule type="duplicateValues" dxfId="2010" priority="1783"/>
    <cfRule type="duplicateValues" dxfId="2009" priority="1784"/>
    <cfRule type="duplicateValues" dxfId="2008" priority="1785"/>
    <cfRule type="duplicateValues" dxfId="2007" priority="1786"/>
    <cfRule type="duplicateValues" dxfId="2006" priority="1787"/>
    <cfRule type="duplicateValues" dxfId="2005" priority="1788"/>
    <cfRule type="duplicateValues" dxfId="2004" priority="1789"/>
    <cfRule type="duplicateValues" dxfId="2003" priority="1790"/>
    <cfRule type="duplicateValues" dxfId="2002" priority="1791"/>
    <cfRule type="duplicateValues" dxfId="2001" priority="1792"/>
    <cfRule type="duplicateValues" dxfId="2000" priority="1793"/>
    <cfRule type="duplicateValues" dxfId="1999" priority="1794"/>
    <cfRule type="duplicateValues" dxfId="1998" priority="1795"/>
    <cfRule type="duplicateValues" dxfId="1997" priority="1796"/>
    <cfRule type="duplicateValues" dxfId="1996" priority="1797"/>
    <cfRule type="duplicateValues" dxfId="1995" priority="1798"/>
    <cfRule type="duplicateValues" dxfId="1994" priority="1799"/>
    <cfRule type="duplicateValues" dxfId="1993" priority="1800"/>
    <cfRule type="duplicateValues" dxfId="1992" priority="1801"/>
    <cfRule type="duplicateValues" dxfId="1991" priority="1802"/>
    <cfRule type="duplicateValues" dxfId="1990" priority="1803"/>
    <cfRule type="duplicateValues" dxfId="1989" priority="1804"/>
    <cfRule type="duplicateValues" dxfId="1988" priority="1805"/>
    <cfRule type="duplicateValues" dxfId="1987" priority="1806"/>
    <cfRule type="duplicateValues" dxfId="1986" priority="1807"/>
    <cfRule type="duplicateValues" dxfId="1985" priority="1808"/>
    <cfRule type="duplicateValues" dxfId="1984" priority="1809"/>
    <cfRule type="duplicateValues" dxfId="1983" priority="1810"/>
    <cfRule type="duplicateValues" dxfId="1982" priority="1811"/>
    <cfRule type="duplicateValues" dxfId="1981" priority="1812"/>
    <cfRule type="duplicateValues" dxfId="1980" priority="1813"/>
    <cfRule type="duplicateValues" dxfId="1979" priority="1814"/>
    <cfRule type="duplicateValues" dxfId="1978" priority="1815"/>
    <cfRule type="duplicateValues" dxfId="1977" priority="1816"/>
    <cfRule type="duplicateValues" dxfId="1976" priority="1817"/>
    <cfRule type="duplicateValues" dxfId="1975" priority="1818"/>
    <cfRule type="duplicateValues" dxfId="1974" priority="1819"/>
    <cfRule type="duplicateValues" dxfId="1973" priority="1820"/>
    <cfRule type="duplicateValues" dxfId="1972" priority="1821"/>
    <cfRule type="duplicateValues" dxfId="1971" priority="1822"/>
    <cfRule type="duplicateValues" dxfId="1970" priority="1823"/>
    <cfRule type="duplicateValues" dxfId="1969" priority="1824"/>
    <cfRule type="duplicateValues" dxfId="1968" priority="1825"/>
    <cfRule type="duplicateValues" dxfId="1967" priority="1826"/>
    <cfRule type="duplicateValues" dxfId="1966" priority="1827"/>
    <cfRule type="duplicateValues" dxfId="1965" priority="1828"/>
    <cfRule type="duplicateValues" dxfId="1964" priority="1829"/>
    <cfRule type="duplicateValues" dxfId="1963" priority="1830"/>
    <cfRule type="duplicateValues" dxfId="1962" priority="1831"/>
    <cfRule type="duplicateValues" dxfId="1961" priority="1832"/>
    <cfRule type="duplicateValues" dxfId="1960" priority="1833"/>
    <cfRule type="duplicateValues" dxfId="1959" priority="1834"/>
    <cfRule type="duplicateValues" dxfId="1958" priority="1835"/>
    <cfRule type="duplicateValues" dxfId="1957" priority="1836"/>
    <cfRule type="duplicateValues" dxfId="1956" priority="1837"/>
    <cfRule type="duplicateValues" dxfId="1955" priority="1838"/>
    <cfRule type="duplicateValues" dxfId="1954" priority="1839"/>
    <cfRule type="duplicateValues" dxfId="1953" priority="1840"/>
    <cfRule type="duplicateValues" dxfId="1952" priority="1841"/>
    <cfRule type="duplicateValues" dxfId="1951" priority="1842"/>
    <cfRule type="duplicateValues" dxfId="1950" priority="1843"/>
    <cfRule type="duplicateValues" dxfId="1949" priority="1844"/>
    <cfRule type="duplicateValues" dxfId="1948" priority="1845"/>
    <cfRule type="duplicateValues" dxfId="1947" priority="1846"/>
    <cfRule type="duplicateValues" dxfId="1946" priority="1847"/>
    <cfRule type="duplicateValues" dxfId="1945" priority="1848"/>
    <cfRule type="duplicateValues" dxfId="1944" priority="1849"/>
    <cfRule type="duplicateValues" dxfId="1943" priority="1850"/>
    <cfRule type="duplicateValues" dxfId="1942" priority="1851"/>
    <cfRule type="duplicateValues" dxfId="1941" priority="1852"/>
    <cfRule type="duplicateValues" dxfId="1940" priority="1853"/>
    <cfRule type="duplicateValues" dxfId="1939" priority="1854"/>
    <cfRule type="duplicateValues" dxfId="1938" priority="1855"/>
    <cfRule type="duplicateValues" dxfId="1937" priority="1856"/>
    <cfRule type="duplicateValues" dxfId="1936" priority="1857"/>
    <cfRule type="duplicateValues" dxfId="1935" priority="1858"/>
    <cfRule type="duplicateValues" dxfId="1934" priority="1859"/>
    <cfRule type="duplicateValues" dxfId="1933" priority="1860"/>
    <cfRule type="duplicateValues" dxfId="1932" priority="1861"/>
    <cfRule type="duplicateValues" dxfId="1931" priority="1862"/>
    <cfRule type="duplicateValues" dxfId="1930" priority="1863"/>
    <cfRule type="duplicateValues" dxfId="1929" priority="1864"/>
    <cfRule type="duplicateValues" dxfId="1928" priority="1865"/>
    <cfRule type="duplicateValues" dxfId="1927" priority="1866"/>
    <cfRule type="duplicateValues" dxfId="1926" priority="1867"/>
    <cfRule type="duplicateValues" dxfId="1925" priority="1868"/>
    <cfRule type="duplicateValues" dxfId="1924" priority="1869"/>
    <cfRule type="duplicateValues" dxfId="1923" priority="1870"/>
    <cfRule type="duplicateValues" dxfId="1922" priority="1871"/>
    <cfRule type="duplicateValues" dxfId="1921" priority="1872"/>
    <cfRule type="duplicateValues" dxfId="1920" priority="1873"/>
    <cfRule type="duplicateValues" dxfId="1919" priority="1874"/>
    <cfRule type="duplicateValues" dxfId="1918" priority="1875"/>
    <cfRule type="duplicateValues" dxfId="1917" priority="1876"/>
    <cfRule type="duplicateValues" dxfId="1916" priority="1877"/>
    <cfRule type="duplicateValues" dxfId="1915" priority="1878"/>
    <cfRule type="duplicateValues" dxfId="1914" priority="1879"/>
    <cfRule type="duplicateValues" dxfId="1913" priority="1880"/>
    <cfRule type="duplicateValues" dxfId="1912" priority="1881"/>
    <cfRule type="duplicateValues" dxfId="1911" priority="1882"/>
    <cfRule type="duplicateValues" dxfId="1910" priority="1883"/>
    <cfRule type="duplicateValues" dxfId="1909" priority="1884"/>
    <cfRule type="duplicateValues" dxfId="1908" priority="1885"/>
    <cfRule type="duplicateValues" dxfId="1907" priority="1886"/>
    <cfRule type="duplicateValues" dxfId="1906" priority="1887"/>
    <cfRule type="duplicateValues" dxfId="1905" priority="1888"/>
    <cfRule type="duplicateValues" dxfId="1904" priority="1889"/>
    <cfRule type="duplicateValues" dxfId="1903" priority="1890"/>
    <cfRule type="duplicateValues" dxfId="1902" priority="1891"/>
    <cfRule type="duplicateValues" dxfId="1901" priority="1892"/>
    <cfRule type="duplicateValues" dxfId="1900" priority="1893"/>
    <cfRule type="duplicateValues" dxfId="1899" priority="1894"/>
    <cfRule type="duplicateValues" dxfId="1898" priority="1895"/>
    <cfRule type="duplicateValues" dxfId="1897" priority="1896"/>
    <cfRule type="duplicateValues" dxfId="1896" priority="1897"/>
    <cfRule type="duplicateValues" dxfId="1895" priority="1898"/>
    <cfRule type="duplicateValues" dxfId="1894" priority="1899"/>
    <cfRule type="duplicateValues" dxfId="1893" priority="1900"/>
    <cfRule type="duplicateValues" dxfId="1892" priority="1901"/>
    <cfRule type="duplicateValues" dxfId="1891" priority="1902"/>
    <cfRule type="duplicateValues" dxfId="1890" priority="1903"/>
    <cfRule type="duplicateValues" dxfId="1889" priority="1904"/>
    <cfRule type="duplicateValues" dxfId="1888" priority="1905"/>
    <cfRule type="duplicateValues" dxfId="1887" priority="1906"/>
    <cfRule type="duplicateValues" dxfId="1886" priority="1907"/>
    <cfRule type="duplicateValues" dxfId="1885" priority="1908"/>
    <cfRule type="duplicateValues" dxfId="1884" priority="1909"/>
    <cfRule type="duplicateValues" dxfId="1883" priority="1910"/>
    <cfRule type="duplicateValues" dxfId="1882" priority="1911"/>
    <cfRule type="duplicateValues" dxfId="1881" priority="1912"/>
    <cfRule type="duplicateValues" dxfId="1880" priority="1913"/>
    <cfRule type="duplicateValues" dxfId="1879" priority="1914"/>
    <cfRule type="duplicateValues" dxfId="1878" priority="1915"/>
    <cfRule type="duplicateValues" dxfId="1877" priority="1916"/>
    <cfRule type="duplicateValues" dxfId="1876" priority="1917"/>
    <cfRule type="duplicateValues" dxfId="1875" priority="1918"/>
    <cfRule type="duplicateValues" dxfId="1874" priority="1919"/>
    <cfRule type="duplicateValues" dxfId="1873" priority="1920"/>
    <cfRule type="duplicateValues" dxfId="1872" priority="1921"/>
    <cfRule type="duplicateValues" dxfId="1871" priority="1922"/>
    <cfRule type="duplicateValues" dxfId="1870" priority="1923"/>
    <cfRule type="duplicateValues" dxfId="1869" priority="1924"/>
    <cfRule type="duplicateValues" dxfId="1868" priority="1925"/>
    <cfRule type="duplicateValues" dxfId="1867" priority="1926"/>
    <cfRule type="duplicateValues" dxfId="1866" priority="1927"/>
    <cfRule type="duplicateValues" dxfId="1865" priority="1928"/>
    <cfRule type="duplicateValues" dxfId="1864" priority="1929"/>
    <cfRule type="duplicateValues" dxfId="1863" priority="1930"/>
    <cfRule type="duplicateValues" dxfId="1862" priority="1931"/>
    <cfRule type="duplicateValues" dxfId="1861" priority="1932"/>
    <cfRule type="duplicateValues" dxfId="1860" priority="1933"/>
    <cfRule type="duplicateValues" dxfId="1859" priority="1934"/>
    <cfRule type="duplicateValues" dxfId="1858" priority="1935"/>
    <cfRule type="duplicateValues" dxfId="1857" priority="1936"/>
    <cfRule type="duplicateValues" dxfId="1856" priority="1937"/>
    <cfRule type="duplicateValues" dxfId="1855" priority="1938"/>
    <cfRule type="duplicateValues" dxfId="1854" priority="1939"/>
    <cfRule type="duplicateValues" dxfId="1853" priority="1940"/>
    <cfRule type="duplicateValues" dxfId="1852" priority="1941"/>
    <cfRule type="duplicateValues" dxfId="1851" priority="1942"/>
    <cfRule type="duplicateValues" dxfId="1850" priority="1943"/>
    <cfRule type="duplicateValues" dxfId="1849" priority="1944"/>
    <cfRule type="duplicateValues" dxfId="1848" priority="1945"/>
    <cfRule type="duplicateValues" dxfId="1847" priority="1946"/>
    <cfRule type="duplicateValues" dxfId="1846" priority="1947"/>
    <cfRule type="duplicateValues" dxfId="1845" priority="1948"/>
    <cfRule type="duplicateValues" dxfId="1844" priority="1949"/>
    <cfRule type="duplicateValues" dxfId="1843" priority="1950"/>
    <cfRule type="duplicateValues" dxfId="1842" priority="1951"/>
    <cfRule type="duplicateValues" dxfId="1841" priority="1952"/>
    <cfRule type="duplicateValues" dxfId="1840" priority="1953"/>
    <cfRule type="duplicateValues" dxfId="1839" priority="1954"/>
    <cfRule type="duplicateValues" dxfId="1838" priority="1955"/>
    <cfRule type="duplicateValues" dxfId="1837" priority="1956"/>
    <cfRule type="duplicateValues" dxfId="1836" priority="1957"/>
    <cfRule type="duplicateValues" dxfId="1835" priority="1958"/>
    <cfRule type="duplicateValues" dxfId="1834" priority="1959"/>
    <cfRule type="duplicateValues" dxfId="1833" priority="1960"/>
    <cfRule type="duplicateValues" dxfId="1832" priority="1961"/>
    <cfRule type="duplicateValues" dxfId="1831" priority="1962"/>
  </conditionalFormatting>
  <conditionalFormatting sqref="C306:C307">
    <cfRule type="duplicateValues" dxfId="1830" priority="1273"/>
    <cfRule type="duplicateValues" dxfId="1829" priority="1274"/>
    <cfRule type="duplicateValues" dxfId="1828" priority="1275"/>
    <cfRule type="duplicateValues" dxfId="1827" priority="1276"/>
    <cfRule type="duplicateValues" dxfId="1826" priority="1277"/>
    <cfRule type="duplicateValues" dxfId="1825" priority="1278"/>
    <cfRule type="duplicateValues" dxfId="1824" priority="1279"/>
    <cfRule type="duplicateValues" dxfId="1823" priority="1280"/>
    <cfRule type="duplicateValues" dxfId="1822" priority="1281"/>
    <cfRule type="duplicateValues" dxfId="1821" priority="1282"/>
    <cfRule type="duplicateValues" dxfId="1820" priority="1283"/>
    <cfRule type="duplicateValues" dxfId="1819" priority="1284"/>
    <cfRule type="duplicateValues" dxfId="1818" priority="1285"/>
    <cfRule type="duplicateValues" dxfId="1817" priority="1286"/>
    <cfRule type="duplicateValues" dxfId="1816" priority="1287"/>
    <cfRule type="duplicateValues" dxfId="1815" priority="1288"/>
    <cfRule type="duplicateValues" dxfId="1814" priority="1289"/>
    <cfRule type="duplicateValues" dxfId="1813" priority="1290"/>
    <cfRule type="duplicateValues" dxfId="1812" priority="1291"/>
    <cfRule type="duplicateValues" dxfId="1811" priority="1292"/>
    <cfRule type="duplicateValues" dxfId="1810" priority="1293"/>
    <cfRule type="duplicateValues" dxfId="1809" priority="1294"/>
    <cfRule type="duplicateValues" dxfId="1808" priority="1295"/>
    <cfRule type="duplicateValues" dxfId="1807" priority="1296"/>
    <cfRule type="duplicateValues" dxfId="1806" priority="1297"/>
    <cfRule type="duplicateValues" dxfId="1805" priority="1298"/>
    <cfRule type="duplicateValues" dxfId="1804" priority="1299"/>
    <cfRule type="duplicateValues" dxfId="1803" priority="1300"/>
    <cfRule type="duplicateValues" dxfId="1802" priority="1301"/>
    <cfRule type="duplicateValues" dxfId="1801" priority="1302"/>
    <cfRule type="duplicateValues" dxfId="1800" priority="1303"/>
    <cfRule type="duplicateValues" dxfId="1799" priority="1304"/>
    <cfRule type="duplicateValues" dxfId="1798" priority="1305"/>
    <cfRule type="duplicateValues" dxfId="1797" priority="1306"/>
    <cfRule type="duplicateValues" dxfId="1796" priority="1307"/>
    <cfRule type="duplicateValues" dxfId="1795" priority="1308"/>
    <cfRule type="duplicateValues" dxfId="1794" priority="1309"/>
    <cfRule type="duplicateValues" dxfId="1793" priority="1310"/>
    <cfRule type="duplicateValues" dxfId="1792" priority="1311"/>
    <cfRule type="duplicateValues" dxfId="1791" priority="1312"/>
    <cfRule type="duplicateValues" dxfId="1790" priority="1313"/>
    <cfRule type="duplicateValues" dxfId="1789" priority="1314"/>
    <cfRule type="duplicateValues" dxfId="1788" priority="1315"/>
    <cfRule type="duplicateValues" dxfId="1787" priority="1316"/>
    <cfRule type="duplicateValues" dxfId="1786" priority="1317"/>
    <cfRule type="duplicateValues" dxfId="1785" priority="1318"/>
    <cfRule type="duplicateValues" dxfId="1784" priority="1319"/>
    <cfRule type="duplicateValues" dxfId="1783" priority="1320"/>
    <cfRule type="duplicateValues" dxfId="1782" priority="1321"/>
    <cfRule type="duplicateValues" dxfId="1781" priority="1322"/>
    <cfRule type="duplicateValues" dxfId="1780" priority="1323"/>
    <cfRule type="duplicateValues" dxfId="1779" priority="1324"/>
    <cfRule type="duplicateValues" dxfId="1778" priority="1325"/>
    <cfRule type="duplicateValues" dxfId="1777" priority="1326"/>
    <cfRule type="duplicateValues" dxfId="1776" priority="1327"/>
    <cfRule type="duplicateValues" dxfId="1775" priority="1328"/>
    <cfRule type="duplicateValues" dxfId="1774" priority="1329"/>
    <cfRule type="duplicateValues" dxfId="1773" priority="1330"/>
    <cfRule type="duplicateValues" dxfId="1772" priority="1331"/>
    <cfRule type="duplicateValues" dxfId="1771" priority="1332"/>
    <cfRule type="duplicateValues" dxfId="1770" priority="1333"/>
    <cfRule type="duplicateValues" dxfId="1769" priority="1334"/>
    <cfRule type="duplicateValues" dxfId="1768" priority="1335"/>
    <cfRule type="duplicateValues" dxfId="1767" priority="1336"/>
    <cfRule type="duplicateValues" dxfId="1766" priority="1337"/>
    <cfRule type="duplicateValues" dxfId="1765" priority="1338"/>
    <cfRule type="duplicateValues" dxfId="1764" priority="1339"/>
    <cfRule type="duplicateValues" dxfId="1763" priority="1340"/>
    <cfRule type="duplicateValues" dxfId="1762" priority="1341"/>
    <cfRule type="duplicateValues" dxfId="1761" priority="1342"/>
    <cfRule type="duplicateValues" dxfId="1760" priority="1343"/>
    <cfRule type="duplicateValues" dxfId="1759" priority="1344"/>
    <cfRule type="duplicateValues" dxfId="1758" priority="1345"/>
    <cfRule type="duplicateValues" dxfId="1757" priority="1346"/>
    <cfRule type="duplicateValues" dxfId="1756" priority="1347"/>
    <cfRule type="duplicateValues" dxfId="1755" priority="1348"/>
    <cfRule type="duplicateValues" dxfId="1754" priority="1349"/>
    <cfRule type="duplicateValues" dxfId="1753" priority="1350"/>
    <cfRule type="duplicateValues" dxfId="1752" priority="1351"/>
    <cfRule type="duplicateValues" dxfId="1751" priority="1352"/>
    <cfRule type="duplicateValues" dxfId="1750" priority="1353"/>
    <cfRule type="duplicateValues" dxfId="1749" priority="1354"/>
    <cfRule type="duplicateValues" dxfId="1748" priority="1355"/>
    <cfRule type="duplicateValues" dxfId="1747" priority="1356"/>
    <cfRule type="duplicateValues" dxfId="1746" priority="1357"/>
    <cfRule type="duplicateValues" dxfId="1745" priority="1358"/>
    <cfRule type="duplicateValues" dxfId="1744" priority="1359"/>
    <cfRule type="duplicateValues" dxfId="1743" priority="1360"/>
    <cfRule type="duplicateValues" dxfId="1742" priority="1361"/>
    <cfRule type="duplicateValues" dxfId="1741" priority="1362"/>
    <cfRule type="duplicateValues" dxfId="1740" priority="1363"/>
    <cfRule type="duplicateValues" dxfId="1739" priority="1364"/>
    <cfRule type="duplicateValues" dxfId="1738" priority="1365"/>
    <cfRule type="duplicateValues" dxfId="1737" priority="1366"/>
    <cfRule type="duplicateValues" dxfId="1736" priority="1367"/>
    <cfRule type="duplicateValues" dxfId="1735" priority="1368"/>
    <cfRule type="duplicateValues" dxfId="1734" priority="1369"/>
    <cfRule type="duplicateValues" dxfId="1733" priority="1370"/>
    <cfRule type="duplicateValues" dxfId="1732" priority="1371"/>
    <cfRule type="duplicateValues" dxfId="1731" priority="1372"/>
    <cfRule type="duplicateValues" dxfId="1730" priority="1373"/>
    <cfRule type="duplicateValues" dxfId="1729" priority="1374"/>
    <cfRule type="duplicateValues" dxfId="1728" priority="1375"/>
    <cfRule type="duplicateValues" dxfId="1727" priority="1376"/>
    <cfRule type="duplicateValues" dxfId="1726" priority="1377"/>
    <cfRule type="duplicateValues" dxfId="1725" priority="1378"/>
    <cfRule type="duplicateValues" dxfId="1724" priority="1379"/>
    <cfRule type="duplicateValues" dxfId="1723" priority="1380"/>
    <cfRule type="duplicateValues" dxfId="1722" priority="1381"/>
    <cfRule type="duplicateValues" dxfId="1721" priority="1382"/>
    <cfRule type="duplicateValues" dxfId="1720" priority="1383"/>
    <cfRule type="duplicateValues" dxfId="1719" priority="1384"/>
    <cfRule type="duplicateValues" dxfId="1718" priority="1385"/>
    <cfRule type="duplicateValues" dxfId="1717" priority="1386"/>
    <cfRule type="duplicateValues" dxfId="1716" priority="1387"/>
    <cfRule type="duplicateValues" dxfId="1715" priority="1388"/>
    <cfRule type="duplicateValues" dxfId="1714" priority="1389"/>
    <cfRule type="duplicateValues" dxfId="1713" priority="1390"/>
    <cfRule type="duplicateValues" dxfId="1712" priority="1391"/>
    <cfRule type="duplicateValues" dxfId="1711" priority="1392"/>
    <cfRule type="duplicateValues" dxfId="1710" priority="1393"/>
    <cfRule type="duplicateValues" dxfId="1709" priority="1394"/>
    <cfRule type="duplicateValues" dxfId="1708" priority="1395"/>
    <cfRule type="duplicateValues" dxfId="1707" priority="1396"/>
    <cfRule type="duplicateValues" dxfId="1706" priority="1397"/>
    <cfRule type="duplicateValues" dxfId="1705" priority="1398"/>
    <cfRule type="duplicateValues" dxfId="1704" priority="1399"/>
    <cfRule type="duplicateValues" dxfId="1703" priority="1400"/>
    <cfRule type="duplicateValues" dxfId="1702" priority="1401"/>
    <cfRule type="duplicateValues" dxfId="1701" priority="1402"/>
    <cfRule type="duplicateValues" dxfId="1700" priority="1403"/>
    <cfRule type="duplicateValues" dxfId="1699" priority="1404"/>
    <cfRule type="duplicateValues" dxfId="1698" priority="1405"/>
    <cfRule type="duplicateValues" dxfId="1697" priority="1406"/>
    <cfRule type="duplicateValues" dxfId="1696" priority="1407"/>
    <cfRule type="duplicateValues" dxfId="1695" priority="1408"/>
    <cfRule type="duplicateValues" dxfId="1694" priority="1409"/>
    <cfRule type="duplicateValues" dxfId="1693" priority="1410"/>
    <cfRule type="duplicateValues" dxfId="1692" priority="1411"/>
    <cfRule type="duplicateValues" dxfId="1691" priority="1412"/>
    <cfRule type="duplicateValues" dxfId="1690" priority="1413"/>
    <cfRule type="duplicateValues" dxfId="1689" priority="1414"/>
    <cfRule type="duplicateValues" dxfId="1688" priority="1415"/>
    <cfRule type="duplicateValues" dxfId="1687" priority="1416"/>
    <cfRule type="duplicateValues" dxfId="1686" priority="1417"/>
    <cfRule type="duplicateValues" dxfId="1685" priority="1418"/>
    <cfRule type="duplicateValues" dxfId="1684" priority="1419"/>
    <cfRule type="duplicateValues" dxfId="1683" priority="1420"/>
    <cfRule type="duplicateValues" dxfId="1682" priority="1421"/>
    <cfRule type="duplicateValues" dxfId="1681" priority="1422"/>
    <cfRule type="duplicateValues" dxfId="1680" priority="1423"/>
    <cfRule type="duplicateValues" dxfId="1679" priority="1424"/>
    <cfRule type="duplicateValues" dxfId="1678" priority="1425"/>
    <cfRule type="duplicateValues" dxfId="1677" priority="1426"/>
    <cfRule type="duplicateValues" dxfId="1676" priority="1427"/>
    <cfRule type="duplicateValues" dxfId="1675" priority="1428"/>
    <cfRule type="duplicateValues" dxfId="1674" priority="1429"/>
    <cfRule type="duplicateValues" dxfId="1673" priority="1430"/>
    <cfRule type="duplicateValues" dxfId="1672" priority="1431"/>
    <cfRule type="duplicateValues" dxfId="1671" priority="1432"/>
    <cfRule type="duplicateValues" dxfId="1670" priority="1433"/>
    <cfRule type="duplicateValues" dxfId="1669" priority="1434"/>
    <cfRule type="duplicateValues" dxfId="1668" priority="1435"/>
    <cfRule type="duplicateValues" dxfId="1667" priority="1436"/>
    <cfRule type="duplicateValues" dxfId="1666" priority="1437"/>
    <cfRule type="duplicateValues" dxfId="1665" priority="1438"/>
    <cfRule type="duplicateValues" dxfId="1664" priority="1439"/>
    <cfRule type="duplicateValues" dxfId="1663" priority="1440"/>
    <cfRule type="duplicateValues" dxfId="1662" priority="1441"/>
    <cfRule type="duplicateValues" dxfId="1661" priority="1442"/>
    <cfRule type="duplicateValues" dxfId="1660" priority="1443"/>
    <cfRule type="duplicateValues" dxfId="1659" priority="1444"/>
    <cfRule type="duplicateValues" dxfId="1658" priority="1445"/>
    <cfRule type="duplicateValues" dxfId="1657" priority="1446"/>
    <cfRule type="duplicateValues" dxfId="1656" priority="1447"/>
    <cfRule type="duplicateValues" dxfId="1655" priority="1448"/>
    <cfRule type="duplicateValues" dxfId="1654" priority="1449"/>
    <cfRule type="duplicateValues" dxfId="1653" priority="1450"/>
    <cfRule type="duplicateValues" dxfId="1652" priority="1451"/>
    <cfRule type="duplicateValues" dxfId="1651" priority="1452"/>
    <cfRule type="duplicateValues" dxfId="1650" priority="1453"/>
    <cfRule type="duplicateValues" dxfId="1649" priority="1454"/>
    <cfRule type="duplicateValues" dxfId="1648" priority="1455"/>
    <cfRule type="duplicateValues" dxfId="1647" priority="1456"/>
    <cfRule type="duplicateValues" dxfId="1646" priority="1457"/>
    <cfRule type="duplicateValues" dxfId="1645" priority="1458"/>
    <cfRule type="duplicateValues" dxfId="1644" priority="1459"/>
    <cfRule type="duplicateValues" dxfId="1643" priority="1460"/>
    <cfRule type="duplicateValues" dxfId="1642" priority="1461"/>
    <cfRule type="duplicateValues" dxfId="1641" priority="1462"/>
    <cfRule type="duplicateValues" dxfId="1640" priority="1463"/>
    <cfRule type="duplicateValues" dxfId="1639" priority="1464"/>
    <cfRule type="duplicateValues" dxfId="1638" priority="1465"/>
    <cfRule type="duplicateValues" dxfId="1637" priority="1466"/>
    <cfRule type="duplicateValues" dxfId="1636" priority="1467"/>
    <cfRule type="duplicateValues" dxfId="1635" priority="1468"/>
    <cfRule type="duplicateValues" dxfId="1634" priority="1469"/>
    <cfRule type="duplicateValues" dxfId="1633" priority="1470"/>
    <cfRule type="duplicateValues" dxfId="1632" priority="1471"/>
    <cfRule type="duplicateValues" dxfId="1631" priority="1472"/>
    <cfRule type="duplicateValues" dxfId="1630" priority="1473"/>
    <cfRule type="duplicateValues" dxfId="1629" priority="1474"/>
    <cfRule type="duplicateValues" dxfId="1628" priority="1475"/>
    <cfRule type="duplicateValues" dxfId="1627" priority="1476"/>
    <cfRule type="duplicateValues" dxfId="1626" priority="1477"/>
    <cfRule type="duplicateValues" dxfId="1625" priority="1478"/>
    <cfRule type="duplicateValues" dxfId="1624" priority="1479"/>
    <cfRule type="duplicateValues" dxfId="1623" priority="1480"/>
    <cfRule type="duplicateValues" dxfId="1622" priority="1481"/>
    <cfRule type="duplicateValues" dxfId="1621" priority="1482"/>
    <cfRule type="duplicateValues" dxfId="1620" priority="1483"/>
    <cfRule type="duplicateValues" dxfId="1619" priority="1484"/>
    <cfRule type="duplicateValues" dxfId="1618" priority="1485"/>
    <cfRule type="duplicateValues" dxfId="1617" priority="1486"/>
    <cfRule type="duplicateValues" dxfId="1616" priority="1487"/>
    <cfRule type="duplicateValues" dxfId="1615" priority="1488"/>
    <cfRule type="duplicateValues" dxfId="1614" priority="1489"/>
    <cfRule type="duplicateValues" dxfId="1613" priority="1490"/>
    <cfRule type="duplicateValues" dxfId="1612" priority="1491"/>
    <cfRule type="duplicateValues" dxfId="1611" priority="1492"/>
    <cfRule type="duplicateValues" dxfId="1610" priority="1493"/>
    <cfRule type="duplicateValues" dxfId="1609" priority="1494"/>
    <cfRule type="duplicateValues" dxfId="1608" priority="1495"/>
    <cfRule type="duplicateValues" dxfId="1607" priority="1496"/>
    <cfRule type="duplicateValues" dxfId="1606" priority="1497"/>
    <cfRule type="duplicateValues" dxfId="1605" priority="1498"/>
    <cfRule type="duplicateValues" dxfId="1604" priority="1499"/>
    <cfRule type="duplicateValues" dxfId="1603" priority="1500"/>
    <cfRule type="duplicateValues" dxfId="1602" priority="1501"/>
    <cfRule type="duplicateValues" dxfId="1601" priority="1502"/>
    <cfRule type="duplicateValues" dxfId="1600" priority="1503"/>
    <cfRule type="duplicateValues" dxfId="1599" priority="1504"/>
    <cfRule type="duplicateValues" dxfId="1598" priority="1505"/>
    <cfRule type="duplicateValues" dxfId="1597" priority="1506"/>
    <cfRule type="duplicateValues" dxfId="1596" priority="1507"/>
    <cfRule type="duplicateValues" dxfId="1595" priority="1508"/>
    <cfRule type="duplicateValues" dxfId="1594" priority="1509"/>
    <cfRule type="duplicateValues" dxfId="1593" priority="1510"/>
    <cfRule type="duplicateValues" dxfId="1592" priority="1511"/>
    <cfRule type="duplicateValues" dxfId="1591" priority="1512"/>
    <cfRule type="duplicateValues" dxfId="1590" priority="1513"/>
    <cfRule type="duplicateValues" dxfId="1589" priority="1514"/>
    <cfRule type="duplicateValues" dxfId="1588" priority="1515"/>
    <cfRule type="duplicateValues" dxfId="1587" priority="1516"/>
    <cfRule type="duplicateValues" dxfId="1586" priority="1517"/>
    <cfRule type="duplicateValues" dxfId="1585" priority="1518"/>
    <cfRule type="duplicateValues" dxfId="1584" priority="1519"/>
    <cfRule type="duplicateValues" dxfId="1583" priority="1520"/>
    <cfRule type="duplicateValues" dxfId="1582" priority="1521"/>
    <cfRule type="duplicateValues" dxfId="1581" priority="1522"/>
    <cfRule type="duplicateValues" dxfId="1580" priority="1523"/>
    <cfRule type="duplicateValues" dxfId="1579" priority="1524"/>
    <cfRule type="duplicateValues" dxfId="1578" priority="1525"/>
    <cfRule type="duplicateValues" dxfId="1577" priority="1526"/>
    <cfRule type="duplicateValues" dxfId="1576" priority="1527"/>
    <cfRule type="duplicateValues" dxfId="1575" priority="1528"/>
    <cfRule type="duplicateValues" dxfId="1574" priority="1529"/>
    <cfRule type="duplicateValues" dxfId="1573" priority="1530"/>
    <cfRule type="duplicateValues" dxfId="1572" priority="1531"/>
    <cfRule type="duplicateValues" dxfId="1571" priority="1532"/>
    <cfRule type="duplicateValues" dxfId="1570" priority="1533"/>
    <cfRule type="duplicateValues" dxfId="1569" priority="1534"/>
    <cfRule type="duplicateValues" dxfId="1568" priority="1535"/>
    <cfRule type="duplicateValues" dxfId="1567" priority="1536"/>
    <cfRule type="duplicateValues" dxfId="1566" priority="1537"/>
    <cfRule type="duplicateValues" dxfId="1565" priority="1538"/>
    <cfRule type="duplicateValues" dxfId="1564" priority="1539"/>
    <cfRule type="duplicateValues" dxfId="1563" priority="1540"/>
    <cfRule type="duplicateValues" dxfId="1562" priority="1541"/>
    <cfRule type="duplicateValues" dxfId="1561" priority="1542"/>
    <cfRule type="duplicateValues" dxfId="1560" priority="1543"/>
    <cfRule type="duplicateValues" dxfId="1559" priority="1544"/>
    <cfRule type="duplicateValues" dxfId="1558" priority="1545"/>
    <cfRule type="duplicateValues" dxfId="1557" priority="1546"/>
    <cfRule type="duplicateValues" dxfId="1556" priority="1547"/>
    <cfRule type="duplicateValues" dxfId="1555" priority="1548"/>
    <cfRule type="duplicateValues" dxfId="1554" priority="1549"/>
    <cfRule type="duplicateValues" dxfId="1553" priority="1550"/>
    <cfRule type="duplicateValues" dxfId="1552" priority="1551"/>
    <cfRule type="duplicateValues" dxfId="1551" priority="1552"/>
    <cfRule type="duplicateValues" dxfId="1550" priority="1553"/>
    <cfRule type="duplicateValues" dxfId="1549" priority="1554"/>
    <cfRule type="duplicateValues" dxfId="1548" priority="1555"/>
    <cfRule type="duplicateValues" dxfId="1547" priority="1556"/>
    <cfRule type="duplicateValues" dxfId="1546" priority="1557"/>
    <cfRule type="duplicateValues" dxfId="1545" priority="1558"/>
    <cfRule type="duplicateValues" dxfId="1544" priority="1559"/>
    <cfRule type="duplicateValues" dxfId="1543" priority="1560"/>
    <cfRule type="duplicateValues" dxfId="1542" priority="1561"/>
    <cfRule type="duplicateValues" dxfId="1541" priority="1562"/>
    <cfRule type="duplicateValues" dxfId="1540" priority="1563"/>
    <cfRule type="duplicateValues" dxfId="1539" priority="1564"/>
    <cfRule type="duplicateValues" dxfId="1538" priority="1565"/>
    <cfRule type="duplicateValues" dxfId="1537" priority="1566"/>
    <cfRule type="duplicateValues" dxfId="1536" priority="1567"/>
    <cfRule type="duplicateValues" dxfId="1535" priority="1568"/>
    <cfRule type="duplicateValues" dxfId="1534" priority="1569"/>
    <cfRule type="duplicateValues" dxfId="1533" priority="1570"/>
    <cfRule type="duplicateValues" dxfId="1532" priority="1571"/>
    <cfRule type="duplicateValues" dxfId="1531" priority="1572"/>
    <cfRule type="duplicateValues" dxfId="1530" priority="1573"/>
    <cfRule type="duplicateValues" dxfId="1529" priority="1574"/>
    <cfRule type="duplicateValues" dxfId="1528" priority="1575"/>
    <cfRule type="duplicateValues" dxfId="1527" priority="1576"/>
    <cfRule type="duplicateValues" dxfId="1526" priority="1577"/>
    <cfRule type="duplicateValues" dxfId="1525" priority="1578"/>
    <cfRule type="duplicateValues" dxfId="1524" priority="1579"/>
    <cfRule type="duplicateValues" dxfId="1523" priority="1580"/>
    <cfRule type="duplicateValues" dxfId="1522" priority="1581"/>
    <cfRule type="duplicateValues" dxfId="1521" priority="1582"/>
    <cfRule type="duplicateValues" dxfId="1520" priority="1583"/>
    <cfRule type="duplicateValues" dxfId="1519" priority="1584"/>
    <cfRule type="duplicateValues" dxfId="1518" priority="1585"/>
    <cfRule type="duplicateValues" dxfId="1517" priority="1586"/>
    <cfRule type="duplicateValues" dxfId="1516" priority="1587"/>
    <cfRule type="duplicateValues" dxfId="1515" priority="1588"/>
    <cfRule type="duplicateValues" dxfId="1514" priority="1589"/>
    <cfRule type="duplicateValues" dxfId="1513" priority="1590"/>
    <cfRule type="duplicateValues" dxfId="1512" priority="1591"/>
    <cfRule type="duplicateValues" dxfId="1511" priority="1592"/>
    <cfRule type="duplicateValues" dxfId="1510" priority="1593"/>
    <cfRule type="duplicateValues" dxfId="1509" priority="1594"/>
    <cfRule type="duplicateValues" dxfId="1508" priority="1595"/>
    <cfRule type="duplicateValues" dxfId="1507" priority="1596"/>
    <cfRule type="duplicateValues" dxfId="1506" priority="1597"/>
    <cfRule type="duplicateValues" dxfId="1505" priority="1598"/>
    <cfRule type="duplicateValues" dxfId="1504" priority="1599"/>
    <cfRule type="duplicateValues" dxfId="1503" priority="1600"/>
    <cfRule type="duplicateValues" dxfId="1502" priority="1601"/>
    <cfRule type="duplicateValues" dxfId="1501" priority="1602"/>
    <cfRule type="duplicateValues" dxfId="1500" priority="1603"/>
    <cfRule type="duplicateValues" dxfId="1499" priority="1604"/>
    <cfRule type="duplicateValues" dxfId="1498" priority="1605"/>
    <cfRule type="duplicateValues" dxfId="1497" priority="1606"/>
    <cfRule type="duplicateValues" dxfId="1496" priority="1607"/>
    <cfRule type="duplicateValues" dxfId="1495" priority="1608"/>
    <cfRule type="duplicateValues" dxfId="1494" priority="1609"/>
    <cfRule type="duplicateValues" dxfId="1493" priority="1610"/>
    <cfRule type="duplicateValues" dxfId="1492" priority="1611"/>
    <cfRule type="duplicateValues" dxfId="1491" priority="1612"/>
    <cfRule type="duplicateValues" dxfId="1490" priority="1613"/>
    <cfRule type="duplicateValues" dxfId="1489" priority="1614"/>
    <cfRule type="duplicateValues" dxfId="1488" priority="1615"/>
    <cfRule type="duplicateValues" dxfId="1487" priority="1616"/>
    <cfRule type="duplicateValues" dxfId="1486" priority="1617"/>
  </conditionalFormatting>
  <conditionalFormatting sqref="C306:C416">
    <cfRule type="duplicateValues" dxfId="1485" priority="789"/>
    <cfRule type="duplicateValues" dxfId="1484" priority="790"/>
    <cfRule type="duplicateValues" dxfId="1483" priority="791"/>
    <cfRule type="duplicateValues" dxfId="1482" priority="792"/>
    <cfRule type="duplicateValues" dxfId="1481" priority="793"/>
    <cfRule type="duplicateValues" dxfId="1480" priority="794"/>
    <cfRule type="duplicateValues" dxfId="1479" priority="795"/>
    <cfRule type="duplicateValues" dxfId="1478" priority="796"/>
    <cfRule type="duplicateValues" dxfId="1477" priority="797"/>
    <cfRule type="duplicateValues" dxfId="1476" priority="798"/>
    <cfRule type="duplicateValues" dxfId="1475" priority="799"/>
    <cfRule type="duplicateValues" dxfId="1474" priority="800"/>
    <cfRule type="duplicateValues" dxfId="1473" priority="801"/>
    <cfRule type="duplicateValues" dxfId="1472" priority="802"/>
    <cfRule type="duplicateValues" dxfId="1471" priority="803"/>
    <cfRule type="duplicateValues" dxfId="1470" priority="804"/>
    <cfRule type="duplicateValues" dxfId="1469" priority="805"/>
    <cfRule type="duplicateValues" dxfId="1468" priority="806"/>
    <cfRule type="duplicateValues" dxfId="1467" priority="807"/>
    <cfRule type="duplicateValues" dxfId="1466" priority="808"/>
    <cfRule type="duplicateValues" dxfId="1465" priority="809"/>
    <cfRule type="duplicateValues" dxfId="1464" priority="810"/>
    <cfRule type="duplicateValues" dxfId="1463" priority="811"/>
    <cfRule type="duplicateValues" dxfId="1462" priority="812"/>
    <cfRule type="duplicateValues" dxfId="1461" priority="813"/>
    <cfRule type="duplicateValues" dxfId="1460" priority="814"/>
    <cfRule type="duplicateValues" dxfId="1459" priority="815"/>
    <cfRule type="duplicateValues" dxfId="1458" priority="816"/>
    <cfRule type="duplicateValues" dxfId="1457" priority="817"/>
    <cfRule type="duplicateValues" dxfId="1456" priority="818"/>
    <cfRule type="duplicateValues" dxfId="1455" priority="819"/>
    <cfRule type="duplicateValues" dxfId="1454" priority="820"/>
    <cfRule type="duplicateValues" dxfId="1453" priority="821"/>
    <cfRule type="duplicateValues" dxfId="1452" priority="822"/>
    <cfRule type="duplicateValues" dxfId="1451" priority="823"/>
    <cfRule type="duplicateValues" dxfId="1450" priority="824"/>
    <cfRule type="duplicateValues" dxfId="1449" priority="825"/>
    <cfRule type="duplicateValues" dxfId="1448" priority="826"/>
    <cfRule type="duplicateValues" dxfId="1447" priority="827"/>
    <cfRule type="duplicateValues" dxfId="1446" priority="828"/>
    <cfRule type="duplicateValues" dxfId="1445" priority="829"/>
    <cfRule type="duplicateValues" dxfId="1444" priority="830"/>
    <cfRule type="duplicateValues" dxfId="1443" priority="831"/>
    <cfRule type="duplicateValues" dxfId="1442" priority="832"/>
    <cfRule type="duplicateValues" dxfId="1441" priority="833"/>
    <cfRule type="duplicateValues" dxfId="1440" priority="834"/>
    <cfRule type="duplicateValues" dxfId="1439" priority="835"/>
    <cfRule type="duplicateValues" dxfId="1438" priority="836"/>
    <cfRule type="duplicateValues" dxfId="1437" priority="837"/>
    <cfRule type="duplicateValues" dxfId="1436" priority="838"/>
    <cfRule type="duplicateValues" dxfId="1435" priority="839"/>
    <cfRule type="duplicateValues" dxfId="1434" priority="840"/>
    <cfRule type="duplicateValues" dxfId="1433" priority="841"/>
  </conditionalFormatting>
  <conditionalFormatting sqref="C308:C311">
    <cfRule type="duplicateValues" dxfId="1432" priority="928"/>
    <cfRule type="duplicateValues" dxfId="1431" priority="929"/>
    <cfRule type="duplicateValues" dxfId="1430" priority="930"/>
    <cfRule type="duplicateValues" dxfId="1429" priority="931"/>
    <cfRule type="duplicateValues" dxfId="1428" priority="932"/>
    <cfRule type="duplicateValues" dxfId="1427" priority="933"/>
    <cfRule type="duplicateValues" dxfId="1426" priority="934"/>
    <cfRule type="duplicateValues" dxfId="1425" priority="935"/>
    <cfRule type="duplicateValues" dxfId="1424" priority="936"/>
    <cfRule type="duplicateValues" dxfId="1423" priority="937"/>
    <cfRule type="duplicateValues" dxfId="1422" priority="938"/>
    <cfRule type="duplicateValues" dxfId="1421" priority="939"/>
    <cfRule type="duplicateValues" dxfId="1420" priority="940"/>
    <cfRule type="duplicateValues" dxfId="1419" priority="941"/>
    <cfRule type="duplicateValues" dxfId="1418" priority="942"/>
    <cfRule type="duplicateValues" dxfId="1417" priority="943"/>
    <cfRule type="duplicateValues" dxfId="1416" priority="944"/>
    <cfRule type="duplicateValues" dxfId="1415" priority="945"/>
    <cfRule type="duplicateValues" dxfId="1414" priority="946"/>
    <cfRule type="duplicateValues" dxfId="1413" priority="947"/>
    <cfRule type="duplicateValues" dxfId="1412" priority="948"/>
    <cfRule type="duplicateValues" dxfId="1411" priority="949"/>
    <cfRule type="duplicateValues" dxfId="1410" priority="950"/>
    <cfRule type="duplicateValues" dxfId="1409" priority="951"/>
    <cfRule type="duplicateValues" dxfId="1408" priority="952"/>
    <cfRule type="duplicateValues" dxfId="1407" priority="953"/>
    <cfRule type="duplicateValues" dxfId="1406" priority="954"/>
    <cfRule type="duplicateValues" dxfId="1405" priority="955"/>
    <cfRule type="duplicateValues" dxfId="1404" priority="956"/>
    <cfRule type="duplicateValues" dxfId="1403" priority="957"/>
    <cfRule type="duplicateValues" dxfId="1402" priority="958"/>
    <cfRule type="duplicateValues" dxfId="1401" priority="959"/>
    <cfRule type="duplicateValues" dxfId="1400" priority="960"/>
    <cfRule type="duplicateValues" dxfId="1399" priority="961"/>
    <cfRule type="duplicateValues" dxfId="1398" priority="962"/>
    <cfRule type="duplicateValues" dxfId="1397" priority="963"/>
    <cfRule type="duplicateValues" dxfId="1396" priority="964"/>
    <cfRule type="duplicateValues" dxfId="1395" priority="965"/>
    <cfRule type="duplicateValues" dxfId="1394" priority="966"/>
    <cfRule type="duplicateValues" dxfId="1393" priority="967"/>
    <cfRule type="duplicateValues" dxfId="1392" priority="968"/>
    <cfRule type="duplicateValues" dxfId="1391" priority="969"/>
    <cfRule type="duplicateValues" dxfId="1390" priority="970"/>
    <cfRule type="duplicateValues" dxfId="1389" priority="971"/>
    <cfRule type="duplicateValues" dxfId="1388" priority="972"/>
    <cfRule type="duplicateValues" dxfId="1387" priority="973"/>
    <cfRule type="duplicateValues" dxfId="1386" priority="974"/>
    <cfRule type="duplicateValues" dxfId="1385" priority="975"/>
    <cfRule type="duplicateValues" dxfId="1384" priority="976"/>
    <cfRule type="duplicateValues" dxfId="1383" priority="977"/>
    <cfRule type="duplicateValues" dxfId="1382" priority="978"/>
    <cfRule type="duplicateValues" dxfId="1381" priority="979"/>
    <cfRule type="duplicateValues" dxfId="1380" priority="980"/>
    <cfRule type="duplicateValues" dxfId="1379" priority="981"/>
    <cfRule type="duplicateValues" dxfId="1378" priority="982"/>
    <cfRule type="duplicateValues" dxfId="1377" priority="983"/>
    <cfRule type="duplicateValues" dxfId="1376" priority="984"/>
    <cfRule type="duplicateValues" dxfId="1375" priority="985"/>
    <cfRule type="duplicateValues" dxfId="1374" priority="986"/>
    <cfRule type="duplicateValues" dxfId="1373" priority="987"/>
    <cfRule type="duplicateValues" dxfId="1372" priority="988"/>
    <cfRule type="duplicateValues" dxfId="1371" priority="989"/>
    <cfRule type="duplicateValues" dxfId="1370" priority="990"/>
    <cfRule type="duplicateValues" dxfId="1369" priority="991"/>
    <cfRule type="duplicateValues" dxfId="1368" priority="992"/>
    <cfRule type="duplicateValues" dxfId="1367" priority="993"/>
    <cfRule type="duplicateValues" dxfId="1366" priority="994"/>
    <cfRule type="duplicateValues" dxfId="1365" priority="995"/>
    <cfRule type="duplicateValues" dxfId="1364" priority="996"/>
    <cfRule type="duplicateValues" dxfId="1363" priority="997"/>
    <cfRule type="duplicateValues" dxfId="1362" priority="998"/>
    <cfRule type="duplicateValues" dxfId="1361" priority="999"/>
    <cfRule type="duplicateValues" dxfId="1360" priority="1000"/>
    <cfRule type="duplicateValues" dxfId="1359" priority="1001"/>
    <cfRule type="duplicateValues" dxfId="1358" priority="1002"/>
    <cfRule type="duplicateValues" dxfId="1357" priority="1003"/>
    <cfRule type="duplicateValues" dxfId="1356" priority="1004"/>
    <cfRule type="duplicateValues" dxfId="1355" priority="1005"/>
    <cfRule type="duplicateValues" dxfId="1354" priority="1006"/>
    <cfRule type="duplicateValues" dxfId="1353" priority="1007"/>
    <cfRule type="duplicateValues" dxfId="1352" priority="1008"/>
    <cfRule type="duplicateValues" dxfId="1351" priority="1009"/>
    <cfRule type="duplicateValues" dxfId="1350" priority="1010"/>
    <cfRule type="duplicateValues" dxfId="1349" priority="1011"/>
    <cfRule type="duplicateValues" dxfId="1348" priority="1012"/>
    <cfRule type="duplicateValues" dxfId="1347" priority="1013"/>
    <cfRule type="duplicateValues" dxfId="1346" priority="1014"/>
    <cfRule type="duplicateValues" dxfId="1345" priority="1015"/>
    <cfRule type="duplicateValues" dxfId="1344" priority="1016"/>
    <cfRule type="duplicateValues" dxfId="1343" priority="1017"/>
    <cfRule type="duplicateValues" dxfId="1342" priority="1018"/>
    <cfRule type="duplicateValues" dxfId="1341" priority="1019"/>
    <cfRule type="duplicateValues" dxfId="1340" priority="1020"/>
    <cfRule type="duplicateValues" dxfId="1339" priority="1021"/>
    <cfRule type="duplicateValues" dxfId="1338" priority="1022"/>
    <cfRule type="duplicateValues" dxfId="1337" priority="1023"/>
    <cfRule type="duplicateValues" dxfId="1336" priority="1024"/>
    <cfRule type="duplicateValues" dxfId="1335" priority="1025"/>
    <cfRule type="duplicateValues" dxfId="1334" priority="1026"/>
    <cfRule type="duplicateValues" dxfId="1333" priority="1027"/>
    <cfRule type="duplicateValues" dxfId="1332" priority="1028"/>
    <cfRule type="duplicateValues" dxfId="1331" priority="1029"/>
    <cfRule type="duplicateValues" dxfId="1330" priority="1030"/>
    <cfRule type="duplicateValues" dxfId="1329" priority="1031"/>
    <cfRule type="duplicateValues" dxfId="1328" priority="1032"/>
    <cfRule type="duplicateValues" dxfId="1327" priority="1033"/>
    <cfRule type="duplicateValues" dxfId="1326" priority="1034"/>
    <cfRule type="duplicateValues" dxfId="1325" priority="1035"/>
    <cfRule type="duplicateValues" dxfId="1324" priority="1036"/>
    <cfRule type="duplicateValues" dxfId="1323" priority="1037"/>
    <cfRule type="duplicateValues" dxfId="1322" priority="1038"/>
    <cfRule type="duplicateValues" dxfId="1321" priority="1039"/>
    <cfRule type="duplicateValues" dxfId="1320" priority="1040"/>
    <cfRule type="duplicateValues" dxfId="1319" priority="1041"/>
    <cfRule type="duplicateValues" dxfId="1318" priority="1042"/>
    <cfRule type="duplicateValues" dxfId="1317" priority="1043"/>
    <cfRule type="duplicateValues" dxfId="1316" priority="1044"/>
    <cfRule type="duplicateValues" dxfId="1315" priority="1045"/>
    <cfRule type="duplicateValues" dxfId="1314" priority="1046"/>
    <cfRule type="duplicateValues" dxfId="1313" priority="1047"/>
    <cfRule type="duplicateValues" dxfId="1312" priority="1048"/>
    <cfRule type="duplicateValues" dxfId="1311" priority="1049"/>
    <cfRule type="duplicateValues" dxfId="1310" priority="1050"/>
    <cfRule type="duplicateValues" dxfId="1309" priority="1051"/>
    <cfRule type="duplicateValues" dxfId="1308" priority="1052"/>
    <cfRule type="duplicateValues" dxfId="1307" priority="1053"/>
    <cfRule type="duplicateValues" dxfId="1306" priority="1054"/>
    <cfRule type="duplicateValues" dxfId="1305" priority="1055"/>
    <cfRule type="duplicateValues" dxfId="1304" priority="1056"/>
    <cfRule type="duplicateValues" dxfId="1303" priority="1057"/>
    <cfRule type="duplicateValues" dxfId="1302" priority="1058"/>
    <cfRule type="duplicateValues" dxfId="1301" priority="1059"/>
    <cfRule type="duplicateValues" dxfId="1300" priority="1060"/>
    <cfRule type="duplicateValues" dxfId="1299" priority="1061"/>
    <cfRule type="duplicateValues" dxfId="1298" priority="1062"/>
    <cfRule type="duplicateValues" dxfId="1297" priority="1063"/>
    <cfRule type="duplicateValues" dxfId="1296" priority="1064"/>
    <cfRule type="duplicateValues" dxfId="1295" priority="1065"/>
    <cfRule type="duplicateValues" dxfId="1294" priority="1066"/>
    <cfRule type="duplicateValues" dxfId="1293" priority="1067"/>
    <cfRule type="duplicateValues" dxfId="1292" priority="1068"/>
    <cfRule type="duplicateValues" dxfId="1291" priority="1069"/>
    <cfRule type="duplicateValues" dxfId="1290" priority="1070"/>
    <cfRule type="duplicateValues" dxfId="1289" priority="1071"/>
    <cfRule type="duplicateValues" dxfId="1288" priority="1072"/>
    <cfRule type="duplicateValues" dxfId="1287" priority="1073"/>
    <cfRule type="duplicateValues" dxfId="1286" priority="1074"/>
    <cfRule type="duplicateValues" dxfId="1285" priority="1075"/>
    <cfRule type="duplicateValues" dxfId="1284" priority="1076"/>
    <cfRule type="duplicateValues" dxfId="1283" priority="1077"/>
    <cfRule type="duplicateValues" dxfId="1282" priority="1078"/>
    <cfRule type="duplicateValues" dxfId="1281" priority="1079"/>
    <cfRule type="duplicateValues" dxfId="1280" priority="1080"/>
    <cfRule type="duplicateValues" dxfId="1279" priority="1081"/>
    <cfRule type="duplicateValues" dxfId="1278" priority="1082"/>
    <cfRule type="duplicateValues" dxfId="1277" priority="1083"/>
    <cfRule type="duplicateValues" dxfId="1276" priority="1084"/>
    <cfRule type="duplicateValues" dxfId="1275" priority="1085"/>
    <cfRule type="duplicateValues" dxfId="1274" priority="1086"/>
    <cfRule type="duplicateValues" dxfId="1273" priority="1087"/>
    <cfRule type="duplicateValues" dxfId="1272" priority="1088"/>
    <cfRule type="duplicateValues" dxfId="1271" priority="1089"/>
    <cfRule type="duplicateValues" dxfId="1270" priority="1090"/>
    <cfRule type="duplicateValues" dxfId="1269" priority="1091"/>
    <cfRule type="duplicateValues" dxfId="1268" priority="1092"/>
    <cfRule type="duplicateValues" dxfId="1267" priority="1093"/>
    <cfRule type="duplicateValues" dxfId="1266" priority="1094"/>
    <cfRule type="duplicateValues" dxfId="1265" priority="1095"/>
    <cfRule type="duplicateValues" dxfId="1264" priority="1096"/>
    <cfRule type="duplicateValues" dxfId="1263" priority="1097"/>
    <cfRule type="duplicateValues" dxfId="1262" priority="1098"/>
    <cfRule type="duplicateValues" dxfId="1261" priority="1099"/>
    <cfRule type="duplicateValues" dxfId="1260" priority="1100"/>
    <cfRule type="duplicateValues" dxfId="1259" priority="1101"/>
    <cfRule type="duplicateValues" dxfId="1258" priority="1102"/>
    <cfRule type="duplicateValues" dxfId="1257" priority="1103"/>
    <cfRule type="duplicateValues" dxfId="1256" priority="1104"/>
    <cfRule type="duplicateValues" dxfId="1255" priority="1105"/>
    <cfRule type="duplicateValues" dxfId="1254" priority="1106"/>
    <cfRule type="duplicateValues" dxfId="1253" priority="1107"/>
    <cfRule type="duplicateValues" dxfId="1252" priority="1108"/>
    <cfRule type="duplicateValues" dxfId="1251" priority="1109"/>
    <cfRule type="duplicateValues" dxfId="1250" priority="1110"/>
    <cfRule type="duplicateValues" dxfId="1249" priority="1111"/>
    <cfRule type="duplicateValues" dxfId="1248" priority="1112"/>
    <cfRule type="duplicateValues" dxfId="1247" priority="1113"/>
    <cfRule type="duplicateValues" dxfId="1246" priority="1114"/>
    <cfRule type="duplicateValues" dxfId="1245" priority="1115"/>
    <cfRule type="duplicateValues" dxfId="1244" priority="1116"/>
    <cfRule type="duplicateValues" dxfId="1243" priority="1117"/>
    <cfRule type="duplicateValues" dxfId="1242" priority="1118"/>
    <cfRule type="duplicateValues" dxfId="1241" priority="1119"/>
    <cfRule type="duplicateValues" dxfId="1240" priority="1120"/>
    <cfRule type="duplicateValues" dxfId="1239" priority="1121"/>
    <cfRule type="duplicateValues" dxfId="1238" priority="1122"/>
    <cfRule type="duplicateValues" dxfId="1237" priority="1123"/>
    <cfRule type="duplicateValues" dxfId="1236" priority="1124"/>
    <cfRule type="duplicateValues" dxfId="1235" priority="1125"/>
    <cfRule type="duplicateValues" dxfId="1234" priority="1126"/>
    <cfRule type="duplicateValues" dxfId="1233" priority="1127"/>
    <cfRule type="duplicateValues" dxfId="1232" priority="1128"/>
    <cfRule type="duplicateValues" dxfId="1231" priority="1129"/>
    <cfRule type="duplicateValues" dxfId="1230" priority="1130"/>
    <cfRule type="duplicateValues" dxfId="1229" priority="1131"/>
    <cfRule type="duplicateValues" dxfId="1228" priority="1132"/>
    <cfRule type="duplicateValues" dxfId="1227" priority="1133"/>
    <cfRule type="duplicateValues" dxfId="1226" priority="1134"/>
    <cfRule type="duplicateValues" dxfId="1225" priority="1135"/>
    <cfRule type="duplicateValues" dxfId="1224" priority="1136"/>
    <cfRule type="duplicateValues" dxfId="1223" priority="1137"/>
    <cfRule type="duplicateValues" dxfId="1222" priority="1138"/>
    <cfRule type="duplicateValues" dxfId="1221" priority="1139"/>
    <cfRule type="duplicateValues" dxfId="1220" priority="1140"/>
    <cfRule type="duplicateValues" dxfId="1219" priority="1141"/>
    <cfRule type="duplicateValues" dxfId="1218" priority="1142"/>
    <cfRule type="duplicateValues" dxfId="1217" priority="1143"/>
    <cfRule type="duplicateValues" dxfId="1216" priority="1144"/>
    <cfRule type="duplicateValues" dxfId="1215" priority="1145"/>
    <cfRule type="duplicateValues" dxfId="1214" priority="1146"/>
    <cfRule type="duplicateValues" dxfId="1213" priority="1147"/>
    <cfRule type="duplicateValues" dxfId="1212" priority="1148"/>
    <cfRule type="duplicateValues" dxfId="1211" priority="1149"/>
    <cfRule type="duplicateValues" dxfId="1210" priority="1150"/>
    <cfRule type="duplicateValues" dxfId="1209" priority="1151"/>
    <cfRule type="duplicateValues" dxfId="1208" priority="1152"/>
    <cfRule type="duplicateValues" dxfId="1207" priority="1153"/>
    <cfRule type="duplicateValues" dxfId="1206" priority="1154"/>
    <cfRule type="duplicateValues" dxfId="1205" priority="1155"/>
    <cfRule type="duplicateValues" dxfId="1204" priority="1156"/>
    <cfRule type="duplicateValues" dxfId="1203" priority="1157"/>
    <cfRule type="duplicateValues" dxfId="1202" priority="1158"/>
    <cfRule type="duplicateValues" dxfId="1201" priority="1159"/>
    <cfRule type="duplicateValues" dxfId="1200" priority="1160"/>
    <cfRule type="duplicateValues" dxfId="1199" priority="1161"/>
    <cfRule type="duplicateValues" dxfId="1198" priority="1162"/>
    <cfRule type="duplicateValues" dxfId="1197" priority="1163"/>
    <cfRule type="duplicateValues" dxfId="1196" priority="1164"/>
    <cfRule type="duplicateValues" dxfId="1195" priority="1165"/>
    <cfRule type="duplicateValues" dxfId="1194" priority="1166"/>
    <cfRule type="duplicateValues" dxfId="1193" priority="1167"/>
    <cfRule type="duplicateValues" dxfId="1192" priority="1168"/>
    <cfRule type="duplicateValues" dxfId="1191" priority="1169"/>
    <cfRule type="duplicateValues" dxfId="1190" priority="1170"/>
    <cfRule type="duplicateValues" dxfId="1189" priority="1171"/>
    <cfRule type="duplicateValues" dxfId="1188" priority="1172"/>
    <cfRule type="duplicateValues" dxfId="1187" priority="1173"/>
    <cfRule type="duplicateValues" dxfId="1186" priority="1174"/>
    <cfRule type="duplicateValues" dxfId="1185" priority="1175"/>
    <cfRule type="duplicateValues" dxfId="1184" priority="1176"/>
    <cfRule type="duplicateValues" dxfId="1183" priority="1177"/>
    <cfRule type="duplicateValues" dxfId="1182" priority="1178"/>
    <cfRule type="duplicateValues" dxfId="1181" priority="1179"/>
    <cfRule type="duplicateValues" dxfId="1180" priority="1180"/>
    <cfRule type="duplicateValues" dxfId="1179" priority="1181"/>
    <cfRule type="duplicateValues" dxfId="1178" priority="1182"/>
    <cfRule type="duplicateValues" dxfId="1177" priority="1183"/>
    <cfRule type="duplicateValues" dxfId="1176" priority="1184"/>
    <cfRule type="duplicateValues" dxfId="1175" priority="1185"/>
    <cfRule type="duplicateValues" dxfId="1174" priority="1186"/>
    <cfRule type="duplicateValues" dxfId="1173" priority="1187"/>
    <cfRule type="duplicateValues" dxfId="1172" priority="1188"/>
    <cfRule type="duplicateValues" dxfId="1171" priority="1189"/>
    <cfRule type="duplicateValues" dxfId="1170" priority="1190"/>
    <cfRule type="duplicateValues" dxfId="1169" priority="1191"/>
    <cfRule type="duplicateValues" dxfId="1168" priority="1192"/>
    <cfRule type="duplicateValues" dxfId="1167" priority="1193"/>
    <cfRule type="duplicateValues" dxfId="1166" priority="1194"/>
    <cfRule type="duplicateValues" dxfId="1165" priority="1195"/>
    <cfRule type="duplicateValues" dxfId="1164" priority="1196"/>
    <cfRule type="duplicateValues" dxfId="1163" priority="1197"/>
    <cfRule type="duplicateValues" dxfId="1162" priority="1198"/>
    <cfRule type="duplicateValues" dxfId="1161" priority="1199"/>
    <cfRule type="duplicateValues" dxfId="1160" priority="1200"/>
    <cfRule type="duplicateValues" dxfId="1159" priority="1201"/>
    <cfRule type="duplicateValues" dxfId="1158" priority="1202"/>
    <cfRule type="duplicateValues" dxfId="1157" priority="1203"/>
    <cfRule type="duplicateValues" dxfId="1156" priority="1204"/>
    <cfRule type="duplicateValues" dxfId="1155" priority="1205"/>
    <cfRule type="duplicateValues" dxfId="1154" priority="1206"/>
    <cfRule type="duplicateValues" dxfId="1153" priority="1207"/>
    <cfRule type="duplicateValues" dxfId="1152" priority="1208"/>
    <cfRule type="duplicateValues" dxfId="1151" priority="1209"/>
    <cfRule type="duplicateValues" dxfId="1150" priority="1210"/>
    <cfRule type="duplicateValues" dxfId="1149" priority="1211"/>
    <cfRule type="duplicateValues" dxfId="1148" priority="1212"/>
    <cfRule type="duplicateValues" dxfId="1147" priority="1213"/>
    <cfRule type="duplicateValues" dxfId="1146" priority="1214"/>
    <cfRule type="duplicateValues" dxfId="1145" priority="1215"/>
    <cfRule type="duplicateValues" dxfId="1144" priority="1216"/>
    <cfRule type="duplicateValues" dxfId="1143" priority="1217"/>
    <cfRule type="duplicateValues" dxfId="1142" priority="1218"/>
    <cfRule type="duplicateValues" dxfId="1141" priority="1219"/>
    <cfRule type="duplicateValues" dxfId="1140" priority="1220"/>
    <cfRule type="duplicateValues" dxfId="1139" priority="1221"/>
    <cfRule type="duplicateValues" dxfId="1138" priority="1222"/>
    <cfRule type="duplicateValues" dxfId="1137" priority="1223"/>
    <cfRule type="duplicateValues" dxfId="1136" priority="1224"/>
    <cfRule type="duplicateValues" dxfId="1135" priority="1225"/>
    <cfRule type="duplicateValues" dxfId="1134" priority="1226"/>
    <cfRule type="duplicateValues" dxfId="1133" priority="1227"/>
    <cfRule type="duplicateValues" dxfId="1132" priority="1228"/>
    <cfRule type="duplicateValues" dxfId="1131" priority="1229"/>
    <cfRule type="duplicateValues" dxfId="1130" priority="1230"/>
    <cfRule type="duplicateValues" dxfId="1129" priority="1231"/>
    <cfRule type="duplicateValues" dxfId="1128" priority="1232"/>
    <cfRule type="duplicateValues" dxfId="1127" priority="1233"/>
    <cfRule type="duplicateValues" dxfId="1126" priority="1234"/>
    <cfRule type="duplicateValues" dxfId="1125" priority="1235"/>
    <cfRule type="duplicateValues" dxfId="1124" priority="1236"/>
    <cfRule type="duplicateValues" dxfId="1123" priority="1237"/>
    <cfRule type="duplicateValues" dxfId="1122" priority="1238"/>
    <cfRule type="duplicateValues" dxfId="1121" priority="1239"/>
    <cfRule type="duplicateValues" dxfId="1120" priority="1240"/>
    <cfRule type="duplicateValues" dxfId="1119" priority="1241"/>
    <cfRule type="duplicateValues" dxfId="1118" priority="1242"/>
    <cfRule type="duplicateValues" dxfId="1117" priority="1243"/>
    <cfRule type="duplicateValues" dxfId="1116" priority="1244"/>
    <cfRule type="duplicateValues" dxfId="1115" priority="1245"/>
    <cfRule type="duplicateValues" dxfId="1114" priority="1246"/>
    <cfRule type="duplicateValues" dxfId="1113" priority="1247"/>
    <cfRule type="duplicateValues" dxfId="1112" priority="1248"/>
    <cfRule type="duplicateValues" dxfId="1111" priority="1249"/>
    <cfRule type="duplicateValues" dxfId="1110" priority="1250"/>
    <cfRule type="duplicateValues" dxfId="1109" priority="1251"/>
    <cfRule type="duplicateValues" dxfId="1108" priority="1252"/>
    <cfRule type="duplicateValues" dxfId="1107" priority="1253"/>
    <cfRule type="duplicateValues" dxfId="1106" priority="1254"/>
    <cfRule type="duplicateValues" dxfId="1105" priority="1255"/>
    <cfRule type="duplicateValues" dxfId="1104" priority="1256"/>
    <cfRule type="duplicateValues" dxfId="1103" priority="1257"/>
    <cfRule type="duplicateValues" dxfId="1102" priority="1258"/>
    <cfRule type="duplicateValues" dxfId="1101" priority="1259"/>
    <cfRule type="duplicateValues" dxfId="1100" priority="1260"/>
    <cfRule type="duplicateValues" dxfId="1099" priority="1261"/>
    <cfRule type="duplicateValues" dxfId="1098" priority="1262"/>
    <cfRule type="duplicateValues" dxfId="1097" priority="1263"/>
    <cfRule type="duplicateValues" dxfId="1096" priority="1264"/>
    <cfRule type="duplicateValues" dxfId="1095" priority="1265"/>
    <cfRule type="duplicateValues" dxfId="1094" priority="1266"/>
    <cfRule type="duplicateValues" dxfId="1093" priority="1267"/>
    <cfRule type="duplicateValues" dxfId="1092" priority="1268"/>
    <cfRule type="duplicateValues" dxfId="1091" priority="1269"/>
    <cfRule type="duplicateValues" dxfId="1090" priority="1270"/>
    <cfRule type="duplicateValues" dxfId="1089" priority="1271"/>
    <cfRule type="duplicateValues" dxfId="1088" priority="1272"/>
  </conditionalFormatting>
  <conditionalFormatting sqref="C312">
    <cfRule type="duplicateValues" dxfId="1087" priority="10527"/>
    <cfRule type="duplicateValues" dxfId="1086" priority="10528"/>
    <cfRule type="duplicateValues" dxfId="1085" priority="10529"/>
    <cfRule type="duplicateValues" dxfId="1084" priority="10530"/>
    <cfRule type="duplicateValues" dxfId="1083" priority="10531"/>
    <cfRule type="duplicateValues" dxfId="1082" priority="10532"/>
    <cfRule type="duplicateValues" dxfId="1081" priority="10533"/>
    <cfRule type="duplicateValues" dxfId="1080" priority="10534"/>
    <cfRule type="duplicateValues" dxfId="1079" priority="10535"/>
    <cfRule type="duplicateValues" dxfId="1078" priority="10536"/>
    <cfRule type="duplicateValues" dxfId="1077" priority="10537"/>
    <cfRule type="duplicateValues" dxfId="1076" priority="10538"/>
    <cfRule type="duplicateValues" dxfId="1075" priority="10539"/>
    <cfRule type="duplicateValues" dxfId="1074" priority="10540"/>
    <cfRule type="duplicateValues" dxfId="1073" priority="10541"/>
    <cfRule type="duplicateValues" dxfId="1072" priority="10542"/>
    <cfRule type="duplicateValues" dxfId="1071" priority="10543"/>
    <cfRule type="duplicateValues" dxfId="1070" priority="10544"/>
    <cfRule type="duplicateValues" dxfId="1069" priority="10545"/>
    <cfRule type="duplicateValues" dxfId="1068" priority="10546"/>
    <cfRule type="duplicateValues" dxfId="1067" priority="10547"/>
    <cfRule type="duplicateValues" dxfId="1066" priority="10548"/>
    <cfRule type="duplicateValues" dxfId="1065" priority="10549"/>
    <cfRule type="duplicateValues" dxfId="1064" priority="10550"/>
    <cfRule type="duplicateValues" dxfId="1063" priority="10551"/>
    <cfRule type="duplicateValues" dxfId="1062" priority="10552"/>
    <cfRule type="duplicateValues" dxfId="1061" priority="10553"/>
    <cfRule type="duplicateValues" dxfId="1060" priority="10554"/>
    <cfRule type="duplicateValues" dxfId="1059" priority="10555"/>
    <cfRule type="duplicateValues" dxfId="1058" priority="10556"/>
    <cfRule type="duplicateValues" dxfId="1057" priority="10557"/>
    <cfRule type="duplicateValues" dxfId="1056" priority="10558"/>
    <cfRule type="duplicateValues" dxfId="1055" priority="10559"/>
    <cfRule type="duplicateValues" dxfId="1054" priority="10560"/>
    <cfRule type="duplicateValues" dxfId="1053" priority="10561"/>
    <cfRule type="duplicateValues" dxfId="1052" priority="10562"/>
    <cfRule type="duplicateValues" dxfId="1051" priority="10563"/>
    <cfRule type="duplicateValues" dxfId="1050" priority="10564"/>
    <cfRule type="duplicateValues" dxfId="1049" priority="10565"/>
    <cfRule type="duplicateValues" dxfId="1048" priority="10566"/>
    <cfRule type="duplicateValues" dxfId="1047" priority="10567"/>
    <cfRule type="duplicateValues" dxfId="1046" priority="10568"/>
    <cfRule type="duplicateValues" dxfId="1045" priority="10569"/>
    <cfRule type="duplicateValues" dxfId="1044" priority="10570"/>
    <cfRule type="duplicateValues" dxfId="1043" priority="10571"/>
    <cfRule type="duplicateValues" dxfId="1042" priority="10572"/>
    <cfRule type="duplicateValues" dxfId="1041" priority="10573"/>
    <cfRule type="duplicateValues" dxfId="1040" priority="10574"/>
    <cfRule type="duplicateValues" dxfId="1039" priority="10575"/>
    <cfRule type="duplicateValues" dxfId="1038" priority="10576"/>
    <cfRule type="duplicateValues" dxfId="1037" priority="10577"/>
    <cfRule type="duplicateValues" dxfId="1036" priority="10578"/>
    <cfRule type="duplicateValues" dxfId="1035" priority="10579"/>
    <cfRule type="duplicateValues" dxfId="1034" priority="10580"/>
    <cfRule type="duplicateValues" dxfId="1033" priority="10581"/>
    <cfRule type="duplicateValues" dxfId="1032" priority="10582"/>
    <cfRule type="duplicateValues" dxfId="1031" priority="10583"/>
    <cfRule type="duplicateValues" dxfId="1030" priority="10584"/>
    <cfRule type="duplicateValues" dxfId="1029" priority="10585"/>
    <cfRule type="duplicateValues" dxfId="1028" priority="10586"/>
    <cfRule type="duplicateValues" dxfId="1027" priority="10587"/>
    <cfRule type="duplicateValues" dxfId="1026" priority="10588"/>
    <cfRule type="duplicateValues" dxfId="1025" priority="10589"/>
    <cfRule type="duplicateValues" dxfId="1024" priority="10590"/>
    <cfRule type="duplicateValues" dxfId="1023" priority="10591"/>
    <cfRule type="duplicateValues" dxfId="1022" priority="10592"/>
    <cfRule type="duplicateValues" dxfId="1021" priority="10593"/>
    <cfRule type="duplicateValues" dxfId="1020" priority="10594"/>
    <cfRule type="duplicateValues" dxfId="1019" priority="10595"/>
    <cfRule type="duplicateValues" dxfId="1018" priority="10596"/>
    <cfRule type="duplicateValues" dxfId="1017" priority="10597"/>
    <cfRule type="duplicateValues" dxfId="1016" priority="10598"/>
    <cfRule type="duplicateValues" dxfId="1015" priority="10599"/>
    <cfRule type="duplicateValues" dxfId="1014" priority="10600"/>
    <cfRule type="duplicateValues" dxfId="1013" priority="10601"/>
    <cfRule type="duplicateValues" dxfId="1012" priority="10602"/>
    <cfRule type="duplicateValues" dxfId="1011" priority="10603"/>
    <cfRule type="duplicateValues" dxfId="1010" priority="10604"/>
    <cfRule type="duplicateValues" dxfId="1009" priority="10605"/>
    <cfRule type="duplicateValues" dxfId="1008" priority="10606"/>
    <cfRule type="duplicateValues" dxfId="1007" priority="10607"/>
    <cfRule type="duplicateValues" dxfId="1006" priority="10608"/>
    <cfRule type="duplicateValues" dxfId="1005" priority="10609"/>
    <cfRule type="duplicateValues" dxfId="1004" priority="10610"/>
    <cfRule type="duplicateValues" dxfId="1003" priority="10611"/>
    <cfRule type="duplicateValues" dxfId="1002" priority="10612"/>
    <cfRule type="duplicateValues" dxfId="1001" priority="10613"/>
    <cfRule type="duplicateValues" dxfId="1000" priority="10614"/>
    <cfRule type="duplicateValues" dxfId="999" priority="10615"/>
    <cfRule type="duplicateValues" dxfId="998" priority="10616"/>
    <cfRule type="duplicateValues" dxfId="997" priority="10617"/>
    <cfRule type="duplicateValues" dxfId="996" priority="10618"/>
    <cfRule type="duplicateValues" dxfId="995" priority="10619"/>
    <cfRule type="duplicateValues" dxfId="994" priority="10620"/>
    <cfRule type="duplicateValues" dxfId="993" priority="10621"/>
    <cfRule type="duplicateValues" dxfId="992" priority="10622"/>
    <cfRule type="duplicateValues" dxfId="991" priority="10623"/>
    <cfRule type="duplicateValues" dxfId="990" priority="10624"/>
    <cfRule type="duplicateValues" dxfId="989" priority="10625"/>
    <cfRule type="duplicateValues" dxfId="988" priority="10626"/>
    <cfRule type="duplicateValues" dxfId="987" priority="10627"/>
    <cfRule type="duplicateValues" dxfId="986" priority="10628"/>
    <cfRule type="duplicateValues" dxfId="985" priority="10629"/>
    <cfRule type="duplicateValues" dxfId="984" priority="10630"/>
    <cfRule type="duplicateValues" dxfId="983" priority="10631"/>
    <cfRule type="duplicateValues" dxfId="982" priority="10632"/>
    <cfRule type="duplicateValues" dxfId="981" priority="10633"/>
    <cfRule type="duplicateValues" dxfId="980" priority="10634"/>
    <cfRule type="duplicateValues" dxfId="979" priority="10635"/>
    <cfRule type="duplicateValues" dxfId="978" priority="10636"/>
    <cfRule type="duplicateValues" dxfId="977" priority="10637"/>
    <cfRule type="duplicateValues" dxfId="976" priority="10638"/>
    <cfRule type="duplicateValues" dxfId="975" priority="10639"/>
    <cfRule type="duplicateValues" dxfId="974" priority="10640"/>
    <cfRule type="duplicateValues" dxfId="973" priority="10641"/>
    <cfRule type="duplicateValues" dxfId="972" priority="10642"/>
    <cfRule type="duplicateValues" dxfId="971" priority="10643"/>
    <cfRule type="duplicateValues" dxfId="970" priority="10644"/>
    <cfRule type="duplicateValues" dxfId="969" priority="10645"/>
    <cfRule type="duplicateValues" dxfId="968" priority="10646"/>
    <cfRule type="duplicateValues" dxfId="967" priority="10647"/>
    <cfRule type="duplicateValues" dxfId="966" priority="10648"/>
    <cfRule type="duplicateValues" dxfId="965" priority="10649"/>
    <cfRule type="duplicateValues" dxfId="964" priority="10650"/>
    <cfRule type="duplicateValues" dxfId="963" priority="10651"/>
    <cfRule type="duplicateValues" dxfId="962" priority="10652"/>
    <cfRule type="duplicateValues" dxfId="961" priority="10653"/>
    <cfRule type="duplicateValues" dxfId="960" priority="10654"/>
    <cfRule type="duplicateValues" dxfId="959" priority="10655"/>
    <cfRule type="duplicateValues" dxfId="958" priority="10656"/>
    <cfRule type="duplicateValues" dxfId="957" priority="10657"/>
    <cfRule type="duplicateValues" dxfId="956" priority="10658"/>
    <cfRule type="duplicateValues" dxfId="955" priority="10659"/>
    <cfRule type="duplicateValues" dxfId="954" priority="10660"/>
    <cfRule type="duplicateValues" dxfId="953" priority="10661"/>
    <cfRule type="duplicateValues" dxfId="952" priority="10662"/>
    <cfRule type="duplicateValues" dxfId="951" priority="10663"/>
    <cfRule type="duplicateValues" dxfId="950" priority="10664"/>
    <cfRule type="duplicateValues" dxfId="949" priority="10665"/>
    <cfRule type="duplicateValues" dxfId="948" priority="10666"/>
    <cfRule type="duplicateValues" dxfId="947" priority="10667"/>
    <cfRule type="duplicateValues" dxfId="946" priority="10668"/>
    <cfRule type="duplicateValues" dxfId="945" priority="10669"/>
    <cfRule type="duplicateValues" dxfId="944" priority="10670"/>
    <cfRule type="duplicateValues" dxfId="943" priority="10671"/>
    <cfRule type="duplicateValues" dxfId="942" priority="10672"/>
    <cfRule type="duplicateValues" dxfId="941" priority="10673"/>
    <cfRule type="duplicateValues" dxfId="940" priority="10674"/>
    <cfRule type="duplicateValues" dxfId="939" priority="10675"/>
    <cfRule type="duplicateValues" dxfId="938" priority="10676"/>
    <cfRule type="duplicateValues" dxfId="937" priority="10677"/>
    <cfRule type="duplicateValues" dxfId="936" priority="10678"/>
    <cfRule type="duplicateValues" dxfId="935" priority="10679"/>
    <cfRule type="duplicateValues" dxfId="934" priority="10680"/>
    <cfRule type="duplicateValues" dxfId="933" priority="10681"/>
    <cfRule type="duplicateValues" dxfId="932" priority="10682"/>
    <cfRule type="duplicateValues" dxfId="931" priority="10683"/>
    <cfRule type="duplicateValues" dxfId="930" priority="10684"/>
    <cfRule type="duplicateValues" dxfId="929" priority="10685"/>
    <cfRule type="duplicateValues" dxfId="928" priority="10686"/>
    <cfRule type="duplicateValues" dxfId="927" priority="10687"/>
    <cfRule type="duplicateValues" dxfId="926" priority="10688"/>
    <cfRule type="duplicateValues" dxfId="925" priority="10689"/>
    <cfRule type="duplicateValues" dxfId="924" priority="10690"/>
    <cfRule type="duplicateValues" dxfId="923" priority="10691"/>
    <cfRule type="duplicateValues" dxfId="922" priority="10692"/>
    <cfRule type="duplicateValues" dxfId="921" priority="10693"/>
    <cfRule type="duplicateValues" dxfId="920" priority="10694"/>
    <cfRule type="duplicateValues" dxfId="919" priority="10695"/>
    <cfRule type="duplicateValues" dxfId="918" priority="10696"/>
    <cfRule type="duplicateValues" dxfId="917" priority="10697"/>
    <cfRule type="duplicateValues" dxfId="916" priority="10698"/>
    <cfRule type="duplicateValues" dxfId="915" priority="10699"/>
    <cfRule type="duplicateValues" dxfId="914" priority="10700"/>
    <cfRule type="duplicateValues" dxfId="913" priority="10701"/>
    <cfRule type="duplicateValues" dxfId="912" priority="10702"/>
    <cfRule type="duplicateValues" dxfId="911" priority="10703"/>
    <cfRule type="duplicateValues" dxfId="910" priority="10704"/>
    <cfRule type="duplicateValues" dxfId="909" priority="10705"/>
    <cfRule type="duplicateValues" dxfId="908" priority="10706"/>
    <cfRule type="duplicateValues" dxfId="907" priority="10707"/>
    <cfRule type="duplicateValues" dxfId="906" priority="10708"/>
    <cfRule type="duplicateValues" dxfId="905" priority="10709"/>
    <cfRule type="duplicateValues" dxfId="904" priority="10710"/>
    <cfRule type="duplicateValues" dxfId="903" priority="10711"/>
    <cfRule type="duplicateValues" dxfId="902" priority="10712"/>
    <cfRule type="duplicateValues" dxfId="901" priority="10713"/>
    <cfRule type="duplicateValues" dxfId="900" priority="10714"/>
    <cfRule type="duplicateValues" dxfId="899" priority="10715"/>
    <cfRule type="duplicateValues" dxfId="898" priority="10716"/>
    <cfRule type="duplicateValues" dxfId="897" priority="10717"/>
    <cfRule type="duplicateValues" dxfId="896" priority="10718"/>
    <cfRule type="duplicateValues" dxfId="895" priority="10719"/>
    <cfRule type="duplicateValues" dxfId="894" priority="10720"/>
    <cfRule type="duplicateValues" dxfId="893" priority="10721"/>
    <cfRule type="duplicateValues" dxfId="892" priority="10722"/>
    <cfRule type="duplicateValues" dxfId="891" priority="10723"/>
    <cfRule type="duplicateValues" dxfId="890" priority="10724"/>
    <cfRule type="duplicateValues" dxfId="889" priority="10725"/>
    <cfRule type="duplicateValues" dxfId="888" priority="10726"/>
    <cfRule type="duplicateValues" dxfId="887" priority="10727"/>
    <cfRule type="duplicateValues" dxfId="886" priority="10728"/>
    <cfRule type="duplicateValues" dxfId="885" priority="10729"/>
    <cfRule type="duplicateValues" dxfId="884" priority="10730"/>
    <cfRule type="duplicateValues" dxfId="883" priority="10731"/>
    <cfRule type="duplicateValues" dxfId="882" priority="10732"/>
    <cfRule type="duplicateValues" dxfId="881" priority="10733"/>
    <cfRule type="duplicateValues" dxfId="880" priority="10734"/>
    <cfRule type="duplicateValues" dxfId="879" priority="10735"/>
    <cfRule type="duplicateValues" dxfId="878" priority="10736"/>
    <cfRule type="duplicateValues" dxfId="877" priority="10737"/>
    <cfRule type="duplicateValues" dxfId="876" priority="10738"/>
    <cfRule type="duplicateValues" dxfId="875" priority="10739"/>
    <cfRule type="duplicateValues" dxfId="874" priority="10740"/>
    <cfRule type="duplicateValues" dxfId="873" priority="10741"/>
    <cfRule type="duplicateValues" dxfId="872" priority="10742"/>
    <cfRule type="duplicateValues" dxfId="871" priority="10743"/>
    <cfRule type="duplicateValues" dxfId="870" priority="10744"/>
    <cfRule type="duplicateValues" dxfId="869" priority="10745"/>
    <cfRule type="duplicateValues" dxfId="868" priority="10746"/>
    <cfRule type="duplicateValues" dxfId="867" priority="10747"/>
    <cfRule type="duplicateValues" dxfId="866" priority="10748"/>
    <cfRule type="duplicateValues" dxfId="865" priority="10749"/>
    <cfRule type="duplicateValues" dxfId="864" priority="10750"/>
    <cfRule type="duplicateValues" dxfId="863" priority="10751"/>
    <cfRule type="duplicateValues" dxfId="862" priority="10752"/>
    <cfRule type="duplicateValues" dxfId="861" priority="10753"/>
    <cfRule type="duplicateValues" dxfId="860" priority="10754"/>
    <cfRule type="duplicateValues" dxfId="859" priority="10755"/>
    <cfRule type="duplicateValues" dxfId="858" priority="10756"/>
    <cfRule type="duplicateValues" dxfId="857" priority="10757"/>
    <cfRule type="duplicateValues" dxfId="856" priority="10758"/>
    <cfRule type="duplicateValues" dxfId="855" priority="10759"/>
    <cfRule type="duplicateValues" dxfId="854" priority="10760"/>
    <cfRule type="duplicateValues" dxfId="853" priority="10761"/>
    <cfRule type="duplicateValues" dxfId="852" priority="10762"/>
    <cfRule type="duplicateValues" dxfId="851" priority="10763"/>
    <cfRule type="duplicateValues" dxfId="850" priority="10764"/>
    <cfRule type="duplicateValues" dxfId="849" priority="10765"/>
    <cfRule type="duplicateValues" dxfId="848" priority="10766"/>
    <cfRule type="duplicateValues" dxfId="847" priority="10767"/>
    <cfRule type="duplicateValues" dxfId="846" priority="10768"/>
    <cfRule type="duplicateValues" dxfId="845" priority="10769"/>
    <cfRule type="duplicateValues" dxfId="844" priority="10770"/>
    <cfRule type="duplicateValues" dxfId="843" priority="10771"/>
    <cfRule type="duplicateValues" dxfId="842" priority="10772"/>
    <cfRule type="duplicateValues" dxfId="841" priority="10773"/>
    <cfRule type="duplicateValues" dxfId="840" priority="10774"/>
    <cfRule type="duplicateValues" dxfId="839" priority="10775"/>
    <cfRule type="duplicateValues" dxfId="838" priority="10776"/>
    <cfRule type="duplicateValues" dxfId="837" priority="10777"/>
    <cfRule type="duplicateValues" dxfId="836" priority="10778"/>
    <cfRule type="duplicateValues" dxfId="835" priority="10779"/>
    <cfRule type="duplicateValues" dxfId="834" priority="10780"/>
    <cfRule type="duplicateValues" dxfId="833" priority="10781"/>
    <cfRule type="duplicateValues" dxfId="832" priority="10782"/>
    <cfRule type="duplicateValues" dxfId="831" priority="10783"/>
    <cfRule type="duplicateValues" dxfId="830" priority="10784"/>
    <cfRule type="duplicateValues" dxfId="829" priority="10785"/>
    <cfRule type="duplicateValues" dxfId="828" priority="10786"/>
    <cfRule type="duplicateValues" dxfId="827" priority="10787"/>
    <cfRule type="duplicateValues" dxfId="826" priority="10788"/>
    <cfRule type="duplicateValues" dxfId="825" priority="10789"/>
    <cfRule type="duplicateValues" dxfId="824" priority="10790"/>
    <cfRule type="duplicateValues" dxfId="823" priority="10791"/>
    <cfRule type="duplicateValues" dxfId="822" priority="10792"/>
    <cfRule type="duplicateValues" dxfId="821" priority="10793"/>
    <cfRule type="duplicateValues" dxfId="820" priority="10794"/>
    <cfRule type="duplicateValues" dxfId="819" priority="10795"/>
    <cfRule type="duplicateValues" dxfId="818" priority="10796"/>
    <cfRule type="duplicateValues" dxfId="817" priority="10797"/>
    <cfRule type="duplicateValues" dxfId="816" priority="10798"/>
    <cfRule type="duplicateValues" dxfId="815" priority="10799"/>
    <cfRule type="duplicateValues" dxfId="814" priority="10800"/>
    <cfRule type="duplicateValues" dxfId="813" priority="10801"/>
    <cfRule type="duplicateValues" dxfId="812" priority="10802"/>
    <cfRule type="duplicateValues" dxfId="811" priority="10803"/>
    <cfRule type="duplicateValues" dxfId="810" priority="10804"/>
    <cfRule type="duplicateValues" dxfId="809" priority="10805"/>
    <cfRule type="duplicateValues" dxfId="808" priority="10806"/>
    <cfRule type="duplicateValues" dxfId="807" priority="10807"/>
    <cfRule type="duplicateValues" dxfId="806" priority="10808"/>
    <cfRule type="duplicateValues" dxfId="805" priority="10809"/>
    <cfRule type="duplicateValues" dxfId="804" priority="10810"/>
    <cfRule type="duplicateValues" dxfId="803" priority="10811"/>
    <cfRule type="duplicateValues" dxfId="802" priority="10812"/>
    <cfRule type="duplicateValues" dxfId="801" priority="10813"/>
    <cfRule type="duplicateValues" dxfId="800" priority="10814"/>
    <cfRule type="duplicateValues" dxfId="799" priority="10815"/>
    <cfRule type="duplicateValues" dxfId="798" priority="10816"/>
    <cfRule type="duplicateValues" dxfId="797" priority="10817"/>
    <cfRule type="duplicateValues" dxfId="796" priority="10818"/>
    <cfRule type="duplicateValues" dxfId="795" priority="10819"/>
    <cfRule type="duplicateValues" dxfId="794" priority="10820"/>
    <cfRule type="duplicateValues" dxfId="793" priority="10821"/>
    <cfRule type="duplicateValues" dxfId="792" priority="10822"/>
    <cfRule type="duplicateValues" dxfId="791" priority="10823"/>
    <cfRule type="duplicateValues" dxfId="790" priority="10824"/>
    <cfRule type="duplicateValues" dxfId="789" priority="10825"/>
    <cfRule type="duplicateValues" dxfId="788" priority="10826"/>
    <cfRule type="duplicateValues" dxfId="787" priority="10827"/>
    <cfRule type="duplicateValues" dxfId="786" priority="10828"/>
    <cfRule type="duplicateValues" dxfId="785" priority="10829"/>
    <cfRule type="duplicateValues" dxfId="784" priority="10830"/>
    <cfRule type="duplicateValues" dxfId="783" priority="10831"/>
    <cfRule type="duplicateValues" dxfId="782" priority="10832"/>
    <cfRule type="duplicateValues" dxfId="781" priority="10833"/>
    <cfRule type="duplicateValues" dxfId="780" priority="10834"/>
    <cfRule type="duplicateValues" dxfId="779" priority="10835"/>
    <cfRule type="duplicateValues" dxfId="778" priority="10836"/>
    <cfRule type="duplicateValues" dxfId="777" priority="10837"/>
    <cfRule type="duplicateValues" dxfId="776" priority="10838"/>
    <cfRule type="duplicateValues" dxfId="775" priority="10839"/>
    <cfRule type="duplicateValues" dxfId="774" priority="10840"/>
    <cfRule type="duplicateValues" dxfId="773" priority="10841"/>
    <cfRule type="duplicateValues" dxfId="772" priority="10842"/>
    <cfRule type="duplicateValues" dxfId="771" priority="10843"/>
    <cfRule type="duplicateValues" dxfId="770" priority="10844"/>
    <cfRule type="duplicateValues" dxfId="769" priority="10845"/>
    <cfRule type="duplicateValues" dxfId="768" priority="10846"/>
    <cfRule type="duplicateValues" dxfId="767" priority="10847"/>
    <cfRule type="duplicateValues" dxfId="766" priority="10848"/>
    <cfRule type="duplicateValues" dxfId="765" priority="10849"/>
    <cfRule type="duplicateValues" dxfId="764" priority="10850"/>
    <cfRule type="duplicateValues" dxfId="763" priority="10851"/>
    <cfRule type="duplicateValues" dxfId="762" priority="10852"/>
    <cfRule type="duplicateValues" dxfId="761" priority="10853"/>
    <cfRule type="duplicateValues" dxfId="760" priority="10854"/>
    <cfRule type="duplicateValues" dxfId="759" priority="10855"/>
    <cfRule type="duplicateValues" dxfId="758" priority="10856"/>
    <cfRule type="duplicateValues" dxfId="757" priority="10857"/>
    <cfRule type="duplicateValues" dxfId="756" priority="10858"/>
    <cfRule type="duplicateValues" dxfId="755" priority="10859"/>
    <cfRule type="duplicateValues" dxfId="754" priority="10860"/>
    <cfRule type="duplicateValues" dxfId="753" priority="10861"/>
    <cfRule type="duplicateValues" dxfId="752" priority="10862"/>
    <cfRule type="duplicateValues" dxfId="751" priority="10863"/>
    <cfRule type="duplicateValues" dxfId="750" priority="10864"/>
    <cfRule type="duplicateValues" dxfId="749" priority="10865"/>
    <cfRule type="duplicateValues" dxfId="748" priority="10866"/>
    <cfRule type="duplicateValues" dxfId="747" priority="10867"/>
    <cfRule type="duplicateValues" dxfId="746" priority="10868"/>
    <cfRule type="duplicateValues" dxfId="745" priority="10869"/>
    <cfRule type="duplicateValues" dxfId="744" priority="10870"/>
    <cfRule type="duplicateValues" dxfId="743" priority="10871"/>
  </conditionalFormatting>
  <conditionalFormatting sqref="C313:C416">
    <cfRule type="duplicateValues" dxfId="742" priority="391"/>
    <cfRule type="duplicateValues" dxfId="741" priority="392"/>
    <cfRule type="duplicateValues" dxfId="740" priority="393"/>
    <cfRule type="duplicateValues" dxfId="739" priority="394"/>
    <cfRule type="duplicateValues" dxfId="738" priority="395"/>
    <cfRule type="duplicateValues" dxfId="737" priority="396"/>
    <cfRule type="duplicateValues" dxfId="736" priority="397"/>
    <cfRule type="duplicateValues" dxfId="735" priority="398"/>
    <cfRule type="duplicateValues" dxfId="734" priority="399"/>
    <cfRule type="duplicateValues" dxfId="733" priority="400"/>
    <cfRule type="duplicateValues" dxfId="732" priority="401"/>
    <cfRule type="duplicateValues" dxfId="731" priority="402"/>
    <cfRule type="duplicateValues" dxfId="730" priority="403"/>
    <cfRule type="duplicateValues" dxfId="729" priority="404"/>
    <cfRule type="duplicateValues" dxfId="728" priority="405"/>
    <cfRule type="duplicateValues" dxfId="727" priority="406"/>
    <cfRule type="duplicateValues" dxfId="726" priority="407"/>
    <cfRule type="duplicateValues" dxfId="725" priority="408"/>
    <cfRule type="duplicateValues" dxfId="724" priority="409"/>
    <cfRule type="duplicateValues" dxfId="723" priority="410"/>
    <cfRule type="duplicateValues" dxfId="722" priority="411"/>
    <cfRule type="duplicateValues" dxfId="721" priority="412"/>
    <cfRule type="duplicateValues" dxfId="720" priority="413"/>
    <cfRule type="duplicateValues" dxfId="719" priority="414"/>
    <cfRule type="duplicateValues" dxfId="718" priority="415"/>
    <cfRule type="duplicateValues" dxfId="717" priority="416"/>
    <cfRule type="duplicateValues" dxfId="716" priority="417"/>
    <cfRule type="duplicateValues" dxfId="715" priority="418"/>
    <cfRule type="duplicateValues" dxfId="714" priority="419"/>
    <cfRule type="duplicateValues" dxfId="713" priority="420"/>
    <cfRule type="duplicateValues" dxfId="712" priority="421"/>
    <cfRule type="duplicateValues" dxfId="711" priority="422"/>
    <cfRule type="duplicateValues" dxfId="710" priority="423"/>
    <cfRule type="duplicateValues" dxfId="709" priority="424"/>
    <cfRule type="duplicateValues" dxfId="708" priority="425"/>
    <cfRule type="duplicateValues" dxfId="707" priority="426"/>
    <cfRule type="duplicateValues" dxfId="706" priority="427"/>
    <cfRule type="duplicateValues" dxfId="705" priority="428"/>
    <cfRule type="duplicateValues" dxfId="704" priority="429"/>
    <cfRule type="duplicateValues" dxfId="703" priority="430"/>
    <cfRule type="duplicateValues" dxfId="702" priority="431"/>
    <cfRule type="duplicateValues" dxfId="701" priority="432"/>
    <cfRule type="duplicateValues" dxfId="700" priority="433"/>
    <cfRule type="duplicateValues" dxfId="699" priority="434"/>
    <cfRule type="duplicateValues" dxfId="698" priority="435"/>
    <cfRule type="duplicateValues" dxfId="697" priority="436"/>
    <cfRule type="duplicateValues" dxfId="696" priority="437"/>
    <cfRule type="duplicateValues" dxfId="695" priority="438"/>
    <cfRule type="duplicateValues" dxfId="694" priority="439"/>
    <cfRule type="duplicateValues" dxfId="693" priority="440"/>
    <cfRule type="duplicateValues" dxfId="692" priority="441"/>
    <cfRule type="duplicateValues" dxfId="691" priority="442"/>
    <cfRule type="duplicateValues" dxfId="690" priority="443"/>
    <cfRule type="duplicateValues" dxfId="689" priority="444"/>
    <cfRule type="duplicateValues" dxfId="688" priority="445"/>
    <cfRule type="duplicateValues" dxfId="687" priority="446"/>
    <cfRule type="duplicateValues" dxfId="686" priority="447"/>
    <cfRule type="duplicateValues" dxfId="685" priority="448"/>
    <cfRule type="duplicateValues" dxfId="684" priority="449"/>
    <cfRule type="duplicateValues" dxfId="683" priority="450"/>
    <cfRule type="duplicateValues" dxfId="682" priority="451"/>
    <cfRule type="duplicateValues" dxfId="681" priority="452"/>
    <cfRule type="duplicateValues" dxfId="680" priority="453"/>
    <cfRule type="duplicateValues" dxfId="679" priority="454"/>
    <cfRule type="duplicateValues" dxfId="678" priority="455"/>
    <cfRule type="duplicateValues" dxfId="677" priority="456"/>
    <cfRule type="duplicateValues" dxfId="676" priority="457"/>
    <cfRule type="duplicateValues" dxfId="675" priority="458"/>
    <cfRule type="duplicateValues" dxfId="674" priority="459"/>
    <cfRule type="duplicateValues" dxfId="673" priority="460"/>
    <cfRule type="duplicateValues" dxfId="672" priority="461"/>
    <cfRule type="duplicateValues" dxfId="671" priority="462"/>
    <cfRule type="duplicateValues" dxfId="670" priority="463"/>
    <cfRule type="duplicateValues" dxfId="669" priority="464"/>
    <cfRule type="duplicateValues" dxfId="668" priority="465"/>
    <cfRule type="duplicateValues" dxfId="667" priority="466"/>
    <cfRule type="duplicateValues" dxfId="666" priority="467"/>
    <cfRule type="duplicateValues" dxfId="665" priority="468"/>
    <cfRule type="duplicateValues" dxfId="664" priority="469"/>
    <cfRule type="duplicateValues" dxfId="663" priority="470"/>
    <cfRule type="duplicateValues" dxfId="662" priority="471"/>
    <cfRule type="duplicateValues" dxfId="661" priority="472"/>
    <cfRule type="duplicateValues" dxfId="660" priority="473"/>
    <cfRule type="duplicateValues" dxfId="659" priority="474"/>
    <cfRule type="duplicateValues" dxfId="658" priority="475"/>
    <cfRule type="duplicateValues" dxfId="657" priority="476"/>
    <cfRule type="duplicateValues" dxfId="656" priority="477"/>
    <cfRule type="duplicateValues" dxfId="655" priority="478"/>
    <cfRule type="duplicateValues" dxfId="654" priority="479"/>
    <cfRule type="duplicateValues" dxfId="653" priority="480"/>
    <cfRule type="duplicateValues" dxfId="652" priority="481"/>
    <cfRule type="duplicateValues" dxfId="651" priority="482"/>
    <cfRule type="duplicateValues" dxfId="650" priority="483"/>
    <cfRule type="duplicateValues" dxfId="649" priority="484"/>
    <cfRule type="duplicateValues" dxfId="648" priority="485"/>
    <cfRule type="duplicateValues" dxfId="647" priority="486"/>
    <cfRule type="duplicateValues" dxfId="646" priority="487"/>
    <cfRule type="duplicateValues" dxfId="645" priority="488"/>
    <cfRule type="duplicateValues" dxfId="644" priority="489"/>
    <cfRule type="duplicateValues" dxfId="643" priority="490"/>
    <cfRule type="duplicateValues" dxfId="642" priority="491"/>
    <cfRule type="duplicateValues" dxfId="641" priority="492"/>
    <cfRule type="duplicateValues" dxfId="640" priority="493"/>
    <cfRule type="duplicateValues" dxfId="639" priority="494"/>
    <cfRule type="duplicateValues" dxfId="638" priority="495"/>
    <cfRule type="duplicateValues" dxfId="637" priority="496"/>
    <cfRule type="duplicateValues" dxfId="636" priority="497"/>
    <cfRule type="duplicateValues" dxfId="635" priority="498"/>
    <cfRule type="duplicateValues" dxfId="634" priority="499"/>
    <cfRule type="duplicateValues" dxfId="633" priority="500"/>
    <cfRule type="duplicateValues" dxfId="632" priority="501"/>
    <cfRule type="duplicateValues" dxfId="631" priority="502"/>
    <cfRule type="duplicateValues" dxfId="630" priority="503"/>
    <cfRule type="duplicateValues" dxfId="629" priority="504"/>
    <cfRule type="duplicateValues" dxfId="628" priority="505"/>
    <cfRule type="duplicateValues" dxfId="627" priority="506"/>
    <cfRule type="duplicateValues" dxfId="626" priority="507"/>
    <cfRule type="duplicateValues" dxfId="625" priority="508"/>
    <cfRule type="duplicateValues" dxfId="624" priority="509"/>
    <cfRule type="duplicateValues" dxfId="623" priority="510"/>
    <cfRule type="duplicateValues" dxfId="622" priority="511"/>
    <cfRule type="duplicateValues" dxfId="621" priority="512"/>
    <cfRule type="duplicateValues" dxfId="620" priority="513"/>
    <cfRule type="duplicateValues" dxfId="619" priority="514"/>
    <cfRule type="duplicateValues" dxfId="618" priority="515"/>
    <cfRule type="duplicateValues" dxfId="617" priority="516"/>
    <cfRule type="duplicateValues" dxfId="616" priority="517"/>
    <cfRule type="duplicateValues" dxfId="615" priority="518"/>
    <cfRule type="duplicateValues" dxfId="614" priority="519"/>
    <cfRule type="duplicateValues" dxfId="613" priority="520"/>
    <cfRule type="duplicateValues" dxfId="612" priority="521"/>
    <cfRule type="duplicateValues" dxfId="611" priority="522"/>
    <cfRule type="duplicateValues" dxfId="610" priority="523"/>
    <cfRule type="duplicateValues" dxfId="609" priority="524"/>
    <cfRule type="duplicateValues" dxfId="608" priority="525"/>
    <cfRule type="duplicateValues" dxfId="607" priority="526"/>
    <cfRule type="duplicateValues" dxfId="606" priority="527"/>
    <cfRule type="duplicateValues" dxfId="605" priority="528"/>
    <cfRule type="duplicateValues" dxfId="604" priority="529"/>
    <cfRule type="duplicateValues" dxfId="603" priority="530"/>
    <cfRule type="duplicateValues" dxfId="602" priority="531"/>
    <cfRule type="duplicateValues" dxfId="601" priority="532"/>
    <cfRule type="duplicateValues" dxfId="600" priority="533"/>
    <cfRule type="duplicateValues" dxfId="599" priority="534"/>
    <cfRule type="duplicateValues" dxfId="598" priority="535"/>
    <cfRule type="duplicateValues" dxfId="597" priority="536"/>
    <cfRule type="duplicateValues" dxfId="596" priority="537"/>
    <cfRule type="duplicateValues" dxfId="595" priority="538"/>
    <cfRule type="duplicateValues" dxfId="594" priority="539"/>
    <cfRule type="duplicateValues" dxfId="593" priority="540"/>
    <cfRule type="duplicateValues" dxfId="592" priority="541"/>
    <cfRule type="duplicateValues" dxfId="591" priority="542"/>
    <cfRule type="duplicateValues" dxfId="590" priority="543"/>
    <cfRule type="duplicateValues" dxfId="589" priority="544"/>
    <cfRule type="duplicateValues" dxfId="588" priority="545"/>
    <cfRule type="duplicateValues" dxfId="587" priority="546"/>
    <cfRule type="duplicateValues" dxfId="586" priority="547"/>
    <cfRule type="duplicateValues" dxfId="585" priority="548"/>
    <cfRule type="duplicateValues" dxfId="584" priority="549"/>
    <cfRule type="duplicateValues" dxfId="583" priority="550"/>
    <cfRule type="duplicateValues" dxfId="582" priority="551"/>
    <cfRule type="duplicateValues" dxfId="581" priority="552"/>
    <cfRule type="duplicateValues" dxfId="580" priority="553"/>
    <cfRule type="duplicateValues" dxfId="579" priority="554"/>
    <cfRule type="duplicateValues" dxfId="578" priority="555"/>
    <cfRule type="duplicateValues" dxfId="577" priority="556"/>
    <cfRule type="duplicateValues" dxfId="576" priority="557"/>
    <cfRule type="duplicateValues" dxfId="575" priority="558"/>
    <cfRule type="duplicateValues" dxfId="574" priority="559"/>
    <cfRule type="duplicateValues" dxfId="573" priority="560"/>
    <cfRule type="duplicateValues" dxfId="572" priority="561"/>
    <cfRule type="duplicateValues" dxfId="571" priority="562"/>
    <cfRule type="duplicateValues" dxfId="570" priority="563"/>
    <cfRule type="duplicateValues" dxfId="569" priority="564"/>
    <cfRule type="duplicateValues" dxfId="568" priority="565"/>
    <cfRule type="duplicateValues" dxfId="567" priority="566"/>
    <cfRule type="duplicateValues" dxfId="566" priority="567"/>
    <cfRule type="duplicateValues" dxfId="565" priority="568"/>
    <cfRule type="duplicateValues" dxfId="564" priority="569"/>
    <cfRule type="duplicateValues" dxfId="563" priority="570"/>
    <cfRule type="duplicateValues" dxfId="562" priority="571"/>
    <cfRule type="duplicateValues" dxfId="561" priority="572"/>
    <cfRule type="duplicateValues" dxfId="560" priority="573"/>
    <cfRule type="duplicateValues" dxfId="559" priority="574"/>
    <cfRule type="duplicateValues" dxfId="558" priority="575"/>
    <cfRule type="duplicateValues" dxfId="557" priority="576"/>
    <cfRule type="duplicateValues" dxfId="556" priority="577"/>
    <cfRule type="duplicateValues" dxfId="555" priority="578"/>
    <cfRule type="duplicateValues" dxfId="554" priority="579"/>
    <cfRule type="duplicateValues" dxfId="553" priority="580"/>
    <cfRule type="duplicateValues" dxfId="552" priority="581"/>
    <cfRule type="duplicateValues" dxfId="551" priority="582"/>
    <cfRule type="duplicateValues" dxfId="550" priority="583"/>
    <cfRule type="duplicateValues" dxfId="549" priority="584"/>
    <cfRule type="duplicateValues" dxfId="548" priority="585"/>
    <cfRule type="duplicateValues" dxfId="547" priority="586"/>
    <cfRule type="duplicateValues" dxfId="546" priority="587"/>
    <cfRule type="duplicateValues" dxfId="545" priority="588"/>
    <cfRule type="duplicateValues" dxfId="544" priority="589"/>
    <cfRule type="duplicateValues" dxfId="543" priority="590"/>
    <cfRule type="duplicateValues" dxfId="542" priority="591"/>
    <cfRule type="duplicateValues" dxfId="541" priority="592"/>
    <cfRule type="duplicateValues" dxfId="540" priority="593"/>
    <cfRule type="duplicateValues" dxfId="539" priority="594"/>
    <cfRule type="duplicateValues" dxfId="538" priority="595"/>
    <cfRule type="duplicateValues" dxfId="537" priority="596"/>
    <cfRule type="duplicateValues" dxfId="536" priority="597"/>
    <cfRule type="duplicateValues" dxfId="535" priority="598"/>
    <cfRule type="duplicateValues" dxfId="534" priority="599"/>
    <cfRule type="duplicateValues" dxfId="533" priority="600"/>
    <cfRule type="duplicateValues" dxfId="532" priority="601"/>
    <cfRule type="duplicateValues" dxfId="531" priority="602"/>
    <cfRule type="duplicateValues" dxfId="530" priority="603"/>
    <cfRule type="duplicateValues" dxfId="529" priority="604"/>
    <cfRule type="duplicateValues" dxfId="528" priority="605"/>
    <cfRule type="duplicateValues" dxfId="527" priority="606"/>
    <cfRule type="duplicateValues" dxfId="526" priority="607"/>
    <cfRule type="duplicateValues" dxfId="525" priority="608"/>
    <cfRule type="duplicateValues" dxfId="524" priority="609"/>
    <cfRule type="duplicateValues" dxfId="523" priority="610"/>
    <cfRule type="duplicateValues" dxfId="522" priority="611"/>
    <cfRule type="duplicateValues" dxfId="521" priority="612"/>
    <cfRule type="duplicateValues" dxfId="520" priority="613"/>
    <cfRule type="duplicateValues" dxfId="519" priority="614"/>
    <cfRule type="duplicateValues" dxfId="518" priority="615"/>
    <cfRule type="duplicateValues" dxfId="517" priority="616"/>
    <cfRule type="duplicateValues" dxfId="516" priority="617"/>
    <cfRule type="duplicateValues" dxfId="515" priority="618"/>
    <cfRule type="duplicateValues" dxfId="514" priority="619"/>
    <cfRule type="duplicateValues" dxfId="513" priority="620"/>
    <cfRule type="duplicateValues" dxfId="512" priority="621"/>
    <cfRule type="duplicateValues" dxfId="511" priority="622"/>
    <cfRule type="duplicateValues" dxfId="510" priority="623"/>
    <cfRule type="duplicateValues" dxfId="509" priority="624"/>
    <cfRule type="duplicateValues" dxfId="508" priority="625"/>
    <cfRule type="duplicateValues" dxfId="507" priority="626"/>
    <cfRule type="duplicateValues" dxfId="506" priority="627"/>
    <cfRule type="duplicateValues" dxfId="505" priority="628"/>
    <cfRule type="duplicateValues" dxfId="504" priority="629"/>
    <cfRule type="duplicateValues" dxfId="503" priority="630"/>
    <cfRule type="duplicateValues" dxfId="502" priority="631"/>
    <cfRule type="duplicateValues" dxfId="501" priority="632"/>
    <cfRule type="duplicateValues" dxfId="500" priority="633"/>
    <cfRule type="duplicateValues" dxfId="499" priority="634"/>
    <cfRule type="duplicateValues" dxfId="498" priority="635"/>
    <cfRule type="duplicateValues" dxfId="497" priority="636"/>
    <cfRule type="duplicateValues" dxfId="496" priority="637"/>
    <cfRule type="duplicateValues" dxfId="495" priority="638"/>
    <cfRule type="duplicateValues" dxfId="494" priority="639"/>
    <cfRule type="duplicateValues" dxfId="493" priority="640"/>
    <cfRule type="duplicateValues" dxfId="492" priority="641"/>
    <cfRule type="duplicateValues" dxfId="491" priority="642"/>
    <cfRule type="duplicateValues" dxfId="490" priority="643"/>
    <cfRule type="duplicateValues" dxfId="489" priority="644"/>
    <cfRule type="duplicateValues" dxfId="488" priority="645"/>
    <cfRule type="duplicateValues" dxfId="487" priority="646"/>
    <cfRule type="duplicateValues" dxfId="486" priority="647"/>
    <cfRule type="duplicateValues" dxfId="485" priority="648"/>
    <cfRule type="duplicateValues" dxfId="484" priority="649"/>
    <cfRule type="duplicateValues" dxfId="483" priority="650"/>
    <cfRule type="duplicateValues" dxfId="482" priority="651"/>
    <cfRule type="duplicateValues" dxfId="481" priority="652"/>
    <cfRule type="duplicateValues" dxfId="480" priority="653"/>
    <cfRule type="duplicateValues" dxfId="479" priority="654"/>
    <cfRule type="duplicateValues" dxfId="478" priority="655"/>
    <cfRule type="duplicateValues" dxfId="477" priority="656"/>
    <cfRule type="duplicateValues" dxfId="476" priority="657"/>
    <cfRule type="duplicateValues" dxfId="475" priority="658"/>
    <cfRule type="duplicateValues" dxfId="474" priority="659"/>
    <cfRule type="duplicateValues" dxfId="473" priority="660"/>
    <cfRule type="duplicateValues" dxfId="472" priority="661"/>
    <cfRule type="duplicateValues" dxfId="471" priority="662"/>
    <cfRule type="duplicateValues" dxfId="470" priority="663"/>
    <cfRule type="duplicateValues" dxfId="469" priority="664"/>
    <cfRule type="duplicateValues" dxfId="468" priority="665"/>
    <cfRule type="duplicateValues" dxfId="467" priority="666"/>
    <cfRule type="duplicateValues" dxfId="466" priority="667"/>
    <cfRule type="duplicateValues" dxfId="465" priority="668"/>
    <cfRule type="duplicateValues" dxfId="464" priority="669"/>
    <cfRule type="duplicateValues" dxfId="463" priority="670"/>
    <cfRule type="duplicateValues" dxfId="462" priority="671"/>
    <cfRule type="duplicateValues" dxfId="461" priority="672"/>
    <cfRule type="duplicateValues" dxfId="460" priority="673"/>
    <cfRule type="duplicateValues" dxfId="459" priority="674"/>
    <cfRule type="duplicateValues" dxfId="458" priority="675"/>
    <cfRule type="duplicateValues" dxfId="457" priority="676"/>
    <cfRule type="duplicateValues" dxfId="456" priority="677"/>
    <cfRule type="duplicateValues" dxfId="455" priority="678"/>
    <cfRule type="duplicateValues" dxfId="454" priority="679"/>
    <cfRule type="duplicateValues" dxfId="453" priority="680"/>
    <cfRule type="duplicateValues" dxfId="452" priority="681"/>
    <cfRule type="duplicateValues" dxfId="451" priority="682"/>
    <cfRule type="duplicateValues" dxfId="450" priority="683"/>
    <cfRule type="duplicateValues" dxfId="449" priority="684"/>
    <cfRule type="duplicateValues" dxfId="448" priority="685"/>
    <cfRule type="duplicateValues" dxfId="447" priority="686"/>
    <cfRule type="duplicateValues" dxfId="446" priority="687"/>
    <cfRule type="duplicateValues" dxfId="445" priority="688"/>
    <cfRule type="duplicateValues" dxfId="444" priority="689"/>
    <cfRule type="duplicateValues" dxfId="443" priority="690"/>
    <cfRule type="duplicateValues" dxfId="442" priority="691"/>
    <cfRule type="duplicateValues" dxfId="441" priority="692"/>
    <cfRule type="duplicateValues" dxfId="440" priority="693"/>
    <cfRule type="duplicateValues" dxfId="439" priority="694"/>
    <cfRule type="duplicateValues" dxfId="438" priority="695"/>
    <cfRule type="duplicateValues" dxfId="437" priority="696"/>
    <cfRule type="duplicateValues" dxfId="436" priority="697"/>
    <cfRule type="duplicateValues" dxfId="435" priority="698"/>
    <cfRule type="duplicateValues" dxfId="434" priority="699"/>
    <cfRule type="duplicateValues" dxfId="433" priority="700"/>
    <cfRule type="duplicateValues" dxfId="432" priority="701"/>
    <cfRule type="duplicateValues" dxfId="431" priority="702"/>
    <cfRule type="duplicateValues" dxfId="430" priority="703"/>
    <cfRule type="duplicateValues" dxfId="429" priority="704"/>
    <cfRule type="duplicateValues" dxfId="428" priority="705"/>
    <cfRule type="duplicateValues" dxfId="427" priority="706"/>
    <cfRule type="duplicateValues" dxfId="426" priority="707"/>
    <cfRule type="duplicateValues" dxfId="425" priority="708"/>
    <cfRule type="duplicateValues" dxfId="424" priority="709"/>
    <cfRule type="duplicateValues" dxfId="423" priority="710"/>
    <cfRule type="duplicateValues" dxfId="422" priority="711"/>
    <cfRule type="duplicateValues" dxfId="421" priority="712"/>
    <cfRule type="duplicateValues" dxfId="420" priority="713"/>
    <cfRule type="duplicateValues" dxfId="419" priority="714"/>
    <cfRule type="duplicateValues" dxfId="418" priority="715"/>
    <cfRule type="duplicateValues" dxfId="417" priority="716"/>
    <cfRule type="duplicateValues" dxfId="416" priority="717"/>
    <cfRule type="duplicateValues" dxfId="415" priority="718"/>
    <cfRule type="duplicateValues" dxfId="414" priority="719"/>
    <cfRule type="duplicateValues" dxfId="413" priority="720"/>
    <cfRule type="duplicateValues" dxfId="412" priority="721"/>
    <cfRule type="duplicateValues" dxfId="411" priority="722"/>
    <cfRule type="duplicateValues" dxfId="410" priority="723"/>
    <cfRule type="duplicateValues" dxfId="409" priority="724"/>
    <cfRule type="duplicateValues" dxfId="408" priority="725"/>
    <cfRule type="duplicateValues" dxfId="407" priority="726"/>
    <cfRule type="duplicateValues" dxfId="406" priority="727"/>
    <cfRule type="duplicateValues" dxfId="405" priority="728"/>
    <cfRule type="duplicateValues" dxfId="404" priority="729"/>
    <cfRule type="duplicateValues" dxfId="403" priority="730"/>
    <cfRule type="duplicateValues" dxfId="402" priority="731"/>
    <cfRule type="duplicateValues" dxfId="401" priority="732"/>
    <cfRule type="duplicateValues" dxfId="400" priority="733"/>
    <cfRule type="duplicateValues" dxfId="399" priority="734"/>
    <cfRule type="duplicateValues" dxfId="398" priority="735"/>
  </conditionalFormatting>
  <conditionalFormatting sqref="C417:C425">
    <cfRule type="duplicateValues" dxfId="397" priority="46"/>
    <cfRule type="duplicateValues" dxfId="396" priority="47"/>
    <cfRule type="duplicateValues" dxfId="395" priority="48"/>
    <cfRule type="duplicateValues" dxfId="394" priority="49"/>
    <cfRule type="duplicateValues" dxfId="393" priority="50"/>
    <cfRule type="duplicateValues" dxfId="392" priority="51"/>
    <cfRule type="duplicateValues" dxfId="391" priority="52"/>
    <cfRule type="duplicateValues" dxfId="390" priority="53"/>
    <cfRule type="duplicateValues" dxfId="389" priority="54"/>
    <cfRule type="duplicateValues" dxfId="388" priority="55"/>
    <cfRule type="duplicateValues" dxfId="387" priority="56"/>
    <cfRule type="duplicateValues" dxfId="386" priority="57"/>
    <cfRule type="duplicateValues" dxfId="385" priority="58"/>
    <cfRule type="duplicateValues" dxfId="384" priority="59"/>
    <cfRule type="duplicateValues" dxfId="383" priority="60"/>
    <cfRule type="duplicateValues" dxfId="382" priority="61"/>
    <cfRule type="duplicateValues" dxfId="381" priority="62"/>
    <cfRule type="duplicateValues" dxfId="380" priority="63"/>
    <cfRule type="duplicateValues" dxfId="379" priority="64"/>
    <cfRule type="duplicateValues" dxfId="378" priority="65"/>
    <cfRule type="duplicateValues" dxfId="377" priority="66"/>
    <cfRule type="duplicateValues" dxfId="376" priority="67"/>
    <cfRule type="duplicateValues" dxfId="375" priority="68"/>
    <cfRule type="duplicateValues" dxfId="374" priority="69"/>
    <cfRule type="duplicateValues" dxfId="373" priority="70"/>
    <cfRule type="duplicateValues" dxfId="372" priority="71"/>
    <cfRule type="duplicateValues" dxfId="371" priority="72"/>
    <cfRule type="duplicateValues" dxfId="370" priority="73"/>
    <cfRule type="duplicateValues" dxfId="369" priority="74"/>
    <cfRule type="duplicateValues" dxfId="368" priority="75"/>
    <cfRule type="duplicateValues" dxfId="367" priority="76"/>
    <cfRule type="duplicateValues" dxfId="366" priority="77"/>
    <cfRule type="duplicateValues" dxfId="365" priority="78"/>
    <cfRule type="duplicateValues" dxfId="364" priority="79"/>
    <cfRule type="duplicateValues" dxfId="363" priority="80"/>
    <cfRule type="duplicateValues" dxfId="362" priority="81"/>
    <cfRule type="duplicateValues" dxfId="361" priority="82"/>
    <cfRule type="duplicateValues" dxfId="360" priority="83"/>
    <cfRule type="duplicateValues" dxfId="359" priority="84"/>
    <cfRule type="duplicateValues" dxfId="358" priority="85"/>
    <cfRule type="duplicateValues" dxfId="357" priority="86"/>
    <cfRule type="duplicateValues" dxfId="356" priority="87"/>
    <cfRule type="duplicateValues" dxfId="355" priority="88"/>
    <cfRule type="duplicateValues" dxfId="354" priority="89"/>
    <cfRule type="duplicateValues" dxfId="353" priority="90"/>
    <cfRule type="duplicateValues" dxfId="352" priority="91"/>
    <cfRule type="duplicateValues" dxfId="351" priority="92"/>
    <cfRule type="duplicateValues" dxfId="350" priority="93"/>
    <cfRule type="duplicateValues" dxfId="349" priority="94"/>
    <cfRule type="duplicateValues" dxfId="348" priority="95"/>
    <cfRule type="duplicateValues" dxfId="347" priority="96"/>
    <cfRule type="duplicateValues" dxfId="346" priority="97"/>
    <cfRule type="duplicateValues" dxfId="345" priority="98"/>
    <cfRule type="duplicateValues" dxfId="344" priority="99"/>
    <cfRule type="duplicateValues" dxfId="343" priority="100"/>
    <cfRule type="duplicateValues" dxfId="342" priority="101"/>
    <cfRule type="duplicateValues" dxfId="341" priority="102"/>
    <cfRule type="duplicateValues" dxfId="340" priority="103"/>
    <cfRule type="duplicateValues" dxfId="339" priority="104"/>
    <cfRule type="duplicateValues" dxfId="338" priority="105"/>
    <cfRule type="duplicateValues" dxfId="337" priority="106"/>
    <cfRule type="duplicateValues" dxfId="336" priority="107"/>
    <cfRule type="duplicateValues" dxfId="335" priority="108"/>
    <cfRule type="duplicateValues" dxfId="334" priority="109"/>
    <cfRule type="duplicateValues" dxfId="333" priority="110"/>
    <cfRule type="duplicateValues" dxfId="332" priority="111"/>
    <cfRule type="duplicateValues" dxfId="331" priority="112"/>
    <cfRule type="duplicateValues" dxfId="330" priority="113"/>
    <cfRule type="duplicateValues" dxfId="329" priority="114"/>
    <cfRule type="duplicateValues" dxfId="328" priority="115"/>
    <cfRule type="duplicateValues" dxfId="327" priority="116"/>
    <cfRule type="duplicateValues" dxfId="326" priority="117"/>
    <cfRule type="duplicateValues" dxfId="325" priority="118"/>
    <cfRule type="duplicateValues" dxfId="324" priority="119"/>
    <cfRule type="duplicateValues" dxfId="323" priority="120"/>
    <cfRule type="duplicateValues" dxfId="322" priority="121"/>
    <cfRule type="duplicateValues" dxfId="321" priority="122"/>
    <cfRule type="duplicateValues" dxfId="320" priority="123"/>
    <cfRule type="duplicateValues" dxfId="319" priority="124"/>
    <cfRule type="duplicateValues" dxfId="318" priority="125"/>
    <cfRule type="duplicateValues" dxfId="317" priority="126"/>
    <cfRule type="duplicateValues" dxfId="316" priority="127"/>
    <cfRule type="duplicateValues" dxfId="315" priority="128"/>
    <cfRule type="duplicateValues" dxfId="314" priority="129"/>
    <cfRule type="duplicateValues" dxfId="313" priority="130"/>
    <cfRule type="duplicateValues" dxfId="312" priority="131"/>
    <cfRule type="duplicateValues" dxfId="311" priority="132"/>
    <cfRule type="duplicateValues" dxfId="310" priority="133"/>
    <cfRule type="duplicateValues" dxfId="309" priority="134"/>
    <cfRule type="duplicateValues" dxfId="308" priority="135"/>
    <cfRule type="duplicateValues" dxfId="307" priority="136"/>
    <cfRule type="duplicateValues" dxfId="306" priority="137"/>
    <cfRule type="duplicateValues" dxfId="305" priority="138"/>
    <cfRule type="duplicateValues" dxfId="304" priority="139"/>
    <cfRule type="duplicateValues" dxfId="303" priority="140"/>
    <cfRule type="duplicateValues" dxfId="302" priority="141"/>
    <cfRule type="duplicateValues" dxfId="301" priority="142"/>
    <cfRule type="duplicateValues" dxfId="300" priority="143"/>
    <cfRule type="duplicateValues" dxfId="299" priority="144"/>
    <cfRule type="duplicateValues" dxfId="298" priority="145"/>
    <cfRule type="duplicateValues" dxfId="297" priority="146"/>
    <cfRule type="duplicateValues" dxfId="296" priority="147"/>
    <cfRule type="duplicateValues" dxfId="295" priority="148"/>
    <cfRule type="duplicateValues" dxfId="294" priority="149"/>
    <cfRule type="duplicateValues" dxfId="293" priority="150"/>
    <cfRule type="duplicateValues" dxfId="292" priority="151"/>
    <cfRule type="duplicateValues" dxfId="291" priority="152"/>
    <cfRule type="duplicateValues" dxfId="290" priority="153"/>
    <cfRule type="duplicateValues" dxfId="289" priority="154"/>
    <cfRule type="duplicateValues" dxfId="288" priority="155"/>
    <cfRule type="duplicateValues" dxfId="287" priority="156"/>
    <cfRule type="duplicateValues" dxfId="286" priority="157"/>
    <cfRule type="duplicateValues" dxfId="285" priority="158"/>
    <cfRule type="duplicateValues" dxfId="284" priority="159"/>
    <cfRule type="duplicateValues" dxfId="283" priority="160"/>
    <cfRule type="duplicateValues" dxfId="282" priority="161"/>
    <cfRule type="duplicateValues" dxfId="281" priority="162"/>
    <cfRule type="duplicateValues" dxfId="280" priority="163"/>
    <cfRule type="duplicateValues" dxfId="279" priority="164"/>
    <cfRule type="duplicateValues" dxfId="278" priority="165"/>
    <cfRule type="duplicateValues" dxfId="277" priority="166"/>
    <cfRule type="duplicateValues" dxfId="276" priority="167"/>
    <cfRule type="duplicateValues" dxfId="275" priority="168"/>
    <cfRule type="duplicateValues" dxfId="274" priority="169"/>
    <cfRule type="duplicateValues" dxfId="273" priority="170"/>
    <cfRule type="duplicateValues" dxfId="272" priority="171"/>
    <cfRule type="duplicateValues" dxfId="271" priority="172"/>
    <cfRule type="duplicateValues" dxfId="270" priority="173"/>
    <cfRule type="duplicateValues" dxfId="269" priority="174"/>
    <cfRule type="duplicateValues" dxfId="268" priority="175"/>
    <cfRule type="duplicateValues" dxfId="267" priority="176"/>
    <cfRule type="duplicateValues" dxfId="266" priority="177"/>
    <cfRule type="duplicateValues" dxfId="265" priority="178"/>
    <cfRule type="duplicateValues" dxfId="264" priority="179"/>
    <cfRule type="duplicateValues" dxfId="263" priority="180"/>
    <cfRule type="duplicateValues" dxfId="262" priority="181"/>
    <cfRule type="duplicateValues" dxfId="261" priority="182"/>
    <cfRule type="duplicateValues" dxfId="260" priority="183"/>
    <cfRule type="duplicateValues" dxfId="259" priority="184"/>
    <cfRule type="duplicateValues" dxfId="258" priority="185"/>
    <cfRule type="duplicateValues" dxfId="257" priority="186"/>
    <cfRule type="duplicateValues" dxfId="256" priority="187"/>
    <cfRule type="duplicateValues" dxfId="255" priority="188"/>
    <cfRule type="duplicateValues" dxfId="254" priority="189"/>
    <cfRule type="duplicateValues" dxfId="253" priority="190"/>
    <cfRule type="duplicateValues" dxfId="252" priority="191"/>
    <cfRule type="duplicateValues" dxfId="251" priority="192"/>
    <cfRule type="duplicateValues" dxfId="250" priority="193"/>
    <cfRule type="duplicateValues" dxfId="249" priority="194"/>
    <cfRule type="duplicateValues" dxfId="248" priority="195"/>
    <cfRule type="duplicateValues" dxfId="247" priority="196"/>
    <cfRule type="duplicateValues" dxfId="246" priority="197"/>
    <cfRule type="duplicateValues" dxfId="245" priority="198"/>
    <cfRule type="duplicateValues" dxfId="244" priority="199"/>
    <cfRule type="duplicateValues" dxfId="243" priority="200"/>
    <cfRule type="duplicateValues" dxfId="242" priority="201"/>
    <cfRule type="duplicateValues" dxfId="241" priority="202"/>
    <cfRule type="duplicateValues" dxfId="240" priority="203"/>
    <cfRule type="duplicateValues" dxfId="239" priority="204"/>
    <cfRule type="duplicateValues" dxfId="238" priority="205"/>
    <cfRule type="duplicateValues" dxfId="237" priority="206"/>
    <cfRule type="duplicateValues" dxfId="236" priority="207"/>
    <cfRule type="duplicateValues" dxfId="235" priority="208"/>
    <cfRule type="duplicateValues" dxfId="234" priority="209"/>
    <cfRule type="duplicateValues" dxfId="233" priority="210"/>
    <cfRule type="duplicateValues" dxfId="232" priority="211"/>
    <cfRule type="duplicateValues" dxfId="231" priority="212"/>
    <cfRule type="duplicateValues" dxfId="230" priority="213"/>
    <cfRule type="duplicateValues" dxfId="229" priority="214"/>
    <cfRule type="duplicateValues" dxfId="228" priority="215"/>
    <cfRule type="duplicateValues" dxfId="227" priority="216"/>
    <cfRule type="duplicateValues" dxfId="226" priority="217"/>
    <cfRule type="duplicateValues" dxfId="225" priority="218"/>
    <cfRule type="duplicateValues" dxfId="224" priority="219"/>
    <cfRule type="duplicateValues" dxfId="223" priority="220"/>
    <cfRule type="duplicateValues" dxfId="222" priority="221"/>
    <cfRule type="duplicateValues" dxfId="221" priority="222"/>
    <cfRule type="duplicateValues" dxfId="220" priority="223"/>
    <cfRule type="duplicateValues" dxfId="219" priority="224"/>
    <cfRule type="duplicateValues" dxfId="218" priority="225"/>
    <cfRule type="duplicateValues" dxfId="217" priority="226"/>
    <cfRule type="duplicateValues" dxfId="216" priority="227"/>
    <cfRule type="duplicateValues" dxfId="215" priority="228"/>
    <cfRule type="duplicateValues" dxfId="214" priority="229"/>
    <cfRule type="duplicateValues" dxfId="213" priority="230"/>
    <cfRule type="duplicateValues" dxfId="212" priority="231"/>
    <cfRule type="duplicateValues" dxfId="211" priority="232"/>
    <cfRule type="duplicateValues" dxfId="210" priority="233"/>
    <cfRule type="duplicateValues" dxfId="209" priority="234"/>
    <cfRule type="duplicateValues" dxfId="208" priority="235"/>
    <cfRule type="duplicateValues" dxfId="207" priority="236"/>
    <cfRule type="duplicateValues" dxfId="206" priority="237"/>
    <cfRule type="duplicateValues" dxfId="205" priority="238"/>
    <cfRule type="duplicateValues" dxfId="204" priority="239"/>
    <cfRule type="duplicateValues" dxfId="203" priority="240"/>
    <cfRule type="duplicateValues" dxfId="202" priority="241"/>
    <cfRule type="duplicateValues" dxfId="201" priority="242"/>
    <cfRule type="duplicateValues" dxfId="200" priority="243"/>
    <cfRule type="duplicateValues" dxfId="199" priority="244"/>
    <cfRule type="duplicateValues" dxfId="198" priority="245"/>
    <cfRule type="duplicateValues" dxfId="197" priority="246"/>
    <cfRule type="duplicateValues" dxfId="196" priority="247"/>
    <cfRule type="duplicateValues" dxfId="195" priority="248"/>
    <cfRule type="duplicateValues" dxfId="194" priority="249"/>
    <cfRule type="duplicateValues" dxfId="193" priority="250"/>
    <cfRule type="duplicateValues" dxfId="192" priority="251"/>
    <cfRule type="duplicateValues" dxfId="191" priority="252"/>
    <cfRule type="duplicateValues" dxfId="190" priority="253"/>
    <cfRule type="duplicateValues" dxfId="189" priority="254"/>
    <cfRule type="duplicateValues" dxfId="188" priority="255"/>
    <cfRule type="duplicateValues" dxfId="187" priority="256"/>
    <cfRule type="duplicateValues" dxfId="186" priority="257"/>
    <cfRule type="duplicateValues" dxfId="185" priority="258"/>
    <cfRule type="duplicateValues" dxfId="184" priority="259"/>
    <cfRule type="duplicateValues" dxfId="183" priority="260"/>
    <cfRule type="duplicateValues" dxfId="182" priority="261"/>
    <cfRule type="duplicateValues" dxfId="181" priority="262"/>
    <cfRule type="duplicateValues" dxfId="180" priority="263"/>
    <cfRule type="duplicateValues" dxfId="179" priority="264"/>
    <cfRule type="duplicateValues" dxfId="178" priority="265"/>
    <cfRule type="duplicateValues" dxfId="177" priority="266"/>
    <cfRule type="duplicateValues" dxfId="176" priority="267"/>
    <cfRule type="duplicateValues" dxfId="175" priority="268"/>
    <cfRule type="duplicateValues" dxfId="174" priority="269"/>
    <cfRule type="duplicateValues" dxfId="173" priority="270"/>
    <cfRule type="duplicateValues" dxfId="172" priority="271"/>
    <cfRule type="duplicateValues" dxfId="171" priority="272"/>
    <cfRule type="duplicateValues" dxfId="170" priority="273"/>
    <cfRule type="duplicateValues" dxfId="169" priority="274"/>
    <cfRule type="duplicateValues" dxfId="168" priority="275"/>
    <cfRule type="duplicateValues" dxfId="167" priority="276"/>
    <cfRule type="duplicateValues" dxfId="166" priority="277"/>
    <cfRule type="duplicateValues" dxfId="165" priority="278"/>
    <cfRule type="duplicateValues" dxfId="164" priority="279"/>
    <cfRule type="duplicateValues" dxfId="163" priority="280"/>
    <cfRule type="duplicateValues" dxfId="162" priority="281"/>
    <cfRule type="duplicateValues" dxfId="161" priority="282"/>
    <cfRule type="duplicateValues" dxfId="160" priority="283"/>
    <cfRule type="duplicateValues" dxfId="159" priority="284"/>
    <cfRule type="duplicateValues" dxfId="158" priority="285"/>
    <cfRule type="duplicateValues" dxfId="157" priority="286"/>
    <cfRule type="duplicateValues" dxfId="156" priority="287"/>
    <cfRule type="duplicateValues" dxfId="155" priority="288"/>
    <cfRule type="duplicateValues" dxfId="154" priority="289"/>
    <cfRule type="duplicateValues" dxfId="153" priority="290"/>
    <cfRule type="duplicateValues" dxfId="152" priority="291"/>
    <cfRule type="duplicateValues" dxfId="151" priority="292"/>
    <cfRule type="duplicateValues" dxfId="150" priority="293"/>
    <cfRule type="duplicateValues" dxfId="149" priority="294"/>
    <cfRule type="duplicateValues" dxfId="148" priority="295"/>
    <cfRule type="duplicateValues" dxfId="147" priority="296"/>
    <cfRule type="duplicateValues" dxfId="146" priority="297"/>
    <cfRule type="duplicateValues" dxfId="145" priority="298"/>
    <cfRule type="duplicateValues" dxfId="144" priority="299"/>
    <cfRule type="duplicateValues" dxfId="143" priority="300"/>
    <cfRule type="duplicateValues" dxfId="142" priority="301"/>
    <cfRule type="duplicateValues" dxfId="141" priority="302"/>
    <cfRule type="duplicateValues" dxfId="140" priority="303"/>
    <cfRule type="duplicateValues" dxfId="139" priority="304"/>
    <cfRule type="duplicateValues" dxfId="138" priority="305"/>
    <cfRule type="duplicateValues" dxfId="137" priority="306"/>
    <cfRule type="duplicateValues" dxfId="136" priority="307"/>
    <cfRule type="duplicateValues" dxfId="135" priority="308"/>
    <cfRule type="duplicateValues" dxfId="134" priority="309"/>
    <cfRule type="duplicateValues" dxfId="133" priority="310"/>
    <cfRule type="duplicateValues" dxfId="132" priority="311"/>
    <cfRule type="duplicateValues" dxfId="131" priority="312"/>
    <cfRule type="duplicateValues" dxfId="130" priority="313"/>
    <cfRule type="duplicateValues" dxfId="129" priority="314"/>
    <cfRule type="duplicateValues" dxfId="128" priority="315"/>
    <cfRule type="duplicateValues" dxfId="127" priority="316"/>
    <cfRule type="duplicateValues" dxfId="126" priority="317"/>
    <cfRule type="duplicateValues" dxfId="125" priority="318"/>
    <cfRule type="duplicateValues" dxfId="124" priority="319"/>
    <cfRule type="duplicateValues" dxfId="123" priority="320"/>
    <cfRule type="duplicateValues" dxfId="122" priority="321"/>
    <cfRule type="duplicateValues" dxfId="121" priority="322"/>
    <cfRule type="duplicateValues" dxfId="120" priority="323"/>
    <cfRule type="duplicateValues" dxfId="119" priority="324"/>
    <cfRule type="duplicateValues" dxfId="118" priority="325"/>
    <cfRule type="duplicateValues" dxfId="117" priority="326"/>
    <cfRule type="duplicateValues" dxfId="116" priority="327"/>
    <cfRule type="duplicateValues" dxfId="115" priority="328"/>
    <cfRule type="duplicateValues" dxfId="114" priority="329"/>
    <cfRule type="duplicateValues" dxfId="113" priority="330"/>
    <cfRule type="duplicateValues" dxfId="112" priority="331"/>
    <cfRule type="duplicateValues" dxfId="111" priority="332"/>
    <cfRule type="duplicateValues" dxfId="110" priority="333"/>
    <cfRule type="duplicateValues" dxfId="109" priority="334"/>
    <cfRule type="duplicateValues" dxfId="108" priority="335"/>
    <cfRule type="duplicateValues" dxfId="107" priority="336"/>
    <cfRule type="duplicateValues" dxfId="106" priority="337"/>
    <cfRule type="duplicateValues" dxfId="105" priority="338"/>
    <cfRule type="duplicateValues" dxfId="104" priority="339"/>
    <cfRule type="duplicateValues" dxfId="103" priority="340"/>
    <cfRule type="duplicateValues" dxfId="102" priority="341"/>
    <cfRule type="duplicateValues" dxfId="101" priority="342"/>
    <cfRule type="duplicateValues" dxfId="100" priority="343"/>
    <cfRule type="duplicateValues" dxfId="99" priority="344"/>
    <cfRule type="duplicateValues" dxfId="98" priority="345"/>
    <cfRule type="duplicateValues" dxfId="97" priority="346"/>
    <cfRule type="duplicateValues" dxfId="96" priority="347"/>
    <cfRule type="duplicateValues" dxfId="95" priority="348"/>
    <cfRule type="duplicateValues" dxfId="94" priority="349"/>
    <cfRule type="duplicateValues" dxfId="93" priority="350"/>
    <cfRule type="duplicateValues" dxfId="92" priority="351"/>
    <cfRule type="duplicateValues" dxfId="91" priority="352"/>
    <cfRule type="duplicateValues" dxfId="90" priority="353"/>
    <cfRule type="duplicateValues" dxfId="89" priority="354"/>
    <cfRule type="duplicateValues" dxfId="88" priority="355"/>
    <cfRule type="duplicateValues" dxfId="87" priority="356"/>
    <cfRule type="duplicateValues" dxfId="86" priority="357"/>
    <cfRule type="duplicateValues" dxfId="85" priority="358"/>
    <cfRule type="duplicateValues" dxfId="84" priority="359"/>
    <cfRule type="duplicateValues" dxfId="83" priority="360"/>
    <cfRule type="duplicateValues" dxfId="82" priority="361"/>
    <cfRule type="duplicateValues" dxfId="81" priority="362"/>
    <cfRule type="duplicateValues" dxfId="80" priority="363"/>
    <cfRule type="duplicateValues" dxfId="79" priority="364"/>
    <cfRule type="duplicateValues" dxfId="78" priority="365"/>
    <cfRule type="duplicateValues" dxfId="77" priority="366"/>
    <cfRule type="duplicateValues" dxfId="76" priority="367"/>
    <cfRule type="duplicateValues" dxfId="75" priority="368"/>
    <cfRule type="duplicateValues" dxfId="74" priority="369"/>
    <cfRule type="duplicateValues" dxfId="73" priority="370"/>
    <cfRule type="duplicateValues" dxfId="72" priority="371"/>
    <cfRule type="duplicateValues" dxfId="71" priority="372"/>
    <cfRule type="duplicateValues" dxfId="70" priority="373"/>
    <cfRule type="duplicateValues" dxfId="69" priority="374"/>
    <cfRule type="duplicateValues" dxfId="68" priority="375"/>
    <cfRule type="duplicateValues" dxfId="67" priority="376"/>
    <cfRule type="duplicateValues" dxfId="66" priority="377"/>
    <cfRule type="duplicateValues" dxfId="65" priority="378"/>
    <cfRule type="duplicateValues" dxfId="64" priority="379"/>
    <cfRule type="duplicateValues" dxfId="63" priority="380"/>
    <cfRule type="duplicateValues" dxfId="62" priority="381"/>
    <cfRule type="duplicateValues" dxfId="61" priority="382"/>
    <cfRule type="duplicateValues" dxfId="60" priority="383"/>
    <cfRule type="duplicateValues" dxfId="59" priority="384"/>
    <cfRule type="duplicateValues" dxfId="58" priority="385"/>
    <cfRule type="duplicateValues" dxfId="57" priority="386"/>
    <cfRule type="duplicateValues" dxfId="56" priority="387"/>
    <cfRule type="duplicateValues" dxfId="55" priority="388"/>
    <cfRule type="duplicateValues" dxfId="54" priority="389"/>
    <cfRule type="duplicateValues" dxfId="53" priority="390"/>
    <cfRule type="duplicateValues" dxfId="52" priority="736"/>
    <cfRule type="duplicateValues" dxfId="51" priority="737"/>
    <cfRule type="duplicateValues" dxfId="50" priority="738"/>
    <cfRule type="duplicateValues" dxfId="49" priority="739"/>
    <cfRule type="duplicateValues" dxfId="48" priority="740"/>
    <cfRule type="duplicateValues" dxfId="47" priority="741"/>
    <cfRule type="duplicateValues" dxfId="46" priority="742"/>
    <cfRule type="duplicateValues" dxfId="45" priority="743"/>
    <cfRule type="duplicateValues" dxfId="44" priority="744"/>
    <cfRule type="duplicateValues" dxfId="43" priority="745"/>
    <cfRule type="duplicateValues" dxfId="42" priority="746"/>
    <cfRule type="duplicateValues" dxfId="41" priority="747"/>
    <cfRule type="duplicateValues" dxfId="40" priority="748"/>
    <cfRule type="duplicateValues" dxfId="39" priority="749"/>
    <cfRule type="duplicateValues" dxfId="38" priority="750"/>
    <cfRule type="duplicateValues" dxfId="37" priority="751"/>
    <cfRule type="duplicateValues" dxfId="36" priority="752"/>
    <cfRule type="duplicateValues" dxfId="35" priority="753"/>
    <cfRule type="duplicateValues" dxfId="34" priority="754"/>
    <cfRule type="duplicateValues" dxfId="33" priority="755"/>
    <cfRule type="duplicateValues" dxfId="32" priority="756"/>
    <cfRule type="duplicateValues" dxfId="31" priority="757"/>
    <cfRule type="duplicateValues" dxfId="30" priority="758"/>
    <cfRule type="duplicateValues" dxfId="29" priority="759"/>
    <cfRule type="duplicateValues" dxfId="28" priority="760"/>
    <cfRule type="duplicateValues" dxfId="27" priority="761"/>
    <cfRule type="duplicateValues" dxfId="26" priority="762"/>
    <cfRule type="duplicateValues" dxfId="25" priority="763"/>
    <cfRule type="duplicateValues" dxfId="24" priority="764"/>
    <cfRule type="duplicateValues" dxfId="23" priority="765"/>
    <cfRule type="duplicateValues" dxfId="22" priority="766"/>
    <cfRule type="duplicateValues" dxfId="21" priority="767"/>
    <cfRule type="duplicateValues" dxfId="20" priority="768"/>
    <cfRule type="duplicateValues" dxfId="19" priority="769"/>
    <cfRule type="duplicateValues" dxfId="18" priority="770"/>
    <cfRule type="duplicateValues" dxfId="17" priority="771"/>
    <cfRule type="duplicateValues" dxfId="16" priority="772"/>
    <cfRule type="duplicateValues" dxfId="15" priority="773"/>
    <cfRule type="duplicateValues" dxfId="14" priority="774"/>
    <cfRule type="duplicateValues" dxfId="13" priority="775"/>
    <cfRule type="duplicateValues" dxfId="12" priority="776"/>
    <cfRule type="duplicateValues" dxfId="11" priority="777"/>
    <cfRule type="duplicateValues" dxfId="10" priority="778"/>
    <cfRule type="duplicateValues" dxfId="9" priority="779"/>
    <cfRule type="duplicateValues" dxfId="8" priority="780"/>
    <cfRule type="duplicateValues" dxfId="7" priority="781"/>
    <cfRule type="duplicateValues" dxfId="6" priority="782"/>
    <cfRule type="duplicateValues" dxfId="5" priority="783"/>
    <cfRule type="duplicateValues" dxfId="4" priority="784"/>
    <cfRule type="duplicateValues" dxfId="3" priority="785"/>
    <cfRule type="duplicateValues" dxfId="2" priority="786"/>
    <cfRule type="duplicateValues" dxfId="1" priority="787"/>
    <cfRule type="duplicateValues" dxfId="0" priority="788"/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6E15E5A-268C-424A-9E6D-7F0BD064195F}">
            <xm:f>NOT(ISERROR(SEARCH($E$9,B2)))</xm:f>
            <xm:f>$E$9</xm:f>
            <x14:dxf>
              <fill>
                <patternFill patternType="solid">
                  <bgColor theme="7" tint="0.39991454817346722"/>
                </patternFill>
              </fill>
            </x14:dxf>
          </x14:cfRule>
          <x14:cfRule type="containsText" priority="2" operator="containsText" id="{DEAFBD37-AEB1-426D-B066-9875F7D70C2C}">
            <xm:f>NOT(ISERROR(SEARCH($E$8,B2)))</xm:f>
            <xm:f>$E$8</xm:f>
            <x14:dxf>
              <fill>
                <patternFill patternType="solid">
                  <bgColor theme="4" tint="0.59996337778862885"/>
                </patternFill>
              </fill>
            </x14:dxf>
          </x14:cfRule>
          <x14:cfRule type="containsText" priority="3" operator="containsText" id="{D398DE6E-6541-4A4E-B3FF-23EFFC9E505B}">
            <xm:f>NOT(ISERROR(SEARCH($E$7,B2)))</xm:f>
            <xm:f>$E$7</xm:f>
            <x14:dxf>
              <fill>
                <patternFill patternType="solid">
                  <bgColor theme="4" tint="0.59996337778862885"/>
                </patternFill>
              </fill>
            </x14:dxf>
          </x14:cfRule>
          <x14:cfRule type="containsText" priority="4" operator="containsText" id="{F6438E1E-F2A5-4A78-8201-4C98E3C42DE3}">
            <xm:f>NOT(ISERROR(SEARCH($E$9,B2)))</xm:f>
            <xm:f>$E$9</xm:f>
            <x14:dxf>
              <fill>
                <patternFill patternType="solid">
                  <bgColor theme="7" tint="0.39991454817346722"/>
                </patternFill>
              </fill>
            </x14:dxf>
          </x14:cfRule>
          <x14:cfRule type="containsText" priority="5" operator="containsText" id="{2EA1CCDC-BC2A-4FDA-90AF-0F381D7A2EE7}">
            <xm:f>NOT(ISERROR(SEARCH($E$8,B2)))</xm:f>
            <xm:f>$E$8</xm:f>
            <x14:dxf>
              <fill>
                <patternFill patternType="solid">
                  <bgColor theme="4" tint="0.59996337778862885"/>
                </patternFill>
              </fill>
            </x14:dxf>
          </x14:cfRule>
          <x14:cfRule type="containsText" priority="6" operator="containsText" id="{E6D47CF3-DC63-480B-BE37-5A14C8008E0B}">
            <xm:f>NOT(ISERROR(SEARCH($E$7,B2)))</xm:f>
            <xm:f>$E$7</xm:f>
            <x14:dxf>
              <fill>
                <patternFill patternType="solid">
                  <bgColor theme="4" tint="0.59996337778862885"/>
                </patternFill>
              </fill>
            </x14:dxf>
          </x14:cfRule>
          <xm:sqref>B2:B425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423"/>
  <sheetViews>
    <sheetView workbookViewId="0">
      <selection activeCell="C3" sqref="C3"/>
    </sheetView>
  </sheetViews>
  <sheetFormatPr baseColWidth="10" defaultColWidth="14.42578125" defaultRowHeight="15" customHeight="1"/>
  <cols>
    <col min="1" max="1" width="45.7109375" customWidth="1"/>
  </cols>
  <sheetData>
    <row r="1" spans="1:7">
      <c r="A1" s="19">
        <v>1</v>
      </c>
      <c r="B1" s="20"/>
      <c r="C1" s="20"/>
      <c r="D1" s="19">
        <v>19</v>
      </c>
      <c r="E1" s="21"/>
      <c r="F1" s="20"/>
      <c r="G1" s="21"/>
    </row>
    <row r="2" spans="1:7" ht="15" customHeight="1">
      <c r="A2" s="23" t="s">
        <v>566</v>
      </c>
      <c r="B2" s="24" t="s">
        <v>570</v>
      </c>
      <c r="C2" s="25" t="s">
        <v>571</v>
      </c>
      <c r="D2" s="25" t="s">
        <v>572</v>
      </c>
      <c r="E2" s="25" t="s">
        <v>573</v>
      </c>
      <c r="F2" s="25" t="s">
        <v>574</v>
      </c>
      <c r="G2" s="26" t="s">
        <v>575</v>
      </c>
    </row>
    <row r="3" spans="1:7" ht="15.75">
      <c r="A3" s="27" t="s">
        <v>50</v>
      </c>
      <c r="B3" s="28">
        <v>0</v>
      </c>
      <c r="C3" s="28">
        <v>50</v>
      </c>
      <c r="D3" s="28">
        <v>48</v>
      </c>
      <c r="E3" s="28">
        <v>12</v>
      </c>
      <c r="F3" s="28">
        <v>578</v>
      </c>
      <c r="G3" s="29"/>
    </row>
    <row r="4" spans="1:7" ht="15.75">
      <c r="A4" s="27" t="s">
        <v>576</v>
      </c>
      <c r="B4" s="28">
        <v>0</v>
      </c>
      <c r="C4" s="28">
        <v>26</v>
      </c>
      <c r="D4" s="28">
        <v>28</v>
      </c>
      <c r="E4" s="28">
        <v>12</v>
      </c>
      <c r="F4" s="28">
        <v>334</v>
      </c>
      <c r="G4" s="29"/>
    </row>
    <row r="5" spans="1:7" ht="15.75">
      <c r="A5" s="27" t="s">
        <v>551</v>
      </c>
      <c r="B5" s="28">
        <v>0</v>
      </c>
      <c r="C5" s="28">
        <v>28</v>
      </c>
      <c r="D5" s="28">
        <v>33</v>
      </c>
      <c r="E5" s="28">
        <v>12</v>
      </c>
      <c r="F5" s="28">
        <v>391</v>
      </c>
      <c r="G5" s="29"/>
    </row>
    <row r="6" spans="1:7" ht="15.75">
      <c r="A6" s="27" t="s">
        <v>498</v>
      </c>
      <c r="B6" s="28">
        <v>0</v>
      </c>
      <c r="C6" s="28">
        <v>44</v>
      </c>
      <c r="D6" s="28">
        <v>40</v>
      </c>
      <c r="E6" s="28">
        <v>12</v>
      </c>
      <c r="F6" s="28">
        <v>484</v>
      </c>
      <c r="G6" s="29"/>
    </row>
    <row r="7" spans="1:7" ht="15.75">
      <c r="A7" s="27" t="s">
        <v>70</v>
      </c>
      <c r="B7" s="28">
        <v>0</v>
      </c>
      <c r="C7" s="28">
        <v>50</v>
      </c>
      <c r="D7" s="28">
        <v>53</v>
      </c>
      <c r="E7" s="28">
        <v>12</v>
      </c>
      <c r="F7" s="28">
        <v>633</v>
      </c>
      <c r="G7" s="29"/>
    </row>
    <row r="8" spans="1:7" ht="15.75">
      <c r="A8" s="27" t="s">
        <v>153</v>
      </c>
      <c r="B8" s="28">
        <v>0</v>
      </c>
      <c r="C8" s="28">
        <v>112</v>
      </c>
      <c r="D8" s="28">
        <v>117</v>
      </c>
      <c r="E8" s="28">
        <v>12</v>
      </c>
      <c r="F8" s="28">
        <v>1399</v>
      </c>
      <c r="G8" s="29"/>
    </row>
    <row r="9" spans="1:7" ht="15.75">
      <c r="A9" s="27" t="s">
        <v>553</v>
      </c>
      <c r="B9" s="28">
        <v>0</v>
      </c>
      <c r="C9" s="28">
        <v>34</v>
      </c>
      <c r="D9" s="28">
        <v>29</v>
      </c>
      <c r="E9" s="28">
        <v>12</v>
      </c>
      <c r="F9" s="28">
        <v>353</v>
      </c>
      <c r="G9" s="29"/>
    </row>
    <row r="10" spans="1:7" ht="15.75">
      <c r="A10" s="27" t="s">
        <v>77</v>
      </c>
      <c r="B10" s="28">
        <v>0</v>
      </c>
      <c r="C10" s="28">
        <v>130</v>
      </c>
      <c r="D10" s="28">
        <v>129</v>
      </c>
      <c r="E10" s="28">
        <v>12</v>
      </c>
      <c r="F10" s="28">
        <v>1549</v>
      </c>
      <c r="G10" s="29"/>
    </row>
    <row r="11" spans="1:7" ht="15.75">
      <c r="A11" s="27" t="s">
        <v>78</v>
      </c>
      <c r="B11" s="28">
        <v>0</v>
      </c>
      <c r="C11" s="28">
        <v>60</v>
      </c>
      <c r="D11" s="28">
        <v>64</v>
      </c>
      <c r="E11" s="28">
        <v>12</v>
      </c>
      <c r="F11" s="28">
        <v>764</v>
      </c>
      <c r="G11" s="29"/>
    </row>
    <row r="12" spans="1:7" ht="15.75">
      <c r="A12" s="27" t="s">
        <v>86</v>
      </c>
      <c r="B12" s="28">
        <v>0</v>
      </c>
      <c r="C12" s="28">
        <v>138</v>
      </c>
      <c r="D12" s="28">
        <v>140</v>
      </c>
      <c r="E12" s="28">
        <v>12</v>
      </c>
      <c r="F12" s="28">
        <v>1678</v>
      </c>
      <c r="G12" s="29"/>
    </row>
    <row r="13" spans="1:7" ht="15.75">
      <c r="A13" s="27" t="s">
        <v>93</v>
      </c>
      <c r="B13" s="28">
        <v>0</v>
      </c>
      <c r="C13" s="28">
        <v>188</v>
      </c>
      <c r="D13" s="28">
        <v>183</v>
      </c>
      <c r="E13" s="28">
        <v>12</v>
      </c>
      <c r="F13" s="28">
        <v>2201</v>
      </c>
      <c r="G13" s="29"/>
    </row>
    <row r="14" spans="1:7" ht="15.75">
      <c r="A14" s="27" t="s">
        <v>449</v>
      </c>
      <c r="B14" s="28">
        <v>0</v>
      </c>
      <c r="C14" s="28">
        <v>236</v>
      </c>
      <c r="D14" s="28">
        <v>233</v>
      </c>
      <c r="E14" s="28">
        <v>12</v>
      </c>
      <c r="F14" s="28">
        <v>2799</v>
      </c>
      <c r="G14" s="29"/>
    </row>
    <row r="15" spans="1:7" ht="15.75">
      <c r="A15" s="27" t="s">
        <v>189</v>
      </c>
      <c r="B15" s="28">
        <v>0</v>
      </c>
      <c r="C15" s="28">
        <v>36</v>
      </c>
      <c r="D15" s="28">
        <v>39</v>
      </c>
      <c r="E15" s="28">
        <v>12</v>
      </c>
      <c r="F15" s="28">
        <v>465</v>
      </c>
      <c r="G15" s="29"/>
    </row>
    <row r="16" spans="1:7" ht="15.75">
      <c r="A16" s="27" t="s">
        <v>95</v>
      </c>
      <c r="B16" s="28">
        <v>0</v>
      </c>
      <c r="C16" s="28">
        <v>36</v>
      </c>
      <c r="D16" s="28">
        <v>39</v>
      </c>
      <c r="E16" s="28">
        <v>12</v>
      </c>
      <c r="F16" s="28">
        <v>465</v>
      </c>
      <c r="G16" s="29"/>
    </row>
    <row r="17" spans="1:7" ht="15.75">
      <c r="A17" s="27" t="s">
        <v>148</v>
      </c>
      <c r="B17" s="28">
        <v>0</v>
      </c>
      <c r="C17" s="28">
        <v>96</v>
      </c>
      <c r="D17" s="28">
        <v>93</v>
      </c>
      <c r="E17" s="28">
        <v>12</v>
      </c>
      <c r="F17" s="28">
        <v>1119</v>
      </c>
      <c r="G17" s="29"/>
    </row>
    <row r="18" spans="1:7" ht="15.75">
      <c r="A18" s="27" t="s">
        <v>312</v>
      </c>
      <c r="B18" s="28">
        <v>0</v>
      </c>
      <c r="C18" s="28">
        <v>34</v>
      </c>
      <c r="D18" s="28">
        <v>29</v>
      </c>
      <c r="E18" s="28">
        <v>12</v>
      </c>
      <c r="F18" s="28">
        <v>353</v>
      </c>
      <c r="G18" s="29"/>
    </row>
    <row r="19" spans="1:7" ht="15.75">
      <c r="A19" s="27" t="s">
        <v>317</v>
      </c>
      <c r="B19" s="28">
        <v>0</v>
      </c>
      <c r="C19" s="28">
        <v>44</v>
      </c>
      <c r="D19" s="28">
        <v>40</v>
      </c>
      <c r="E19" s="28">
        <v>12</v>
      </c>
      <c r="F19" s="28">
        <v>484</v>
      </c>
      <c r="G19" s="29"/>
    </row>
    <row r="20" spans="1:7" ht="15.75">
      <c r="A20" s="27" t="s">
        <v>171</v>
      </c>
      <c r="B20" s="28">
        <v>0</v>
      </c>
      <c r="C20" s="28">
        <v>72</v>
      </c>
      <c r="D20" s="28">
        <v>68</v>
      </c>
      <c r="E20" s="28">
        <v>12</v>
      </c>
      <c r="F20" s="28">
        <v>820</v>
      </c>
      <c r="G20" s="29"/>
    </row>
    <row r="21" spans="1:7" ht="15.75">
      <c r="A21" s="27" t="s">
        <v>106</v>
      </c>
      <c r="B21" s="28">
        <v>0</v>
      </c>
      <c r="C21" s="28">
        <v>74</v>
      </c>
      <c r="D21" s="28">
        <v>73</v>
      </c>
      <c r="E21" s="28">
        <v>12</v>
      </c>
      <c r="F21" s="28">
        <v>877</v>
      </c>
      <c r="G21" s="29"/>
    </row>
    <row r="22" spans="1:7" ht="15.75">
      <c r="A22" s="27" t="s">
        <v>109</v>
      </c>
      <c r="B22" s="28">
        <v>0</v>
      </c>
      <c r="C22" s="28">
        <v>128</v>
      </c>
      <c r="D22" s="28">
        <v>124</v>
      </c>
      <c r="E22" s="28">
        <v>12</v>
      </c>
      <c r="F22" s="28">
        <v>1492</v>
      </c>
      <c r="G22" s="29"/>
    </row>
    <row r="23" spans="1:7" ht="15.75">
      <c r="A23" s="27" t="s">
        <v>112</v>
      </c>
      <c r="B23" s="28">
        <v>0</v>
      </c>
      <c r="C23" s="28">
        <v>50</v>
      </c>
      <c r="D23" s="28">
        <v>48</v>
      </c>
      <c r="E23" s="28">
        <v>12</v>
      </c>
      <c r="F23" s="28">
        <v>578</v>
      </c>
      <c r="G23" s="29"/>
    </row>
    <row r="24" spans="1:7" ht="15.75">
      <c r="A24" s="27" t="s">
        <v>233</v>
      </c>
      <c r="B24" s="28">
        <v>0</v>
      </c>
      <c r="C24" s="28">
        <v>36</v>
      </c>
      <c r="D24" s="28">
        <v>39</v>
      </c>
      <c r="E24" s="28">
        <v>12</v>
      </c>
      <c r="F24" s="28">
        <v>465</v>
      </c>
      <c r="G24" s="29"/>
    </row>
    <row r="25" spans="1:7" ht="15.75">
      <c r="A25" s="27" t="s">
        <v>124</v>
      </c>
      <c r="B25" s="28">
        <v>0</v>
      </c>
      <c r="C25" s="28">
        <v>268</v>
      </c>
      <c r="D25" s="28">
        <v>264</v>
      </c>
      <c r="E25" s="28">
        <v>12</v>
      </c>
      <c r="F25" s="28">
        <v>3172</v>
      </c>
      <c r="G25" s="29"/>
    </row>
    <row r="26" spans="1:7" ht="15.75">
      <c r="A26" s="27" t="s">
        <v>126</v>
      </c>
      <c r="B26" s="28">
        <v>0</v>
      </c>
      <c r="C26" s="28">
        <v>152</v>
      </c>
      <c r="D26" s="28">
        <v>149</v>
      </c>
      <c r="E26" s="28">
        <v>12</v>
      </c>
      <c r="F26" s="28">
        <v>1791</v>
      </c>
      <c r="G26" s="29"/>
    </row>
    <row r="27" spans="1:7" ht="15.75">
      <c r="A27" s="27" t="s">
        <v>135</v>
      </c>
      <c r="B27" s="28">
        <v>0</v>
      </c>
      <c r="C27" s="28">
        <v>160</v>
      </c>
      <c r="D27" s="28">
        <v>155</v>
      </c>
      <c r="E27" s="28">
        <v>12</v>
      </c>
      <c r="F27" s="28">
        <v>1865</v>
      </c>
      <c r="G27" s="29"/>
    </row>
    <row r="28" spans="1:7" ht="15.75">
      <c r="A28" s="27" t="s">
        <v>182</v>
      </c>
      <c r="B28" s="28">
        <v>0</v>
      </c>
      <c r="C28" s="28">
        <v>60</v>
      </c>
      <c r="D28" s="28">
        <v>64</v>
      </c>
      <c r="E28" s="28">
        <v>12</v>
      </c>
      <c r="F28" s="28">
        <v>764</v>
      </c>
      <c r="G28" s="29"/>
    </row>
    <row r="29" spans="1:7" ht="15.75">
      <c r="A29" s="27" t="s">
        <v>165</v>
      </c>
      <c r="B29" s="28">
        <v>0</v>
      </c>
      <c r="C29" s="28">
        <v>74</v>
      </c>
      <c r="D29" s="28">
        <v>78</v>
      </c>
      <c r="E29" s="28">
        <v>12</v>
      </c>
      <c r="F29" s="28">
        <v>932</v>
      </c>
      <c r="G29" s="29"/>
    </row>
    <row r="30" spans="1:7" ht="15.75">
      <c r="A30" s="27" t="s">
        <v>427</v>
      </c>
      <c r="B30" s="28">
        <v>0</v>
      </c>
      <c r="C30" s="28">
        <v>300</v>
      </c>
      <c r="D30" s="28">
        <v>295</v>
      </c>
      <c r="E30" s="28">
        <v>12</v>
      </c>
      <c r="F30" s="28">
        <v>3545</v>
      </c>
      <c r="G30" s="29"/>
    </row>
    <row r="31" spans="1:7" ht="15.75">
      <c r="A31" s="27" t="s">
        <v>138</v>
      </c>
      <c r="B31" s="28">
        <v>0</v>
      </c>
      <c r="C31" s="28">
        <v>116</v>
      </c>
      <c r="D31" s="28">
        <v>115</v>
      </c>
      <c r="E31" s="28">
        <v>12</v>
      </c>
      <c r="F31" s="28">
        <v>1381</v>
      </c>
      <c r="G31" s="29"/>
    </row>
    <row r="32" spans="1:7" ht="15.75">
      <c r="A32" s="27" t="s">
        <v>169</v>
      </c>
      <c r="B32" s="28">
        <v>0</v>
      </c>
      <c r="C32" s="28">
        <v>134</v>
      </c>
      <c r="D32" s="28">
        <v>137</v>
      </c>
      <c r="E32" s="28">
        <v>12</v>
      </c>
      <c r="F32" s="28">
        <v>1641</v>
      </c>
      <c r="G32" s="29"/>
    </row>
    <row r="33" spans="1:7" ht="15.75">
      <c r="A33" s="27" t="s">
        <v>195</v>
      </c>
      <c r="B33" s="28">
        <v>0</v>
      </c>
      <c r="C33" s="28">
        <v>128</v>
      </c>
      <c r="D33" s="28">
        <v>124</v>
      </c>
      <c r="E33" s="28">
        <v>12</v>
      </c>
      <c r="F33" s="28">
        <v>1492</v>
      </c>
      <c r="G33" s="29"/>
    </row>
    <row r="34" spans="1:7" ht="15.75">
      <c r="A34" s="27" t="s">
        <v>275</v>
      </c>
      <c r="B34" s="28">
        <v>0</v>
      </c>
      <c r="C34" s="28">
        <v>50</v>
      </c>
      <c r="D34" s="28">
        <v>53</v>
      </c>
      <c r="E34" s="28">
        <v>12</v>
      </c>
      <c r="F34" s="28">
        <v>633</v>
      </c>
      <c r="G34" s="29"/>
    </row>
    <row r="35" spans="1:7" ht="15.75">
      <c r="A35" s="27" t="s">
        <v>175</v>
      </c>
      <c r="B35" s="28">
        <v>0</v>
      </c>
      <c r="C35" s="28">
        <v>462</v>
      </c>
      <c r="D35" s="28">
        <v>467</v>
      </c>
      <c r="E35" s="28">
        <v>12</v>
      </c>
      <c r="F35" s="28">
        <v>5599</v>
      </c>
      <c r="G35" s="29"/>
    </row>
    <row r="36" spans="1:7" ht="15.75">
      <c r="A36" s="27" t="s">
        <v>554</v>
      </c>
      <c r="B36" s="28">
        <v>0</v>
      </c>
      <c r="C36" s="28">
        <v>26</v>
      </c>
      <c r="D36" s="28">
        <v>23</v>
      </c>
      <c r="E36" s="28">
        <v>12</v>
      </c>
      <c r="F36" s="28">
        <v>279</v>
      </c>
      <c r="G36" s="29"/>
    </row>
    <row r="37" spans="1:7" ht="15.75">
      <c r="A37" s="27" t="s">
        <v>250</v>
      </c>
      <c r="B37" s="28">
        <v>0</v>
      </c>
      <c r="C37" s="28">
        <v>106</v>
      </c>
      <c r="D37" s="28">
        <v>104</v>
      </c>
      <c r="E37" s="28">
        <v>12</v>
      </c>
      <c r="F37" s="28">
        <v>1250</v>
      </c>
      <c r="G37" s="29"/>
    </row>
    <row r="38" spans="1:7" ht="15.75">
      <c r="A38" s="27" t="s">
        <v>279</v>
      </c>
      <c r="B38" s="28">
        <v>0</v>
      </c>
      <c r="C38" s="28">
        <v>624</v>
      </c>
      <c r="D38" s="28">
        <v>622</v>
      </c>
      <c r="E38" s="28">
        <v>12</v>
      </c>
      <c r="F38" s="28">
        <v>7466</v>
      </c>
      <c r="G38" s="29"/>
    </row>
    <row r="39" spans="1:7" ht="15.75">
      <c r="A39" s="27" t="s">
        <v>236</v>
      </c>
      <c r="B39" s="28">
        <v>0</v>
      </c>
      <c r="C39" s="28">
        <v>12</v>
      </c>
      <c r="D39" s="28">
        <v>14</v>
      </c>
      <c r="E39" s="28">
        <v>12</v>
      </c>
      <c r="F39" s="28">
        <v>166</v>
      </c>
      <c r="G39" s="29"/>
    </row>
    <row r="40" spans="1:7" ht="15.75">
      <c r="A40" s="27" t="s">
        <v>320</v>
      </c>
      <c r="B40" s="28">
        <v>0</v>
      </c>
      <c r="C40" s="28">
        <v>22</v>
      </c>
      <c r="D40" s="28">
        <v>25</v>
      </c>
      <c r="E40" s="28">
        <v>12</v>
      </c>
      <c r="F40" s="28">
        <v>297</v>
      </c>
      <c r="G40" s="29"/>
    </row>
    <row r="41" spans="1:7" ht="15.75">
      <c r="A41" s="27" t="s">
        <v>331</v>
      </c>
      <c r="B41" s="28">
        <v>0</v>
      </c>
      <c r="C41" s="28">
        <v>64</v>
      </c>
      <c r="D41" s="28">
        <v>62</v>
      </c>
      <c r="E41" s="28">
        <v>12</v>
      </c>
      <c r="F41" s="28">
        <v>746</v>
      </c>
      <c r="G41" s="29"/>
    </row>
    <row r="42" spans="1:7" ht="15.75">
      <c r="A42" s="27" t="s">
        <v>376</v>
      </c>
      <c r="B42" s="28">
        <v>0</v>
      </c>
      <c r="C42" s="28">
        <v>246</v>
      </c>
      <c r="D42" s="28">
        <v>249</v>
      </c>
      <c r="E42" s="28">
        <v>12</v>
      </c>
      <c r="F42" s="28">
        <v>2985</v>
      </c>
      <c r="G42" s="29"/>
    </row>
    <row r="43" spans="1:7" ht="15.75">
      <c r="A43" s="27" t="s">
        <v>387</v>
      </c>
      <c r="B43" s="28">
        <v>0</v>
      </c>
      <c r="C43" s="28">
        <v>268</v>
      </c>
      <c r="D43" s="28">
        <v>264</v>
      </c>
      <c r="E43" s="28">
        <v>12</v>
      </c>
      <c r="F43" s="28">
        <v>3172</v>
      </c>
      <c r="G43" s="29"/>
    </row>
    <row r="44" spans="1:7" ht="15.75">
      <c r="A44" s="27" t="s">
        <v>334</v>
      </c>
      <c r="B44" s="28">
        <v>0</v>
      </c>
      <c r="C44" s="28">
        <v>106</v>
      </c>
      <c r="D44" s="28">
        <v>109</v>
      </c>
      <c r="E44" s="28">
        <v>12</v>
      </c>
      <c r="F44" s="28">
        <v>1305</v>
      </c>
      <c r="G44" s="29"/>
    </row>
    <row r="45" spans="1:7" ht="15.75">
      <c r="A45" s="27" t="s">
        <v>393</v>
      </c>
      <c r="B45" s="28">
        <v>0</v>
      </c>
      <c r="C45" s="28">
        <v>76</v>
      </c>
      <c r="D45" s="28">
        <v>71</v>
      </c>
      <c r="E45" s="28">
        <v>12</v>
      </c>
      <c r="F45" s="28">
        <v>857</v>
      </c>
      <c r="G45" s="29"/>
    </row>
    <row r="46" spans="1:7" ht="15.75">
      <c r="A46" s="27" t="s">
        <v>181</v>
      </c>
      <c r="B46" s="28">
        <v>0</v>
      </c>
      <c r="C46" s="28">
        <v>36</v>
      </c>
      <c r="D46" s="28">
        <v>34</v>
      </c>
      <c r="E46" s="28">
        <v>12</v>
      </c>
      <c r="F46" s="28">
        <v>410</v>
      </c>
      <c r="G46" s="29"/>
    </row>
    <row r="47" spans="1:7" ht="15.75">
      <c r="A47" s="27" t="s">
        <v>402</v>
      </c>
      <c r="B47" s="28">
        <v>0</v>
      </c>
      <c r="C47" s="28">
        <v>68</v>
      </c>
      <c r="D47" s="28">
        <v>70</v>
      </c>
      <c r="E47" s="28">
        <v>12</v>
      </c>
      <c r="F47" s="28">
        <v>838</v>
      </c>
      <c r="G47" s="29"/>
    </row>
    <row r="48" spans="1:7" ht="15.75">
      <c r="A48" s="27" t="s">
        <v>206</v>
      </c>
      <c r="B48" s="28">
        <v>0</v>
      </c>
      <c r="C48" s="28">
        <v>34</v>
      </c>
      <c r="D48" s="28">
        <v>29</v>
      </c>
      <c r="E48" s="28">
        <v>12</v>
      </c>
      <c r="F48" s="28">
        <v>353</v>
      </c>
      <c r="G48" s="29"/>
    </row>
    <row r="49" spans="1:7" ht="15.75">
      <c r="A49" s="27" t="s">
        <v>212</v>
      </c>
      <c r="B49" s="28">
        <v>0</v>
      </c>
      <c r="C49" s="28">
        <v>32</v>
      </c>
      <c r="D49" s="28">
        <v>31</v>
      </c>
      <c r="E49" s="28">
        <v>12</v>
      </c>
      <c r="F49" s="28">
        <v>373</v>
      </c>
      <c r="G49" s="29"/>
    </row>
    <row r="50" spans="1:7" ht="15.75">
      <c r="A50" s="27" t="s">
        <v>409</v>
      </c>
      <c r="B50" s="28">
        <v>0</v>
      </c>
      <c r="C50" s="28">
        <v>78</v>
      </c>
      <c r="D50" s="28">
        <v>76</v>
      </c>
      <c r="E50" s="28">
        <v>12</v>
      </c>
      <c r="F50" s="28">
        <v>914</v>
      </c>
      <c r="G50" s="29"/>
    </row>
    <row r="51" spans="1:7" ht="15.75">
      <c r="A51" s="27" t="s">
        <v>406</v>
      </c>
      <c r="B51" s="28">
        <v>0</v>
      </c>
      <c r="C51" s="28">
        <v>74</v>
      </c>
      <c r="D51" s="28">
        <v>78</v>
      </c>
      <c r="E51" s="28">
        <v>12</v>
      </c>
      <c r="F51" s="28">
        <v>932</v>
      </c>
      <c r="G51" s="29"/>
    </row>
    <row r="52" spans="1:7" ht="15.75">
      <c r="A52" s="27" t="s">
        <v>257</v>
      </c>
      <c r="B52" s="28">
        <v>0</v>
      </c>
      <c r="C52" s="28">
        <v>54</v>
      </c>
      <c r="D52" s="28">
        <v>51</v>
      </c>
      <c r="E52" s="28">
        <v>12</v>
      </c>
      <c r="F52" s="28">
        <v>615</v>
      </c>
      <c r="G52" s="29"/>
    </row>
    <row r="53" spans="1:7" ht="15.75">
      <c r="A53" s="27" t="s">
        <v>141</v>
      </c>
      <c r="B53" s="28">
        <v>0</v>
      </c>
      <c r="C53" s="28">
        <v>50</v>
      </c>
      <c r="D53" s="28">
        <v>48</v>
      </c>
      <c r="E53" s="28">
        <v>12</v>
      </c>
      <c r="F53" s="28">
        <v>578</v>
      </c>
      <c r="G53" s="29"/>
    </row>
    <row r="54" spans="1:7" ht="15.75">
      <c r="A54" s="27" t="s">
        <v>214</v>
      </c>
      <c r="B54" s="28">
        <v>0</v>
      </c>
      <c r="C54" s="28">
        <v>200</v>
      </c>
      <c r="D54" s="28">
        <v>199</v>
      </c>
      <c r="E54" s="28">
        <v>12</v>
      </c>
      <c r="F54" s="28">
        <v>2389</v>
      </c>
      <c r="G54" s="29"/>
    </row>
    <row r="55" spans="1:7" ht="15.75">
      <c r="A55" s="27" t="s">
        <v>413</v>
      </c>
      <c r="B55" s="28">
        <v>0</v>
      </c>
      <c r="C55" s="28">
        <v>36</v>
      </c>
      <c r="D55" s="28">
        <v>39</v>
      </c>
      <c r="E55" s="28">
        <v>12</v>
      </c>
      <c r="F55" s="28">
        <v>465</v>
      </c>
      <c r="G55" s="29"/>
    </row>
    <row r="56" spans="1:7" ht="15.75">
      <c r="A56" s="27" t="s">
        <v>578</v>
      </c>
      <c r="B56" s="28">
        <v>0</v>
      </c>
      <c r="C56" s="28">
        <v>74</v>
      </c>
      <c r="D56" s="28">
        <v>73</v>
      </c>
      <c r="E56" s="28">
        <v>12</v>
      </c>
      <c r="F56" s="28">
        <v>877</v>
      </c>
      <c r="G56" s="29"/>
    </row>
    <row r="57" spans="1:7" ht="15.75">
      <c r="A57" s="27" t="s">
        <v>514</v>
      </c>
      <c r="B57" s="28">
        <v>0</v>
      </c>
      <c r="C57" s="28">
        <v>32</v>
      </c>
      <c r="D57" s="28">
        <v>36</v>
      </c>
      <c r="E57" s="28">
        <v>12</v>
      </c>
      <c r="F57" s="28">
        <v>428</v>
      </c>
      <c r="G57" s="29"/>
    </row>
    <row r="58" spans="1:7" ht="15.75">
      <c r="A58" s="27" t="s">
        <v>520</v>
      </c>
      <c r="B58" s="28">
        <v>0</v>
      </c>
      <c r="C58" s="28">
        <v>42</v>
      </c>
      <c r="D58" s="28">
        <v>47</v>
      </c>
      <c r="E58" s="28">
        <v>12</v>
      </c>
      <c r="F58" s="28">
        <v>559</v>
      </c>
      <c r="G58" s="29"/>
    </row>
    <row r="59" spans="1:7" ht="15.75">
      <c r="A59" s="27" t="s">
        <v>262</v>
      </c>
      <c r="B59" s="28">
        <v>0</v>
      </c>
      <c r="C59" s="28">
        <v>68</v>
      </c>
      <c r="D59" s="28">
        <v>65</v>
      </c>
      <c r="E59" s="28">
        <v>12</v>
      </c>
      <c r="F59" s="28">
        <v>783</v>
      </c>
      <c r="G59" s="29"/>
    </row>
    <row r="60" spans="1:7" ht="15.75">
      <c r="A60" s="27" t="s">
        <v>457</v>
      </c>
      <c r="B60" s="28">
        <v>0</v>
      </c>
      <c r="C60" s="28">
        <v>104</v>
      </c>
      <c r="D60" s="28">
        <v>99</v>
      </c>
      <c r="E60" s="28">
        <v>12</v>
      </c>
      <c r="F60" s="28">
        <v>1193</v>
      </c>
      <c r="G60" s="29"/>
    </row>
    <row r="61" spans="1:7" ht="15.75">
      <c r="A61" s="27" t="s">
        <v>460</v>
      </c>
      <c r="B61" s="28">
        <v>0</v>
      </c>
      <c r="C61" s="28">
        <v>36</v>
      </c>
      <c r="D61" s="28">
        <v>39</v>
      </c>
      <c r="E61" s="28">
        <v>12</v>
      </c>
      <c r="F61" s="28">
        <v>465</v>
      </c>
      <c r="G61" s="29"/>
    </row>
    <row r="62" spans="1:7" ht="15.75">
      <c r="A62" s="27" t="s">
        <v>432</v>
      </c>
      <c r="B62" s="28">
        <v>0</v>
      </c>
      <c r="C62" s="28">
        <v>68</v>
      </c>
      <c r="D62" s="28">
        <v>65</v>
      </c>
      <c r="E62" s="28">
        <v>12</v>
      </c>
      <c r="F62" s="28">
        <v>783</v>
      </c>
      <c r="G62" s="29"/>
    </row>
    <row r="63" spans="1:7" ht="15.75">
      <c r="A63" s="27" t="s">
        <v>309</v>
      </c>
      <c r="B63" s="28">
        <v>0</v>
      </c>
      <c r="C63" s="28">
        <v>148</v>
      </c>
      <c r="D63" s="28">
        <v>151</v>
      </c>
      <c r="E63" s="28">
        <v>12</v>
      </c>
      <c r="F63" s="28">
        <v>1809</v>
      </c>
      <c r="G63" s="29"/>
    </row>
    <row r="64" spans="1:7" ht="15.75">
      <c r="A64" s="27" t="s">
        <v>597</v>
      </c>
      <c r="B64" s="28">
        <v>0</v>
      </c>
      <c r="C64" s="28">
        <v>106</v>
      </c>
      <c r="D64" s="28">
        <v>109</v>
      </c>
      <c r="E64" s="28">
        <v>12</v>
      </c>
      <c r="F64" s="28">
        <v>1305</v>
      </c>
      <c r="G64" s="29"/>
    </row>
    <row r="65" spans="1:7" ht="15.75">
      <c r="A65" s="27" t="s">
        <v>338</v>
      </c>
      <c r="B65" s="28">
        <v>0</v>
      </c>
      <c r="C65" s="28">
        <v>548</v>
      </c>
      <c r="D65" s="28">
        <v>544</v>
      </c>
      <c r="E65" s="28">
        <v>12</v>
      </c>
      <c r="F65" s="28">
        <v>6532</v>
      </c>
      <c r="G65" s="29"/>
    </row>
    <row r="66" spans="1:7" ht="15.75">
      <c r="A66" s="27" t="s">
        <v>294</v>
      </c>
      <c r="B66" s="28">
        <v>0</v>
      </c>
      <c r="C66" s="28">
        <v>734</v>
      </c>
      <c r="D66" s="28">
        <v>729</v>
      </c>
      <c r="E66" s="28">
        <v>12</v>
      </c>
      <c r="F66" s="28">
        <v>8753</v>
      </c>
      <c r="G66" s="29"/>
    </row>
    <row r="67" spans="1:7" ht="15.75">
      <c r="A67" s="27" t="s">
        <v>217</v>
      </c>
      <c r="B67" s="28">
        <v>0</v>
      </c>
      <c r="C67" s="28">
        <v>684</v>
      </c>
      <c r="D67" s="28">
        <v>681</v>
      </c>
      <c r="E67" s="28">
        <v>12</v>
      </c>
      <c r="F67" s="28">
        <v>8175</v>
      </c>
      <c r="G67" s="29"/>
    </row>
    <row r="68" spans="1:7" ht="15.75">
      <c r="A68" s="27" t="s">
        <v>526</v>
      </c>
      <c r="B68" s="28">
        <v>0</v>
      </c>
      <c r="C68" s="28">
        <v>516</v>
      </c>
      <c r="D68" s="28">
        <v>513</v>
      </c>
      <c r="E68" s="28">
        <v>12</v>
      </c>
      <c r="F68" s="28">
        <v>6159</v>
      </c>
      <c r="G68" s="29"/>
    </row>
    <row r="69" spans="1:7" ht="15.75">
      <c r="A69" s="27" t="s">
        <v>364</v>
      </c>
      <c r="B69" s="28">
        <v>0</v>
      </c>
      <c r="C69" s="28">
        <v>810</v>
      </c>
      <c r="D69" s="28">
        <v>807</v>
      </c>
      <c r="E69" s="28">
        <v>12</v>
      </c>
      <c r="F69" s="28">
        <v>9687</v>
      </c>
      <c r="G69" s="29"/>
    </row>
    <row r="70" spans="1:7" ht="15.75">
      <c r="A70" s="27" t="s">
        <v>231</v>
      </c>
      <c r="B70" s="28">
        <v>0</v>
      </c>
      <c r="C70" s="28">
        <v>1082</v>
      </c>
      <c r="D70" s="28">
        <v>1086</v>
      </c>
      <c r="E70" s="28">
        <v>12</v>
      </c>
      <c r="F70" s="28">
        <v>13028</v>
      </c>
      <c r="G70" s="29"/>
    </row>
    <row r="71" spans="1:7" ht="15.75">
      <c r="A71" s="27" t="s">
        <v>484</v>
      </c>
      <c r="B71" s="28">
        <v>0</v>
      </c>
      <c r="C71" s="28">
        <v>236</v>
      </c>
      <c r="D71" s="28">
        <v>233</v>
      </c>
      <c r="E71" s="28">
        <v>12</v>
      </c>
      <c r="F71" s="28">
        <v>2799</v>
      </c>
      <c r="G71" s="29"/>
    </row>
    <row r="72" spans="1:7" ht="15.75">
      <c r="A72" s="27" t="s">
        <v>487</v>
      </c>
      <c r="B72" s="28">
        <v>0</v>
      </c>
      <c r="C72" s="28">
        <v>288</v>
      </c>
      <c r="D72" s="28">
        <v>291</v>
      </c>
      <c r="E72" s="28">
        <v>12</v>
      </c>
      <c r="F72" s="28">
        <v>3489</v>
      </c>
      <c r="G72" s="29"/>
    </row>
    <row r="73" spans="1:7" ht="15.75">
      <c r="A73" s="27" t="s">
        <v>247</v>
      </c>
      <c r="B73" s="28">
        <v>0</v>
      </c>
      <c r="C73" s="28">
        <v>558</v>
      </c>
      <c r="D73" s="28">
        <v>560</v>
      </c>
      <c r="E73" s="28">
        <v>12</v>
      </c>
      <c r="F73" s="28">
        <v>6718</v>
      </c>
      <c r="G73" s="29"/>
    </row>
    <row r="74" spans="1:7" ht="15.75">
      <c r="A74" s="27" t="s">
        <v>350</v>
      </c>
      <c r="B74" s="28">
        <v>0</v>
      </c>
      <c r="C74" s="28">
        <v>102</v>
      </c>
      <c r="D74" s="28">
        <v>101</v>
      </c>
      <c r="E74" s="28">
        <v>12</v>
      </c>
      <c r="F74" s="28">
        <v>1213</v>
      </c>
      <c r="G74" s="29"/>
    </row>
    <row r="75" spans="1:7" ht="15.75">
      <c r="A75" s="27" t="s">
        <v>465</v>
      </c>
      <c r="B75" s="28">
        <v>0</v>
      </c>
      <c r="C75" s="28">
        <v>156</v>
      </c>
      <c r="D75" s="28">
        <v>152</v>
      </c>
      <c r="E75" s="28">
        <v>12</v>
      </c>
      <c r="F75" s="28">
        <v>1828</v>
      </c>
      <c r="G75" s="29"/>
    </row>
    <row r="76" spans="1:7" ht="15.75">
      <c r="A76" s="27" t="s">
        <v>439</v>
      </c>
      <c r="B76" s="28">
        <v>0</v>
      </c>
      <c r="C76" s="28">
        <v>278</v>
      </c>
      <c r="D76" s="28">
        <v>280</v>
      </c>
      <c r="E76" s="28">
        <v>12</v>
      </c>
      <c r="F76" s="28">
        <v>3358</v>
      </c>
      <c r="G76" s="29"/>
    </row>
    <row r="77" spans="1:7" ht="15.75">
      <c r="A77" s="27" t="s">
        <v>417</v>
      </c>
      <c r="B77" s="28">
        <v>0</v>
      </c>
      <c r="C77" s="28">
        <v>146</v>
      </c>
      <c r="D77" s="28">
        <v>141</v>
      </c>
      <c r="E77" s="28">
        <v>12</v>
      </c>
      <c r="F77" s="28">
        <v>1697</v>
      </c>
      <c r="G77" s="29"/>
    </row>
    <row r="78" spans="1:7" ht="15.75">
      <c r="A78" s="27" t="s">
        <v>298</v>
      </c>
      <c r="B78" s="28">
        <v>0</v>
      </c>
      <c r="C78" s="28">
        <v>42</v>
      </c>
      <c r="D78" s="28">
        <v>47</v>
      </c>
      <c r="E78" s="28">
        <v>12</v>
      </c>
      <c r="F78" s="28">
        <v>559</v>
      </c>
      <c r="G78" s="29"/>
    </row>
    <row r="79" spans="1:7" ht="15.75">
      <c r="A79" s="27" t="s">
        <v>355</v>
      </c>
      <c r="B79" s="28">
        <v>0</v>
      </c>
      <c r="C79" s="28">
        <v>96</v>
      </c>
      <c r="D79" s="28">
        <v>93</v>
      </c>
      <c r="E79" s="28">
        <v>12</v>
      </c>
      <c r="F79" s="28">
        <v>1119</v>
      </c>
      <c r="G79" s="29"/>
    </row>
    <row r="80" spans="1:7" ht="15.75">
      <c r="A80" s="27" t="s">
        <v>468</v>
      </c>
      <c r="B80" s="28">
        <v>0</v>
      </c>
      <c r="C80" s="28">
        <v>92</v>
      </c>
      <c r="D80" s="28">
        <v>90</v>
      </c>
      <c r="E80" s="28">
        <v>12</v>
      </c>
      <c r="F80" s="28">
        <v>1082</v>
      </c>
      <c r="G80" s="29"/>
    </row>
    <row r="81" spans="1:7" ht="15.75">
      <c r="A81" s="27" t="s">
        <v>579</v>
      </c>
      <c r="B81" s="28">
        <v>0</v>
      </c>
      <c r="C81" s="28">
        <v>84</v>
      </c>
      <c r="D81" s="28">
        <v>89</v>
      </c>
      <c r="E81" s="28">
        <v>12</v>
      </c>
      <c r="F81" s="28">
        <v>1063</v>
      </c>
      <c r="G81" s="29"/>
    </row>
    <row r="82" spans="1:7" ht="15.75">
      <c r="A82" s="27" t="s">
        <v>476</v>
      </c>
      <c r="B82" s="28">
        <v>0</v>
      </c>
      <c r="C82" s="28">
        <v>64</v>
      </c>
      <c r="D82" s="28">
        <v>62</v>
      </c>
      <c r="E82" s="28">
        <v>12</v>
      </c>
      <c r="F82" s="28">
        <v>746</v>
      </c>
      <c r="G82" s="29"/>
    </row>
    <row r="83" spans="1:7" ht="15.75">
      <c r="A83" s="27" t="s">
        <v>423</v>
      </c>
      <c r="B83" s="28">
        <v>0</v>
      </c>
      <c r="C83" s="28">
        <v>56</v>
      </c>
      <c r="D83" s="28">
        <v>61</v>
      </c>
      <c r="E83" s="28">
        <v>12</v>
      </c>
      <c r="F83" s="28">
        <v>727</v>
      </c>
      <c r="G83" s="29"/>
    </row>
    <row r="84" spans="1:7" ht="15.75">
      <c r="A84" s="27" t="s">
        <v>560</v>
      </c>
      <c r="B84" s="28">
        <v>0</v>
      </c>
      <c r="C84" s="28">
        <v>36</v>
      </c>
      <c r="D84" s="28">
        <v>39</v>
      </c>
      <c r="E84" s="28">
        <v>12</v>
      </c>
      <c r="F84" s="28">
        <v>465</v>
      </c>
      <c r="G84" s="29"/>
    </row>
    <row r="85" spans="1:7" ht="15.75">
      <c r="A85" s="27" t="s">
        <v>495</v>
      </c>
      <c r="B85" s="28">
        <v>0</v>
      </c>
      <c r="C85" s="28">
        <v>54</v>
      </c>
      <c r="D85" s="28">
        <v>51</v>
      </c>
      <c r="E85" s="28">
        <v>12</v>
      </c>
      <c r="F85" s="28">
        <v>615</v>
      </c>
      <c r="G85" s="29"/>
    </row>
    <row r="86" spans="1:7" ht="15.75">
      <c r="A86" s="27" t="s">
        <v>529</v>
      </c>
      <c r="B86" s="28">
        <v>0</v>
      </c>
      <c r="C86" s="28">
        <v>312</v>
      </c>
      <c r="D86" s="28">
        <v>311</v>
      </c>
      <c r="E86" s="28">
        <v>12</v>
      </c>
      <c r="F86" s="28">
        <v>3733</v>
      </c>
      <c r="G86" s="29"/>
    </row>
    <row r="87" spans="1:7" ht="15.75">
      <c r="A87" s="27" t="s">
        <v>533</v>
      </c>
      <c r="B87" s="28">
        <v>0</v>
      </c>
      <c r="C87" s="28">
        <v>408</v>
      </c>
      <c r="D87" s="28">
        <v>404</v>
      </c>
      <c r="E87" s="28">
        <v>12</v>
      </c>
      <c r="F87" s="28">
        <v>4852</v>
      </c>
      <c r="G87" s="29"/>
    </row>
    <row r="88" spans="1:7" ht="15.75">
      <c r="A88" s="27" t="s">
        <v>601</v>
      </c>
      <c r="B88" s="28">
        <v>0</v>
      </c>
      <c r="C88" s="28">
        <v>524</v>
      </c>
      <c r="D88" s="28">
        <v>519</v>
      </c>
      <c r="E88" s="28">
        <v>12</v>
      </c>
      <c r="F88" s="28">
        <v>6233</v>
      </c>
      <c r="G88" s="29"/>
    </row>
    <row r="89" spans="1:7" ht="15.75">
      <c r="A89" s="27" t="s">
        <v>443</v>
      </c>
      <c r="B89" s="28">
        <v>0</v>
      </c>
      <c r="C89" s="28">
        <v>74</v>
      </c>
      <c r="D89" s="28">
        <v>78</v>
      </c>
      <c r="E89" s="28">
        <v>12</v>
      </c>
      <c r="F89" s="28">
        <v>932</v>
      </c>
      <c r="G89" s="29"/>
    </row>
    <row r="90" spans="1:7" ht="15.75">
      <c r="A90" s="27" t="s">
        <v>580</v>
      </c>
      <c r="B90" s="28">
        <v>0</v>
      </c>
      <c r="C90" s="28">
        <v>60</v>
      </c>
      <c r="D90" s="28">
        <v>64</v>
      </c>
      <c r="E90" s="28">
        <v>12</v>
      </c>
      <c r="F90" s="28">
        <v>764</v>
      </c>
      <c r="G90" s="29"/>
    </row>
    <row r="91" spans="1:7" ht="15.75">
      <c r="A91" s="27" t="s">
        <v>506</v>
      </c>
      <c r="B91" s="28">
        <v>0</v>
      </c>
      <c r="C91" s="28">
        <v>72</v>
      </c>
      <c r="D91" s="28">
        <v>68</v>
      </c>
      <c r="E91" s="28">
        <v>12</v>
      </c>
      <c r="F91" s="28">
        <v>820</v>
      </c>
      <c r="G91" s="29"/>
    </row>
    <row r="92" spans="1:7" ht="15.75">
      <c r="A92" s="27" t="s">
        <v>371</v>
      </c>
      <c r="B92" s="28">
        <v>0</v>
      </c>
      <c r="C92" s="28">
        <v>44</v>
      </c>
      <c r="D92" s="28">
        <v>40</v>
      </c>
      <c r="E92" s="28">
        <v>12</v>
      </c>
      <c r="F92" s="28">
        <v>484</v>
      </c>
      <c r="G92" s="29"/>
    </row>
    <row r="93" spans="1:7" ht="15.75">
      <c r="A93" s="27" t="s">
        <v>581</v>
      </c>
      <c r="B93" s="28">
        <v>0</v>
      </c>
      <c r="C93" s="28">
        <v>48</v>
      </c>
      <c r="D93" s="28">
        <v>43</v>
      </c>
      <c r="E93" s="28">
        <v>12</v>
      </c>
      <c r="F93" s="28">
        <v>521</v>
      </c>
      <c r="G93" s="29"/>
    </row>
    <row r="94" spans="1:7" ht="15.75">
      <c r="A94" s="27" t="s">
        <v>586</v>
      </c>
      <c r="B94" s="28">
        <v>0</v>
      </c>
      <c r="C94" s="28">
        <v>90</v>
      </c>
      <c r="D94" s="28">
        <v>85</v>
      </c>
      <c r="E94" s="28">
        <v>12</v>
      </c>
      <c r="F94" s="28">
        <v>1025</v>
      </c>
      <c r="G94" s="29"/>
    </row>
    <row r="95" spans="1:7" ht="15.75">
      <c r="A95" s="27" t="s">
        <v>602</v>
      </c>
      <c r="B95" s="28">
        <v>0</v>
      </c>
      <c r="C95" s="28">
        <v>116</v>
      </c>
      <c r="D95" s="28">
        <v>115</v>
      </c>
      <c r="E95" s="28">
        <v>12</v>
      </c>
      <c r="F95" s="28">
        <v>1381</v>
      </c>
      <c r="G95" s="29"/>
    </row>
    <row r="96" spans="1:7" ht="15.75">
      <c r="A96" s="27" t="s">
        <v>509</v>
      </c>
      <c r="B96" s="28">
        <v>0</v>
      </c>
      <c r="C96" s="28">
        <v>54</v>
      </c>
      <c r="D96" s="28">
        <v>51</v>
      </c>
      <c r="E96" s="28">
        <v>12</v>
      </c>
      <c r="F96" s="28">
        <v>615</v>
      </c>
      <c r="G96" s="29"/>
    </row>
    <row r="97" spans="1:7" ht="15.75">
      <c r="A97" s="27" t="s">
        <v>537</v>
      </c>
      <c r="B97" s="28">
        <v>0</v>
      </c>
      <c r="C97" s="28">
        <v>462</v>
      </c>
      <c r="D97" s="28">
        <v>467</v>
      </c>
      <c r="E97" s="28">
        <v>12</v>
      </c>
      <c r="F97" s="28">
        <v>5599</v>
      </c>
      <c r="G97" s="29"/>
    </row>
    <row r="98" spans="1:7" ht="15.75">
      <c r="A98" s="27" t="s">
        <v>538</v>
      </c>
      <c r="B98" s="28">
        <v>0</v>
      </c>
      <c r="C98" s="28">
        <v>516</v>
      </c>
      <c r="D98" s="28">
        <v>513</v>
      </c>
      <c r="E98" s="28">
        <v>12</v>
      </c>
      <c r="F98" s="28">
        <v>6159</v>
      </c>
      <c r="G98" s="29"/>
    </row>
    <row r="99" spans="1:7" ht="15.75">
      <c r="A99" s="27" t="s">
        <v>548</v>
      </c>
      <c r="B99" s="28">
        <v>0</v>
      </c>
      <c r="C99" s="28">
        <v>594</v>
      </c>
      <c r="D99" s="28">
        <v>589</v>
      </c>
      <c r="E99" s="28">
        <v>12</v>
      </c>
      <c r="F99" s="28">
        <v>7073</v>
      </c>
      <c r="G99" s="29"/>
    </row>
    <row r="100" spans="1:7" ht="15.75">
      <c r="A100" s="27" t="s">
        <v>588</v>
      </c>
      <c r="B100" s="28">
        <v>0</v>
      </c>
      <c r="C100" s="28">
        <v>46</v>
      </c>
      <c r="D100" s="28">
        <v>45</v>
      </c>
      <c r="E100" s="28">
        <v>12</v>
      </c>
      <c r="F100" s="28">
        <v>541</v>
      </c>
      <c r="G100" s="29"/>
    </row>
    <row r="101" spans="1:7" ht="15.75">
      <c r="A101" s="27" t="s">
        <v>549</v>
      </c>
      <c r="B101" s="28">
        <v>0</v>
      </c>
      <c r="C101" s="28">
        <v>42</v>
      </c>
      <c r="D101" s="28">
        <v>47</v>
      </c>
      <c r="E101" s="28">
        <v>12</v>
      </c>
      <c r="F101" s="28">
        <v>559</v>
      </c>
      <c r="G101" s="29"/>
    </row>
    <row r="102" spans="1:7" ht="15.75">
      <c r="A102" s="27" t="s">
        <v>562</v>
      </c>
      <c r="B102" s="28">
        <v>0</v>
      </c>
      <c r="C102" s="28">
        <v>42</v>
      </c>
      <c r="D102" s="28">
        <v>47</v>
      </c>
      <c r="E102" s="28">
        <v>12</v>
      </c>
      <c r="F102" s="28">
        <v>559</v>
      </c>
      <c r="G102" s="29"/>
    </row>
    <row r="103" spans="1:7" ht="15.75">
      <c r="A103" s="27" t="s">
        <v>611</v>
      </c>
      <c r="B103" s="28">
        <v>0</v>
      </c>
      <c r="C103" s="28">
        <v>222</v>
      </c>
      <c r="D103" s="28">
        <v>224</v>
      </c>
      <c r="E103" s="28">
        <v>12</v>
      </c>
      <c r="F103" s="28">
        <v>2686</v>
      </c>
      <c r="G103" s="29"/>
    </row>
    <row r="104" spans="1:7" ht="15.75">
      <c r="A104" s="27" t="s">
        <v>569</v>
      </c>
      <c r="B104" s="28">
        <v>0</v>
      </c>
      <c r="C104" s="28">
        <v>666</v>
      </c>
      <c r="D104" s="28">
        <v>669</v>
      </c>
      <c r="E104" s="28">
        <v>12</v>
      </c>
      <c r="F104" s="28">
        <v>8025</v>
      </c>
      <c r="G104" s="29"/>
    </row>
    <row r="105" spans="1:7" ht="15.75">
      <c r="A105" s="27" t="s">
        <v>478</v>
      </c>
      <c r="B105" s="28">
        <v>0</v>
      </c>
      <c r="C105" s="28">
        <v>996</v>
      </c>
      <c r="D105" s="28">
        <v>992</v>
      </c>
      <c r="E105" s="28">
        <v>12</v>
      </c>
      <c r="F105" s="28">
        <v>11908</v>
      </c>
      <c r="G105" s="29"/>
    </row>
    <row r="106" spans="1:7" ht="15.75">
      <c r="A106" s="27" t="s">
        <v>612</v>
      </c>
      <c r="B106" s="28">
        <v>0</v>
      </c>
      <c r="C106" s="28">
        <v>84</v>
      </c>
      <c r="D106" s="28">
        <v>89</v>
      </c>
      <c r="E106" s="28">
        <v>12</v>
      </c>
      <c r="F106" s="28">
        <v>1063</v>
      </c>
      <c r="G106" s="29"/>
    </row>
    <row r="107" spans="1:7" ht="15.75">
      <c r="A107" s="27" t="s">
        <v>596</v>
      </c>
      <c r="B107" s="28">
        <v>0</v>
      </c>
      <c r="C107" s="28">
        <v>42</v>
      </c>
      <c r="D107" s="28">
        <v>47</v>
      </c>
      <c r="E107" s="28">
        <v>12</v>
      </c>
      <c r="F107" s="28">
        <v>559</v>
      </c>
      <c r="G107" s="29"/>
    </row>
    <row r="108" spans="1:7" ht="15.75">
      <c r="A108" s="27" t="s">
        <v>589</v>
      </c>
      <c r="B108" s="28">
        <v>0</v>
      </c>
      <c r="C108" s="28">
        <v>278</v>
      </c>
      <c r="D108" s="28">
        <v>280</v>
      </c>
      <c r="E108" s="28">
        <v>12</v>
      </c>
      <c r="F108" s="28">
        <v>3358</v>
      </c>
      <c r="G108" s="29"/>
    </row>
    <row r="109" spans="1:7" ht="15.75">
      <c r="A109" s="27" t="s">
        <v>613</v>
      </c>
      <c r="B109" s="28">
        <v>0</v>
      </c>
      <c r="C109" s="28">
        <v>312</v>
      </c>
      <c r="D109" s="28">
        <v>311</v>
      </c>
      <c r="E109" s="28">
        <v>12</v>
      </c>
      <c r="F109" s="28">
        <v>3733</v>
      </c>
      <c r="G109" s="29"/>
    </row>
    <row r="110" spans="1:7" ht="15.75">
      <c r="A110" s="27" t="s">
        <v>619</v>
      </c>
      <c r="B110" s="28">
        <v>0</v>
      </c>
      <c r="C110" s="28">
        <v>70</v>
      </c>
      <c r="D110" s="28">
        <v>75</v>
      </c>
      <c r="E110" s="28">
        <v>12</v>
      </c>
      <c r="F110" s="28">
        <v>895</v>
      </c>
      <c r="G110" s="29"/>
    </row>
    <row r="111" spans="1:7" ht="15.75">
      <c r="A111" s="27" t="s">
        <v>620</v>
      </c>
      <c r="B111" s="28">
        <v>0</v>
      </c>
      <c r="C111" s="28">
        <v>74</v>
      </c>
      <c r="D111" s="28">
        <v>78</v>
      </c>
      <c r="E111" s="28">
        <v>12</v>
      </c>
      <c r="F111" s="28">
        <v>932</v>
      </c>
      <c r="G111" s="29"/>
    </row>
    <row r="112" spans="1:7" ht="15.75">
      <c r="A112" s="27" t="s">
        <v>628</v>
      </c>
      <c r="B112" s="28">
        <v>0</v>
      </c>
      <c r="C112" s="28">
        <v>204</v>
      </c>
      <c r="D112" s="28">
        <v>202</v>
      </c>
      <c r="E112" s="28">
        <v>12</v>
      </c>
      <c r="F112" s="28">
        <v>2426</v>
      </c>
      <c r="G112" s="29"/>
    </row>
    <row r="113" spans="1:7" ht="15.75">
      <c r="A113" s="27" t="s">
        <v>630</v>
      </c>
      <c r="B113" s="28">
        <v>0</v>
      </c>
      <c r="C113" s="28">
        <v>372</v>
      </c>
      <c r="D113" s="28">
        <v>370</v>
      </c>
      <c r="E113" s="28">
        <v>12</v>
      </c>
      <c r="F113" s="28">
        <v>4442</v>
      </c>
      <c r="G113" s="29"/>
    </row>
    <row r="114" spans="1:7" ht="15.75">
      <c r="A114" s="27" t="s">
        <v>634</v>
      </c>
      <c r="B114" s="28">
        <v>0</v>
      </c>
      <c r="C114" s="28">
        <v>88</v>
      </c>
      <c r="D114" s="28">
        <v>87</v>
      </c>
      <c r="E114" s="28">
        <v>12</v>
      </c>
      <c r="F114" s="28">
        <v>1045</v>
      </c>
      <c r="G114" s="29"/>
    </row>
    <row r="115" spans="1:7" ht="15.75">
      <c r="A115" s="27" t="s">
        <v>635</v>
      </c>
      <c r="B115" s="28">
        <v>0</v>
      </c>
      <c r="C115" s="28">
        <v>92</v>
      </c>
      <c r="D115" s="28">
        <v>90</v>
      </c>
      <c r="E115" s="28">
        <v>12</v>
      </c>
      <c r="F115" s="28">
        <v>1082</v>
      </c>
      <c r="G115" s="29"/>
    </row>
    <row r="116" spans="1:7" ht="15.75">
      <c r="A116" s="27" t="s">
        <v>641</v>
      </c>
      <c r="B116" s="28">
        <v>0</v>
      </c>
      <c r="C116" s="28">
        <v>134</v>
      </c>
      <c r="D116" s="28">
        <v>137</v>
      </c>
      <c r="E116" s="28">
        <v>12</v>
      </c>
      <c r="F116" s="28">
        <v>1641</v>
      </c>
      <c r="G116" s="29"/>
    </row>
    <row r="117" spans="1:7" ht="15.75">
      <c r="A117" s="27" t="s">
        <v>646</v>
      </c>
      <c r="B117" s="28">
        <v>0</v>
      </c>
      <c r="C117" s="28">
        <v>78</v>
      </c>
      <c r="D117" s="28">
        <v>76</v>
      </c>
      <c r="E117" s="28">
        <v>12</v>
      </c>
      <c r="F117" s="28">
        <v>914</v>
      </c>
      <c r="G117" s="29"/>
    </row>
    <row r="118" spans="1:7" ht="15.75">
      <c r="A118" s="27" t="s">
        <v>653</v>
      </c>
      <c r="B118" s="28">
        <v>0</v>
      </c>
      <c r="C118" s="28">
        <v>78</v>
      </c>
      <c r="D118" s="28">
        <v>81</v>
      </c>
      <c r="E118" s="28">
        <v>12</v>
      </c>
      <c r="F118" s="28">
        <v>969</v>
      </c>
      <c r="G118" s="29"/>
    </row>
    <row r="119" spans="1:7" ht="15.75">
      <c r="A119" s="27" t="s">
        <v>655</v>
      </c>
      <c r="B119" s="28">
        <v>0</v>
      </c>
      <c r="C119" s="28">
        <v>670</v>
      </c>
      <c r="D119" s="28">
        <v>672</v>
      </c>
      <c r="E119" s="28">
        <v>12</v>
      </c>
      <c r="F119" s="28">
        <v>8062</v>
      </c>
      <c r="G119" s="29"/>
    </row>
    <row r="120" spans="1:7" ht="15.75">
      <c r="A120" s="27" t="s">
        <v>664</v>
      </c>
      <c r="B120" s="28">
        <v>0</v>
      </c>
      <c r="C120" s="28">
        <v>1026</v>
      </c>
      <c r="D120" s="28">
        <v>1030</v>
      </c>
      <c r="E120" s="28">
        <v>12</v>
      </c>
      <c r="F120" s="28">
        <v>12356</v>
      </c>
      <c r="G120" s="29"/>
    </row>
    <row r="121" spans="1:7" ht="15.75">
      <c r="A121" s="27" t="s">
        <v>666</v>
      </c>
      <c r="B121" s="28">
        <v>0</v>
      </c>
      <c r="C121" s="28">
        <v>124</v>
      </c>
      <c r="D121" s="28">
        <v>126</v>
      </c>
      <c r="E121" s="28">
        <v>12</v>
      </c>
      <c r="F121" s="28">
        <v>1510</v>
      </c>
      <c r="G121" s="29"/>
    </row>
    <row r="122" spans="1:7" ht="15.75">
      <c r="A122" s="27" t="s">
        <v>672</v>
      </c>
      <c r="B122" s="28">
        <v>0</v>
      </c>
      <c r="C122" s="28">
        <v>190</v>
      </c>
      <c r="D122" s="28">
        <v>188</v>
      </c>
      <c r="E122" s="28">
        <v>12</v>
      </c>
      <c r="F122" s="28">
        <v>2258</v>
      </c>
      <c r="G122" s="29"/>
    </row>
    <row r="123" spans="1:7" ht="15.75">
      <c r="A123" s="27" t="s">
        <v>674</v>
      </c>
      <c r="B123" s="28">
        <v>0</v>
      </c>
      <c r="C123" s="28">
        <v>154</v>
      </c>
      <c r="D123" s="28">
        <v>159</v>
      </c>
      <c r="E123" s="28">
        <v>12</v>
      </c>
      <c r="F123" s="28">
        <v>1903</v>
      </c>
      <c r="G123" s="29"/>
    </row>
    <row r="124" spans="1:7" ht="15.75">
      <c r="A124" s="27" t="s">
        <v>675</v>
      </c>
      <c r="B124" s="28">
        <v>0</v>
      </c>
      <c r="C124" s="28">
        <v>270</v>
      </c>
      <c r="D124" s="28">
        <v>269</v>
      </c>
      <c r="E124" s="28">
        <v>12</v>
      </c>
      <c r="F124" s="28">
        <v>3229</v>
      </c>
      <c r="G124" s="29"/>
    </row>
    <row r="125" spans="1:7" ht="15.75">
      <c r="A125" s="27" t="s">
        <v>676</v>
      </c>
      <c r="B125" s="28">
        <v>0</v>
      </c>
      <c r="C125" s="28">
        <v>284</v>
      </c>
      <c r="D125" s="28">
        <v>288</v>
      </c>
      <c r="E125" s="28">
        <v>12</v>
      </c>
      <c r="F125" s="28">
        <v>3452</v>
      </c>
      <c r="G125" s="29"/>
    </row>
    <row r="126" spans="1:7" ht="15.75">
      <c r="A126" s="27" t="s">
        <v>679</v>
      </c>
      <c r="B126" s="28">
        <v>0</v>
      </c>
      <c r="C126" s="28">
        <v>316</v>
      </c>
      <c r="D126" s="28">
        <v>314</v>
      </c>
      <c r="E126" s="28">
        <v>12</v>
      </c>
      <c r="F126" s="28">
        <v>3770</v>
      </c>
      <c r="G126" s="29"/>
    </row>
    <row r="127" spans="1:7" ht="15.75">
      <c r="A127" s="27" t="s">
        <v>686</v>
      </c>
      <c r="B127" s="28">
        <v>0</v>
      </c>
      <c r="C127" s="28">
        <v>236</v>
      </c>
      <c r="D127" s="28">
        <v>233</v>
      </c>
      <c r="E127" s="28">
        <v>12</v>
      </c>
      <c r="F127" s="28">
        <v>2799</v>
      </c>
      <c r="G127" s="29"/>
    </row>
    <row r="128" spans="1:7" ht="15.75">
      <c r="A128" s="27" t="s">
        <v>687</v>
      </c>
      <c r="B128" s="28">
        <v>0</v>
      </c>
      <c r="C128" s="28">
        <v>282</v>
      </c>
      <c r="D128" s="28">
        <v>278</v>
      </c>
      <c r="E128" s="28">
        <v>12</v>
      </c>
      <c r="F128" s="28">
        <v>3340</v>
      </c>
      <c r="G128" s="29"/>
    </row>
    <row r="129" spans="1:7" ht="15.75">
      <c r="A129" s="27" t="s">
        <v>689</v>
      </c>
      <c r="B129" s="28">
        <v>0</v>
      </c>
      <c r="C129" s="28">
        <v>256</v>
      </c>
      <c r="D129" s="28">
        <v>260</v>
      </c>
      <c r="E129" s="28">
        <v>12</v>
      </c>
      <c r="F129" s="28">
        <v>3116</v>
      </c>
      <c r="G129" s="29"/>
    </row>
    <row r="130" spans="1:7" ht="15.75">
      <c r="A130" s="27" t="s">
        <v>695</v>
      </c>
      <c r="B130" s="28">
        <v>0</v>
      </c>
      <c r="C130" s="28">
        <v>302</v>
      </c>
      <c r="D130" s="28">
        <v>305</v>
      </c>
      <c r="E130" s="28">
        <v>12</v>
      </c>
      <c r="F130" s="28">
        <v>3657</v>
      </c>
      <c r="G130" s="29"/>
    </row>
    <row r="131" spans="1:7" ht="15.75">
      <c r="A131" s="27" t="s">
        <v>696</v>
      </c>
      <c r="B131" s="28">
        <v>0</v>
      </c>
      <c r="C131" s="28">
        <v>334</v>
      </c>
      <c r="D131" s="28">
        <v>331</v>
      </c>
      <c r="E131" s="28">
        <v>12</v>
      </c>
      <c r="F131" s="28">
        <v>3975</v>
      </c>
      <c r="G131" s="29"/>
    </row>
    <row r="132" spans="1:7" ht="15.75">
      <c r="A132" s="27" t="s">
        <v>702</v>
      </c>
      <c r="B132" s="28">
        <v>0</v>
      </c>
      <c r="C132" s="28">
        <v>354</v>
      </c>
      <c r="D132" s="28">
        <v>358</v>
      </c>
      <c r="E132" s="28">
        <v>12</v>
      </c>
      <c r="F132" s="28">
        <v>4292</v>
      </c>
      <c r="G132" s="29"/>
    </row>
    <row r="133" spans="1:7" ht="15.75">
      <c r="A133" s="27" t="s">
        <v>705</v>
      </c>
      <c r="B133" s="28">
        <v>0</v>
      </c>
      <c r="C133" s="28">
        <v>382</v>
      </c>
      <c r="D133" s="28">
        <v>386</v>
      </c>
      <c r="E133" s="28">
        <v>12</v>
      </c>
      <c r="F133" s="28">
        <v>4628</v>
      </c>
      <c r="G133" s="29"/>
    </row>
    <row r="134" spans="1:7" ht="15.75">
      <c r="A134" s="27" t="s">
        <v>707</v>
      </c>
      <c r="B134" s="28">
        <v>0</v>
      </c>
      <c r="C134" s="28">
        <v>76</v>
      </c>
      <c r="D134" s="28">
        <v>71</v>
      </c>
      <c r="E134" s="28">
        <v>12</v>
      </c>
      <c r="F134" s="28">
        <v>857</v>
      </c>
      <c r="G134" s="29"/>
    </row>
    <row r="135" spans="1:7" ht="15.75">
      <c r="A135" s="27" t="s">
        <v>715</v>
      </c>
      <c r="B135" s="28">
        <v>0</v>
      </c>
      <c r="C135" s="28">
        <v>284</v>
      </c>
      <c r="D135" s="28">
        <v>288</v>
      </c>
      <c r="E135" s="28">
        <v>12</v>
      </c>
      <c r="F135" s="28">
        <v>3452</v>
      </c>
      <c r="G135" s="29"/>
    </row>
    <row r="136" spans="1:7" ht="15.75">
      <c r="A136" s="27" t="s">
        <v>717</v>
      </c>
      <c r="B136" s="28">
        <v>0</v>
      </c>
      <c r="C136" s="28">
        <v>96</v>
      </c>
      <c r="D136" s="28">
        <v>93</v>
      </c>
      <c r="E136" s="28">
        <v>12</v>
      </c>
      <c r="F136" s="28">
        <v>1119</v>
      </c>
      <c r="G136" s="29"/>
    </row>
    <row r="137" spans="1:7" ht="15.75">
      <c r="A137" s="27" t="s">
        <v>724</v>
      </c>
      <c r="B137" s="28">
        <v>0</v>
      </c>
      <c r="C137" s="28">
        <v>74</v>
      </c>
      <c r="D137" s="28">
        <v>78</v>
      </c>
      <c r="E137" s="28">
        <v>12</v>
      </c>
      <c r="F137" s="28">
        <v>932</v>
      </c>
      <c r="G137" s="29"/>
    </row>
    <row r="138" spans="1:7" ht="15.75">
      <c r="A138" s="27" t="s">
        <v>725</v>
      </c>
      <c r="B138" s="28">
        <v>0</v>
      </c>
      <c r="C138" s="28">
        <v>90</v>
      </c>
      <c r="D138" s="28">
        <v>85</v>
      </c>
      <c r="E138" s="28">
        <v>12</v>
      </c>
      <c r="F138" s="28">
        <v>1025</v>
      </c>
      <c r="G138" s="29"/>
    </row>
    <row r="139" spans="1:7" ht="15.75">
      <c r="A139" s="27" t="s">
        <v>731</v>
      </c>
      <c r="B139" s="28">
        <v>0</v>
      </c>
      <c r="C139" s="28">
        <v>106</v>
      </c>
      <c r="D139" s="28">
        <v>109</v>
      </c>
      <c r="E139" s="28">
        <v>12</v>
      </c>
      <c r="F139" s="28">
        <v>1305</v>
      </c>
      <c r="G139" s="29"/>
    </row>
    <row r="140" spans="1:7" ht="15.75">
      <c r="A140" s="27" t="s">
        <v>734</v>
      </c>
      <c r="B140" s="28">
        <v>0</v>
      </c>
      <c r="C140" s="28">
        <v>656</v>
      </c>
      <c r="D140" s="28">
        <v>658</v>
      </c>
      <c r="E140" s="28">
        <v>12</v>
      </c>
      <c r="F140" s="28">
        <v>7894</v>
      </c>
      <c r="G140" s="29"/>
    </row>
    <row r="141" spans="1:7" ht="15.75">
      <c r="A141" s="27" t="s">
        <v>738</v>
      </c>
      <c r="B141" s="28">
        <v>0</v>
      </c>
      <c r="C141" s="28">
        <v>74</v>
      </c>
      <c r="D141" s="28">
        <v>78</v>
      </c>
      <c r="E141" s="28">
        <v>12</v>
      </c>
      <c r="F141" s="28">
        <v>932</v>
      </c>
      <c r="G141" s="29"/>
    </row>
    <row r="142" spans="1:7" ht="15.75">
      <c r="A142" s="27" t="s">
        <v>740</v>
      </c>
      <c r="B142" s="28">
        <v>0</v>
      </c>
      <c r="C142" s="28">
        <v>64</v>
      </c>
      <c r="D142" s="28">
        <v>62</v>
      </c>
      <c r="E142" s="28">
        <v>12</v>
      </c>
      <c r="F142" s="28">
        <v>746</v>
      </c>
      <c r="G142" s="29"/>
    </row>
    <row r="143" spans="1:7" ht="15.75">
      <c r="A143" s="27" t="s">
        <v>745</v>
      </c>
      <c r="B143" s="28">
        <v>0</v>
      </c>
      <c r="C143" s="28">
        <v>142</v>
      </c>
      <c r="D143" s="28">
        <v>138</v>
      </c>
      <c r="E143" s="28">
        <v>12</v>
      </c>
      <c r="F143" s="28">
        <v>1660</v>
      </c>
      <c r="G143" s="29"/>
    </row>
    <row r="144" spans="1:7" ht="15.75">
      <c r="A144" s="27" t="s">
        <v>746</v>
      </c>
      <c r="B144" s="28">
        <v>0</v>
      </c>
      <c r="C144" s="28">
        <v>212</v>
      </c>
      <c r="D144" s="28">
        <v>217</v>
      </c>
      <c r="E144" s="28">
        <v>12</v>
      </c>
      <c r="F144" s="28">
        <v>2599</v>
      </c>
      <c r="G144" s="29"/>
    </row>
    <row r="145" spans="1:7" ht="15.75">
      <c r="A145" s="27" t="s">
        <v>750</v>
      </c>
      <c r="B145" s="28">
        <v>0</v>
      </c>
      <c r="C145" s="28">
        <v>344</v>
      </c>
      <c r="D145" s="28">
        <v>347</v>
      </c>
      <c r="E145" s="28">
        <v>12</v>
      </c>
      <c r="F145" s="28">
        <v>4161</v>
      </c>
      <c r="G145" s="29"/>
    </row>
    <row r="146" spans="1:7" ht="15.75">
      <c r="A146" s="27" t="s">
        <v>751</v>
      </c>
      <c r="B146" s="28">
        <v>0</v>
      </c>
      <c r="C146" s="28">
        <v>26</v>
      </c>
      <c r="D146" s="28">
        <v>28</v>
      </c>
      <c r="E146" s="28">
        <v>12</v>
      </c>
      <c r="F146" s="28">
        <v>334</v>
      </c>
      <c r="G146" s="29"/>
    </row>
    <row r="147" spans="1:7" ht="15.75">
      <c r="A147" s="27" t="s">
        <v>758</v>
      </c>
      <c r="B147" s="28">
        <v>0</v>
      </c>
      <c r="C147" s="28">
        <v>54</v>
      </c>
      <c r="D147" s="28">
        <v>51</v>
      </c>
      <c r="E147" s="28">
        <v>12</v>
      </c>
      <c r="F147" s="28">
        <v>615</v>
      </c>
      <c r="G147" s="29"/>
    </row>
    <row r="148" spans="1:7" ht="15.75">
      <c r="A148" s="27" t="s">
        <v>759</v>
      </c>
      <c r="B148" s="28">
        <v>0</v>
      </c>
      <c r="C148" s="28">
        <v>160</v>
      </c>
      <c r="D148" s="28">
        <v>155</v>
      </c>
      <c r="E148" s="28">
        <v>12</v>
      </c>
      <c r="F148" s="28">
        <v>1865</v>
      </c>
      <c r="G148" s="29"/>
    </row>
    <row r="149" spans="1:7" ht="15.75">
      <c r="A149" s="27" t="s">
        <v>763</v>
      </c>
      <c r="B149" s="28">
        <v>0</v>
      </c>
      <c r="C149" s="28">
        <v>42</v>
      </c>
      <c r="D149" s="28">
        <v>47</v>
      </c>
      <c r="E149" s="28">
        <v>12</v>
      </c>
      <c r="F149" s="28">
        <v>559</v>
      </c>
      <c r="G149" s="29"/>
    </row>
    <row r="150" spans="1:7" ht="15.75">
      <c r="A150" s="27" t="s">
        <v>765</v>
      </c>
      <c r="B150" s="28">
        <v>0</v>
      </c>
      <c r="C150" s="28">
        <v>60</v>
      </c>
      <c r="D150" s="28">
        <v>59</v>
      </c>
      <c r="E150" s="28">
        <v>12</v>
      </c>
      <c r="F150" s="28">
        <v>709</v>
      </c>
      <c r="G150" s="29"/>
    </row>
    <row r="151" spans="1:7" ht="15.75">
      <c r="A151" s="27" t="s">
        <v>769</v>
      </c>
      <c r="B151" s="28">
        <v>0</v>
      </c>
      <c r="C151" s="28">
        <v>114</v>
      </c>
      <c r="D151" s="28">
        <v>110</v>
      </c>
      <c r="E151" s="28">
        <v>12</v>
      </c>
      <c r="F151" s="28">
        <v>1324</v>
      </c>
      <c r="G151" s="29"/>
    </row>
    <row r="152" spans="1:7" ht="15.75">
      <c r="A152" s="27" t="s">
        <v>772</v>
      </c>
      <c r="B152" s="28">
        <v>0</v>
      </c>
      <c r="C152" s="28">
        <v>74</v>
      </c>
      <c r="D152" s="28">
        <v>78</v>
      </c>
      <c r="E152" s="28">
        <v>12</v>
      </c>
      <c r="F152" s="28">
        <v>932</v>
      </c>
      <c r="G152" s="29"/>
    </row>
    <row r="153" spans="1:7" ht="15.75">
      <c r="A153" s="27" t="s">
        <v>773</v>
      </c>
      <c r="B153" s="28">
        <v>0</v>
      </c>
      <c r="C153" s="28">
        <v>204</v>
      </c>
      <c r="D153" s="28">
        <v>202</v>
      </c>
      <c r="E153" s="28">
        <v>12</v>
      </c>
      <c r="F153" s="28">
        <v>2426</v>
      </c>
      <c r="G153" s="29"/>
    </row>
    <row r="154" spans="1:7" ht="15.75">
      <c r="A154" s="27" t="s">
        <v>774</v>
      </c>
      <c r="B154" s="28">
        <v>0</v>
      </c>
      <c r="C154" s="28">
        <v>86</v>
      </c>
      <c r="D154" s="28">
        <v>82</v>
      </c>
      <c r="E154" s="28">
        <v>12</v>
      </c>
      <c r="F154" s="28">
        <v>988</v>
      </c>
      <c r="G154" s="29"/>
    </row>
    <row r="155" spans="1:7" ht="15.75">
      <c r="A155" s="27" t="s">
        <v>775</v>
      </c>
      <c r="B155" s="28">
        <v>0</v>
      </c>
      <c r="C155" s="28">
        <v>44</v>
      </c>
      <c r="D155" s="28">
        <v>40</v>
      </c>
      <c r="E155" s="28">
        <v>12</v>
      </c>
      <c r="F155" s="28">
        <v>484</v>
      </c>
      <c r="G155" s="29"/>
    </row>
    <row r="156" spans="1:7" ht="15.75">
      <c r="A156" s="27" t="s">
        <v>776</v>
      </c>
      <c r="B156" s="28">
        <v>0</v>
      </c>
      <c r="C156" s="28">
        <v>54</v>
      </c>
      <c r="D156" s="28">
        <v>51</v>
      </c>
      <c r="E156" s="28">
        <v>12</v>
      </c>
      <c r="F156" s="28">
        <v>615</v>
      </c>
      <c r="G156" s="29"/>
    </row>
    <row r="157" spans="1:7" ht="15.75">
      <c r="A157" s="27" t="s">
        <v>777</v>
      </c>
      <c r="B157" s="28">
        <v>0</v>
      </c>
      <c r="C157" s="28">
        <v>222</v>
      </c>
      <c r="D157" s="28">
        <v>219</v>
      </c>
      <c r="E157" s="28">
        <v>12</v>
      </c>
      <c r="F157" s="28">
        <v>2631</v>
      </c>
      <c r="G157" s="29"/>
    </row>
    <row r="158" spans="1:7" ht="15.75">
      <c r="A158" s="27" t="s">
        <v>778</v>
      </c>
      <c r="B158" s="28">
        <v>0</v>
      </c>
      <c r="C158" s="28">
        <v>510</v>
      </c>
      <c r="D158" s="28">
        <v>505</v>
      </c>
      <c r="E158" s="28">
        <v>12</v>
      </c>
      <c r="F158" s="28">
        <v>6065</v>
      </c>
      <c r="G158" s="29"/>
    </row>
    <row r="159" spans="1:7" ht="15.75">
      <c r="A159" s="27" t="s">
        <v>779</v>
      </c>
      <c r="B159" s="28">
        <v>0</v>
      </c>
      <c r="C159" s="28">
        <v>342</v>
      </c>
      <c r="D159" s="28">
        <v>337</v>
      </c>
      <c r="E159" s="28">
        <v>12</v>
      </c>
      <c r="F159" s="28">
        <v>4049</v>
      </c>
      <c r="G159" s="29"/>
    </row>
    <row r="160" spans="1:7" ht="15.75">
      <c r="A160" s="27" t="s">
        <v>780</v>
      </c>
      <c r="B160" s="28">
        <v>0</v>
      </c>
      <c r="C160" s="28">
        <v>58</v>
      </c>
      <c r="D160" s="28">
        <v>54</v>
      </c>
      <c r="E160" s="28">
        <v>12</v>
      </c>
      <c r="F160" s="28">
        <v>652</v>
      </c>
      <c r="G160" s="29"/>
    </row>
    <row r="161" spans="1:7" ht="15.75">
      <c r="A161" s="27" t="s">
        <v>781</v>
      </c>
      <c r="B161" s="28">
        <v>0</v>
      </c>
      <c r="C161" s="28">
        <v>548</v>
      </c>
      <c r="D161" s="28">
        <v>544</v>
      </c>
      <c r="E161" s="28">
        <v>12</v>
      </c>
      <c r="F161" s="28">
        <v>6532</v>
      </c>
      <c r="G161" s="29"/>
    </row>
    <row r="162" spans="1:7" ht="15.75">
      <c r="A162" s="27" t="s">
        <v>782</v>
      </c>
      <c r="B162" s="28">
        <v>0</v>
      </c>
      <c r="C162" s="28">
        <v>462</v>
      </c>
      <c r="D162" s="28">
        <v>467</v>
      </c>
      <c r="E162" s="28">
        <v>12</v>
      </c>
      <c r="F162" s="28">
        <v>5599</v>
      </c>
      <c r="G162" s="29"/>
    </row>
    <row r="163" spans="1:7" ht="15.75">
      <c r="A163" s="27" t="s">
        <v>783</v>
      </c>
      <c r="B163" s="28">
        <v>0</v>
      </c>
      <c r="C163" s="28">
        <v>152</v>
      </c>
      <c r="D163" s="28">
        <v>149</v>
      </c>
      <c r="E163" s="28">
        <v>12</v>
      </c>
      <c r="F163" s="28">
        <v>1791</v>
      </c>
      <c r="G163" s="29"/>
    </row>
    <row r="164" spans="1:7" ht="15.75">
      <c r="A164" s="27" t="s">
        <v>784</v>
      </c>
      <c r="B164" s="28">
        <v>0</v>
      </c>
      <c r="C164" s="28">
        <v>164</v>
      </c>
      <c r="D164" s="28">
        <v>163</v>
      </c>
      <c r="E164" s="28">
        <v>12</v>
      </c>
      <c r="F164" s="28">
        <v>1957</v>
      </c>
      <c r="G164" s="29"/>
    </row>
    <row r="165" spans="1:7" ht="15.75">
      <c r="A165" s="27" t="s">
        <v>785</v>
      </c>
      <c r="B165" s="28">
        <v>0</v>
      </c>
      <c r="C165" s="28">
        <v>48</v>
      </c>
      <c r="D165" s="28">
        <v>43</v>
      </c>
      <c r="E165" s="28">
        <v>12</v>
      </c>
      <c r="F165" s="28">
        <v>521</v>
      </c>
      <c r="G165" s="29"/>
    </row>
    <row r="166" spans="1:7" ht="15.75">
      <c r="A166" s="27" t="s">
        <v>786</v>
      </c>
      <c r="B166" s="28">
        <v>0</v>
      </c>
      <c r="C166" s="28">
        <v>42</v>
      </c>
      <c r="D166" s="28">
        <v>47</v>
      </c>
      <c r="E166" s="28">
        <v>12</v>
      </c>
      <c r="F166" s="28">
        <v>559</v>
      </c>
      <c r="G166" s="29"/>
    </row>
    <row r="167" spans="1:7" ht="15.75">
      <c r="A167" s="27" t="s">
        <v>787</v>
      </c>
      <c r="B167" s="28">
        <v>0</v>
      </c>
      <c r="C167" s="28">
        <v>200</v>
      </c>
      <c r="D167" s="28">
        <v>199</v>
      </c>
      <c r="E167" s="28">
        <v>12</v>
      </c>
      <c r="F167" s="28">
        <v>2389</v>
      </c>
      <c r="G167" s="29"/>
    </row>
    <row r="168" spans="1:7" ht="15.75">
      <c r="A168" s="27" t="s">
        <v>788</v>
      </c>
      <c r="B168" s="28">
        <v>0</v>
      </c>
      <c r="C168" s="28">
        <v>74</v>
      </c>
      <c r="D168" s="28">
        <v>78</v>
      </c>
      <c r="E168" s="28">
        <v>12</v>
      </c>
      <c r="F168" s="28">
        <v>932</v>
      </c>
      <c r="G168" s="29"/>
    </row>
    <row r="169" spans="1:7" ht="15.75">
      <c r="A169" s="27" t="s">
        <v>789</v>
      </c>
      <c r="B169" s="28">
        <v>0</v>
      </c>
      <c r="C169" s="28">
        <v>128</v>
      </c>
      <c r="D169" s="28">
        <v>124</v>
      </c>
      <c r="E169" s="28">
        <v>12</v>
      </c>
      <c r="F169" s="28">
        <v>1492</v>
      </c>
      <c r="G169" s="29"/>
    </row>
    <row r="170" spans="1:7" ht="15.75">
      <c r="A170" s="27" t="s">
        <v>790</v>
      </c>
      <c r="B170" s="28">
        <v>0</v>
      </c>
      <c r="C170" s="28">
        <v>74</v>
      </c>
      <c r="D170" s="28">
        <v>78</v>
      </c>
      <c r="E170" s="28">
        <v>12</v>
      </c>
      <c r="F170" s="28">
        <v>932</v>
      </c>
      <c r="G170" s="29"/>
    </row>
    <row r="171" spans="1:7" ht="15.75">
      <c r="A171" s="27" t="s">
        <v>791</v>
      </c>
      <c r="B171" s="28">
        <v>0</v>
      </c>
      <c r="C171" s="28">
        <v>138</v>
      </c>
      <c r="D171" s="28">
        <v>140</v>
      </c>
      <c r="E171" s="28">
        <v>12</v>
      </c>
      <c r="F171" s="28">
        <v>1678</v>
      </c>
      <c r="G171" s="29"/>
    </row>
    <row r="172" spans="1:7" ht="15.75">
      <c r="A172" s="27" t="s">
        <v>792</v>
      </c>
      <c r="B172" s="28">
        <v>0</v>
      </c>
      <c r="C172" s="28">
        <v>74</v>
      </c>
      <c r="D172" s="28">
        <v>78</v>
      </c>
      <c r="E172" s="28">
        <v>12</v>
      </c>
      <c r="F172" s="28">
        <v>932</v>
      </c>
      <c r="G172" s="29"/>
    </row>
    <row r="173" spans="1:7" ht="15.75">
      <c r="A173" s="27" t="s">
        <v>793</v>
      </c>
      <c r="B173" s="28">
        <v>0</v>
      </c>
      <c r="C173" s="28">
        <v>182</v>
      </c>
      <c r="D173" s="28">
        <v>187</v>
      </c>
      <c r="E173" s="28">
        <v>12</v>
      </c>
      <c r="F173" s="28">
        <v>2239</v>
      </c>
      <c r="G173" s="29"/>
    </row>
    <row r="174" spans="1:7" ht="15.75">
      <c r="A174" s="27" t="s">
        <v>794</v>
      </c>
      <c r="B174" s="28">
        <v>0</v>
      </c>
      <c r="C174" s="28">
        <v>474</v>
      </c>
      <c r="D174" s="28">
        <v>471</v>
      </c>
      <c r="E174" s="28">
        <v>12</v>
      </c>
      <c r="F174" s="28">
        <v>5655</v>
      </c>
      <c r="G174" s="29"/>
    </row>
    <row r="175" spans="1:7" ht="15.75">
      <c r="A175" s="27" t="s">
        <v>795</v>
      </c>
      <c r="B175" s="28">
        <v>0</v>
      </c>
      <c r="C175" s="28">
        <v>154</v>
      </c>
      <c r="D175" s="28">
        <v>159</v>
      </c>
      <c r="E175" s="28">
        <v>12</v>
      </c>
      <c r="F175" s="28">
        <v>1903</v>
      </c>
      <c r="G175" s="29"/>
    </row>
    <row r="176" spans="1:7" ht="15.75">
      <c r="A176" s="27" t="s">
        <v>796</v>
      </c>
      <c r="B176" s="28">
        <v>0</v>
      </c>
      <c r="C176" s="28">
        <v>160</v>
      </c>
      <c r="D176" s="28">
        <v>155</v>
      </c>
      <c r="E176" s="28">
        <v>12</v>
      </c>
      <c r="F176" s="28">
        <v>1865</v>
      </c>
      <c r="G176" s="29"/>
    </row>
    <row r="177" spans="1:7" ht="15.75">
      <c r="A177" s="27" t="s">
        <v>800</v>
      </c>
      <c r="B177" s="28">
        <v>0</v>
      </c>
      <c r="C177" s="28">
        <v>484</v>
      </c>
      <c r="D177" s="28">
        <v>482</v>
      </c>
      <c r="E177" s="28">
        <v>12</v>
      </c>
      <c r="F177" s="28">
        <v>5786</v>
      </c>
      <c r="G177" s="29"/>
    </row>
    <row r="178" spans="1:7" ht="15.75">
      <c r="A178" s="27" t="s">
        <v>801</v>
      </c>
      <c r="B178" s="28">
        <v>0</v>
      </c>
      <c r="C178" s="28">
        <v>104</v>
      </c>
      <c r="D178" s="28">
        <v>99</v>
      </c>
      <c r="E178" s="28">
        <v>12</v>
      </c>
      <c r="F178" s="28">
        <v>1193</v>
      </c>
      <c r="G178" s="29"/>
    </row>
    <row r="179" spans="1:7" ht="15.75">
      <c r="A179" s="27" t="s">
        <v>802</v>
      </c>
      <c r="B179" s="28">
        <v>0</v>
      </c>
      <c r="C179" s="28">
        <v>50</v>
      </c>
      <c r="D179" s="28">
        <v>53</v>
      </c>
      <c r="E179" s="28">
        <v>12</v>
      </c>
      <c r="F179" s="28">
        <v>633</v>
      </c>
      <c r="G179" s="29"/>
    </row>
    <row r="180" spans="1:7" ht="15.75">
      <c r="A180" s="27" t="s">
        <v>803</v>
      </c>
      <c r="B180" s="28">
        <v>0</v>
      </c>
      <c r="C180" s="28">
        <v>78</v>
      </c>
      <c r="D180" s="28">
        <v>81</v>
      </c>
      <c r="E180" s="28">
        <v>12</v>
      </c>
      <c r="F180" s="28">
        <v>969</v>
      </c>
      <c r="G180" s="29"/>
    </row>
    <row r="181" spans="1:7" ht="15.75">
      <c r="A181" s="27" t="s">
        <v>804</v>
      </c>
      <c r="B181" s="28">
        <v>0</v>
      </c>
      <c r="C181" s="28">
        <v>40</v>
      </c>
      <c r="D181" s="28">
        <v>42</v>
      </c>
      <c r="E181" s="28">
        <v>12</v>
      </c>
      <c r="F181" s="28">
        <v>502</v>
      </c>
      <c r="G181" s="29"/>
    </row>
    <row r="182" spans="1:7" ht="15.75">
      <c r="A182" s="27" t="s">
        <v>805</v>
      </c>
      <c r="B182" s="28">
        <v>0</v>
      </c>
      <c r="C182" s="28">
        <v>96</v>
      </c>
      <c r="D182" s="28">
        <v>93</v>
      </c>
      <c r="E182" s="28">
        <v>12</v>
      </c>
      <c r="F182" s="28">
        <v>1119</v>
      </c>
      <c r="G182" s="29"/>
    </row>
    <row r="183" spans="1:7" ht="15.75">
      <c r="A183" s="27" t="s">
        <v>806</v>
      </c>
      <c r="B183" s="28">
        <v>0</v>
      </c>
      <c r="C183" s="28">
        <v>32</v>
      </c>
      <c r="D183" s="28">
        <v>36</v>
      </c>
      <c r="E183" s="28">
        <v>12</v>
      </c>
      <c r="F183" s="28">
        <v>428</v>
      </c>
      <c r="G183" s="29"/>
    </row>
    <row r="184" spans="1:7" ht="15.75">
      <c r="A184" s="27" t="s">
        <v>807</v>
      </c>
      <c r="B184" s="28">
        <v>0</v>
      </c>
      <c r="C184" s="28">
        <v>50</v>
      </c>
      <c r="D184" s="28">
        <v>53</v>
      </c>
      <c r="E184" s="28">
        <v>12</v>
      </c>
      <c r="F184" s="28">
        <v>633</v>
      </c>
      <c r="G184" s="29"/>
    </row>
    <row r="185" spans="1:7" ht="15.75">
      <c r="A185" s="27" t="s">
        <v>808</v>
      </c>
      <c r="B185" s="28">
        <v>0</v>
      </c>
      <c r="C185" s="28">
        <v>338</v>
      </c>
      <c r="D185" s="28">
        <v>334</v>
      </c>
      <c r="E185" s="28">
        <v>12</v>
      </c>
      <c r="F185" s="28">
        <v>4012</v>
      </c>
      <c r="G185" s="29"/>
    </row>
    <row r="186" spans="1:7" ht="15.75">
      <c r="A186" s="27" t="s">
        <v>809</v>
      </c>
      <c r="B186" s="28">
        <v>0</v>
      </c>
      <c r="C186" s="28">
        <v>347</v>
      </c>
      <c r="D186" s="28">
        <v>350</v>
      </c>
      <c r="E186" s="28">
        <v>12</v>
      </c>
      <c r="F186" s="28">
        <v>4197</v>
      </c>
      <c r="G186" s="29"/>
    </row>
    <row r="187" spans="1:7" ht="15.75">
      <c r="A187" s="27" t="s">
        <v>810</v>
      </c>
      <c r="B187" s="28">
        <v>0</v>
      </c>
      <c r="C187" s="28">
        <v>84</v>
      </c>
      <c r="D187" s="28">
        <v>89</v>
      </c>
      <c r="E187" s="28">
        <v>12</v>
      </c>
      <c r="F187" s="28">
        <v>1063</v>
      </c>
      <c r="G187" s="29"/>
    </row>
    <row r="188" spans="1:7" ht="15.75">
      <c r="A188" s="27" t="s">
        <v>811</v>
      </c>
      <c r="B188" s="28">
        <v>0</v>
      </c>
      <c r="C188" s="28">
        <v>58</v>
      </c>
      <c r="D188" s="28">
        <v>54</v>
      </c>
      <c r="E188" s="28">
        <v>12</v>
      </c>
      <c r="F188" s="28">
        <v>652</v>
      </c>
      <c r="G188" s="29"/>
    </row>
    <row r="189" spans="1:7" ht="15.75">
      <c r="A189" s="27" t="s">
        <v>812</v>
      </c>
      <c r="B189" s="28">
        <v>0</v>
      </c>
      <c r="C189" s="28">
        <v>92</v>
      </c>
      <c r="D189" s="28">
        <v>95</v>
      </c>
      <c r="E189" s="28">
        <v>12</v>
      </c>
      <c r="F189" s="28">
        <v>1137</v>
      </c>
      <c r="G189" s="29"/>
    </row>
    <row r="190" spans="1:7" ht="15.75">
      <c r="A190" s="27" t="s">
        <v>813</v>
      </c>
      <c r="B190" s="28">
        <v>0</v>
      </c>
      <c r="C190" s="28">
        <v>414</v>
      </c>
      <c r="D190" s="28">
        <v>412</v>
      </c>
      <c r="E190" s="28">
        <v>12</v>
      </c>
      <c r="F190" s="28">
        <v>4946</v>
      </c>
      <c r="G190" s="29"/>
    </row>
    <row r="191" spans="1:7" ht="15.75">
      <c r="A191" s="27" t="s">
        <v>814</v>
      </c>
      <c r="B191" s="28">
        <v>0</v>
      </c>
      <c r="C191" s="28">
        <v>423</v>
      </c>
      <c r="D191" s="28">
        <v>428</v>
      </c>
      <c r="E191" s="28">
        <v>12</v>
      </c>
      <c r="F191" s="28">
        <v>5131</v>
      </c>
      <c r="G191" s="29"/>
    </row>
    <row r="192" spans="1:7" ht="15.75">
      <c r="A192" s="27" t="s">
        <v>815</v>
      </c>
      <c r="B192" s="28">
        <v>0</v>
      </c>
      <c r="C192" s="28">
        <v>364</v>
      </c>
      <c r="D192" s="28">
        <v>369</v>
      </c>
      <c r="E192" s="28">
        <v>12</v>
      </c>
      <c r="F192" s="28">
        <v>4423</v>
      </c>
      <c r="G192" s="29"/>
    </row>
    <row r="193" spans="1:7" ht="15.75">
      <c r="A193" s="27" t="s">
        <v>816</v>
      </c>
      <c r="B193" s="28">
        <v>0</v>
      </c>
      <c r="C193" s="28">
        <v>384</v>
      </c>
      <c r="D193" s="28">
        <v>384</v>
      </c>
      <c r="E193" s="28">
        <v>12</v>
      </c>
      <c r="F193" s="28">
        <v>4608</v>
      </c>
      <c r="G193" s="29"/>
    </row>
    <row r="194" spans="1:7" ht="15.75">
      <c r="A194" s="27" t="s">
        <v>817</v>
      </c>
      <c r="B194" s="28">
        <v>0</v>
      </c>
      <c r="C194" s="28">
        <v>132</v>
      </c>
      <c r="D194" s="28">
        <v>127</v>
      </c>
      <c r="E194" s="28">
        <v>12</v>
      </c>
      <c r="F194" s="28">
        <v>1529</v>
      </c>
      <c r="G194" s="29"/>
    </row>
    <row r="195" spans="1:7" ht="15.75">
      <c r="A195" s="27" t="s">
        <v>818</v>
      </c>
      <c r="B195" s="28">
        <v>0</v>
      </c>
      <c r="C195" s="28">
        <v>462</v>
      </c>
      <c r="D195" s="28">
        <v>467</v>
      </c>
      <c r="E195" s="28">
        <v>12</v>
      </c>
      <c r="F195" s="28">
        <v>5599</v>
      </c>
      <c r="G195" s="29"/>
    </row>
    <row r="196" spans="1:7" ht="15.75">
      <c r="A196" s="27" t="s">
        <v>819</v>
      </c>
      <c r="B196" s="28">
        <v>0</v>
      </c>
      <c r="C196" s="28">
        <v>54</v>
      </c>
      <c r="D196" s="28">
        <v>56</v>
      </c>
      <c r="E196" s="28">
        <v>12</v>
      </c>
      <c r="F196" s="28">
        <v>670</v>
      </c>
      <c r="G196" s="29"/>
    </row>
    <row r="197" spans="1:7" ht="15.75">
      <c r="A197" s="27" t="s">
        <v>820</v>
      </c>
      <c r="B197" s="28">
        <v>0</v>
      </c>
      <c r="C197" s="28">
        <v>48</v>
      </c>
      <c r="D197" s="28">
        <v>43</v>
      </c>
      <c r="E197" s="28">
        <v>12</v>
      </c>
      <c r="F197" s="28">
        <v>521</v>
      </c>
      <c r="G197" s="29"/>
    </row>
    <row r="198" spans="1:7" ht="15.75">
      <c r="A198" s="27" t="s">
        <v>821</v>
      </c>
      <c r="B198" s="28">
        <v>0</v>
      </c>
      <c r="C198" s="28">
        <v>60</v>
      </c>
      <c r="D198" s="28">
        <v>59</v>
      </c>
      <c r="E198" s="28">
        <v>12</v>
      </c>
      <c r="F198" s="28">
        <v>709</v>
      </c>
      <c r="G198" s="29"/>
    </row>
    <row r="199" spans="1:7" ht="15.75">
      <c r="A199" s="27" t="s">
        <v>822</v>
      </c>
      <c r="B199" s="28">
        <v>0</v>
      </c>
      <c r="C199" s="28">
        <v>74</v>
      </c>
      <c r="D199" s="28">
        <v>78</v>
      </c>
      <c r="E199" s="28">
        <v>12</v>
      </c>
      <c r="F199" s="28">
        <v>932</v>
      </c>
      <c r="G199" s="29"/>
    </row>
    <row r="200" spans="1:7" ht="15.75">
      <c r="A200" s="27" t="s">
        <v>823</v>
      </c>
      <c r="B200" s="28">
        <v>0</v>
      </c>
      <c r="C200" s="28">
        <v>60</v>
      </c>
      <c r="D200" s="28">
        <v>64</v>
      </c>
      <c r="E200" s="28">
        <v>12</v>
      </c>
      <c r="F200" s="28">
        <v>764</v>
      </c>
      <c r="G200" s="29"/>
    </row>
    <row r="201" spans="1:7" ht="15.75">
      <c r="A201" s="27" t="s">
        <v>824</v>
      </c>
      <c r="B201" s="28">
        <v>0</v>
      </c>
      <c r="C201" s="28">
        <v>102</v>
      </c>
      <c r="D201" s="28">
        <v>106</v>
      </c>
      <c r="E201" s="28">
        <v>12</v>
      </c>
      <c r="F201" s="28">
        <v>1268</v>
      </c>
      <c r="G201" s="29"/>
    </row>
    <row r="202" spans="1:7" ht="15.75">
      <c r="A202" s="27" t="s">
        <v>825</v>
      </c>
      <c r="B202" s="28">
        <v>0</v>
      </c>
      <c r="C202" s="28">
        <v>64</v>
      </c>
      <c r="D202" s="28">
        <v>62</v>
      </c>
      <c r="E202" s="28">
        <v>12</v>
      </c>
      <c r="F202" s="28">
        <v>746</v>
      </c>
      <c r="G202" s="29"/>
    </row>
    <row r="203" spans="1:7" ht="15.75">
      <c r="A203" s="27" t="s">
        <v>826</v>
      </c>
      <c r="B203" s="28">
        <v>0</v>
      </c>
      <c r="C203" s="28">
        <v>367</v>
      </c>
      <c r="D203" s="28">
        <v>372</v>
      </c>
      <c r="E203" s="28">
        <v>12</v>
      </c>
      <c r="F203" s="28">
        <v>4459</v>
      </c>
      <c r="G203" s="29"/>
    </row>
    <row r="204" spans="1:7" ht="15.75">
      <c r="A204" s="27" t="s">
        <v>827</v>
      </c>
      <c r="B204" s="28">
        <v>0</v>
      </c>
      <c r="C204" s="28">
        <v>386</v>
      </c>
      <c r="D204" s="28">
        <v>389</v>
      </c>
      <c r="E204" s="28">
        <v>12</v>
      </c>
      <c r="F204" s="28">
        <v>4665</v>
      </c>
      <c r="G204" s="29"/>
    </row>
    <row r="205" spans="1:7" ht="15.75">
      <c r="A205" s="27" t="s">
        <v>828</v>
      </c>
      <c r="B205" s="28">
        <v>0</v>
      </c>
      <c r="C205" s="28">
        <v>462</v>
      </c>
      <c r="D205" s="28">
        <v>467</v>
      </c>
      <c r="E205" s="28">
        <v>12</v>
      </c>
      <c r="F205" s="28">
        <v>5599</v>
      </c>
      <c r="G205" s="29"/>
    </row>
    <row r="206" spans="1:7" ht="15.75">
      <c r="A206" s="27" t="s">
        <v>829</v>
      </c>
      <c r="B206" s="28">
        <v>0</v>
      </c>
      <c r="C206" s="28">
        <v>466</v>
      </c>
      <c r="D206" s="28">
        <v>470</v>
      </c>
      <c r="E206" s="28">
        <v>12</v>
      </c>
      <c r="F206" s="28">
        <v>5636</v>
      </c>
      <c r="G206" s="29"/>
    </row>
    <row r="207" spans="1:7" ht="15.75">
      <c r="A207" s="27" t="s">
        <v>830</v>
      </c>
      <c r="B207" s="28">
        <v>0</v>
      </c>
      <c r="C207" s="28">
        <v>470</v>
      </c>
      <c r="D207" s="28">
        <v>468</v>
      </c>
      <c r="E207" s="28">
        <v>12</v>
      </c>
      <c r="F207" s="28">
        <v>5618</v>
      </c>
      <c r="G207" s="29"/>
    </row>
    <row r="208" spans="1:7" ht="15.75">
      <c r="A208" s="27" t="s">
        <v>831</v>
      </c>
      <c r="B208" s="28">
        <v>0</v>
      </c>
      <c r="C208" s="28">
        <v>470</v>
      </c>
      <c r="D208" s="28">
        <v>473</v>
      </c>
      <c r="E208" s="28">
        <v>12</v>
      </c>
      <c r="F208" s="28">
        <v>5673</v>
      </c>
      <c r="G208" s="29"/>
    </row>
    <row r="209" spans="1:7" ht="15.75">
      <c r="A209" s="27" t="s">
        <v>832</v>
      </c>
      <c r="B209" s="28">
        <v>0</v>
      </c>
      <c r="C209" s="28">
        <v>476</v>
      </c>
      <c r="D209" s="28">
        <v>481</v>
      </c>
      <c r="E209" s="28">
        <v>12</v>
      </c>
      <c r="F209" s="28">
        <v>5767</v>
      </c>
      <c r="G209" s="29"/>
    </row>
    <row r="210" spans="1:7" ht="15.75">
      <c r="A210" s="27" t="s">
        <v>833</v>
      </c>
      <c r="B210" s="28">
        <v>0</v>
      </c>
      <c r="C210" s="28">
        <v>522</v>
      </c>
      <c r="D210" s="28">
        <v>521</v>
      </c>
      <c r="E210" s="28">
        <v>12</v>
      </c>
      <c r="F210" s="28">
        <v>6253</v>
      </c>
      <c r="G210" s="29"/>
    </row>
    <row r="211" spans="1:7" ht="15.75">
      <c r="A211" s="27" t="s">
        <v>834</v>
      </c>
      <c r="B211" s="28">
        <v>0</v>
      </c>
      <c r="C211" s="28">
        <v>886</v>
      </c>
      <c r="D211" s="28">
        <v>885</v>
      </c>
      <c r="E211" s="28">
        <v>12</v>
      </c>
      <c r="F211" s="28">
        <v>10621</v>
      </c>
      <c r="G211" s="29"/>
    </row>
    <row r="212" spans="1:7" ht="15.75">
      <c r="A212" s="27" t="s">
        <v>836</v>
      </c>
      <c r="B212" s="28">
        <v>0</v>
      </c>
      <c r="C212" s="28">
        <v>302</v>
      </c>
      <c r="D212" s="28">
        <v>300</v>
      </c>
      <c r="E212" s="28">
        <v>12</v>
      </c>
      <c r="F212" s="28">
        <v>3602</v>
      </c>
      <c r="G212" s="29"/>
    </row>
    <row r="213" spans="1:7" ht="15.75">
      <c r="A213" s="27" t="s">
        <v>837</v>
      </c>
      <c r="B213" s="28">
        <v>0</v>
      </c>
      <c r="C213" s="28">
        <v>160</v>
      </c>
      <c r="D213" s="28">
        <v>155</v>
      </c>
      <c r="E213" s="28">
        <v>12</v>
      </c>
      <c r="F213" s="28">
        <v>1865</v>
      </c>
      <c r="G213" s="29"/>
    </row>
    <row r="214" spans="1:7" ht="15.75">
      <c r="A214" s="27" t="s">
        <v>838</v>
      </c>
      <c r="B214" s="28">
        <v>0</v>
      </c>
      <c r="C214" s="28">
        <v>602</v>
      </c>
      <c r="D214" s="28">
        <v>607</v>
      </c>
      <c r="E214" s="28">
        <v>12</v>
      </c>
      <c r="F214" s="28">
        <v>7279</v>
      </c>
      <c r="G214" s="29"/>
    </row>
    <row r="215" spans="1:7" ht="15.75">
      <c r="A215" s="27" t="s">
        <v>293</v>
      </c>
      <c r="B215" s="28">
        <v>0</v>
      </c>
      <c r="C215" s="28">
        <v>168</v>
      </c>
      <c r="D215" s="28">
        <v>173</v>
      </c>
      <c r="E215" s="28">
        <v>12</v>
      </c>
      <c r="F215" s="28">
        <v>2071</v>
      </c>
      <c r="G215" s="29"/>
    </row>
    <row r="216" spans="1:7" ht="15.75">
      <c r="A216" s="27" t="s">
        <v>839</v>
      </c>
      <c r="B216" s="28">
        <v>0</v>
      </c>
      <c r="C216" s="28">
        <v>90</v>
      </c>
      <c r="D216" s="28">
        <v>85</v>
      </c>
      <c r="E216" s="28">
        <v>12</v>
      </c>
      <c r="F216" s="28">
        <v>1025</v>
      </c>
      <c r="G216" s="29"/>
    </row>
    <row r="217" spans="1:7" ht="15.75">
      <c r="A217" s="27" t="s">
        <v>840</v>
      </c>
      <c r="B217" s="28">
        <v>0</v>
      </c>
      <c r="C217" s="28">
        <v>56</v>
      </c>
      <c r="D217" s="28">
        <v>61</v>
      </c>
      <c r="E217" s="28">
        <v>12</v>
      </c>
      <c r="F217" s="28">
        <v>727</v>
      </c>
      <c r="G217" s="29"/>
    </row>
    <row r="218" spans="1:7" ht="15.75">
      <c r="A218" s="27" t="s">
        <v>841</v>
      </c>
      <c r="B218" s="28">
        <v>0</v>
      </c>
      <c r="C218" s="28">
        <v>22</v>
      </c>
      <c r="D218" s="28">
        <v>20</v>
      </c>
      <c r="E218" s="28">
        <v>12</v>
      </c>
      <c r="F218" s="28">
        <v>242</v>
      </c>
      <c r="G218" s="29"/>
    </row>
    <row r="219" spans="1:7" ht="15.75">
      <c r="A219" s="27" t="s">
        <v>842</v>
      </c>
      <c r="B219" s="28">
        <v>0</v>
      </c>
      <c r="C219" s="28">
        <v>162</v>
      </c>
      <c r="D219" s="28">
        <v>165</v>
      </c>
      <c r="E219" s="28">
        <v>12</v>
      </c>
      <c r="F219" s="28">
        <v>1977</v>
      </c>
      <c r="G219" s="29"/>
    </row>
    <row r="220" spans="1:7" ht="15.75">
      <c r="A220" s="27" t="s">
        <v>843</v>
      </c>
      <c r="B220" s="28">
        <v>0</v>
      </c>
      <c r="C220" s="28">
        <v>106</v>
      </c>
      <c r="D220" s="28">
        <v>109</v>
      </c>
      <c r="E220" s="28">
        <v>12</v>
      </c>
      <c r="F220" s="28">
        <v>1305</v>
      </c>
      <c r="G220" s="29"/>
    </row>
    <row r="221" spans="1:7" ht="15.75">
      <c r="A221" s="27" t="s">
        <v>844</v>
      </c>
      <c r="B221" s="28">
        <v>0</v>
      </c>
      <c r="C221" s="28">
        <v>106</v>
      </c>
      <c r="D221" s="28">
        <v>109</v>
      </c>
      <c r="E221" s="28">
        <v>12</v>
      </c>
      <c r="F221" s="28">
        <v>1305</v>
      </c>
      <c r="G221" s="29"/>
    </row>
    <row r="222" spans="1:7" ht="15.75">
      <c r="A222" s="27" t="s">
        <v>845</v>
      </c>
      <c r="B222" s="28">
        <v>0</v>
      </c>
      <c r="C222" s="28">
        <v>106</v>
      </c>
      <c r="D222" s="28">
        <v>109</v>
      </c>
      <c r="E222" s="28">
        <v>12</v>
      </c>
      <c r="F222" s="28">
        <v>1305</v>
      </c>
      <c r="G222" s="29"/>
    </row>
    <row r="223" spans="1:7" ht="15.75">
      <c r="A223" s="27" t="s">
        <v>846</v>
      </c>
      <c r="B223" s="28">
        <v>0</v>
      </c>
      <c r="C223" s="28">
        <v>408</v>
      </c>
      <c r="D223" s="28">
        <v>404</v>
      </c>
      <c r="E223" s="28">
        <v>12</v>
      </c>
      <c r="F223" s="28">
        <v>4852</v>
      </c>
      <c r="G223" s="29"/>
    </row>
    <row r="224" spans="1:7" ht="15.75">
      <c r="A224" s="27" t="s">
        <v>847</v>
      </c>
      <c r="B224" s="28">
        <v>0</v>
      </c>
      <c r="C224" s="28">
        <v>228</v>
      </c>
      <c r="D224" s="28">
        <v>227</v>
      </c>
      <c r="E224" s="28">
        <v>12</v>
      </c>
      <c r="F224" s="28">
        <v>2725</v>
      </c>
      <c r="G224" s="29"/>
    </row>
    <row r="225" spans="1:7" ht="15.75">
      <c r="A225" s="27" t="s">
        <v>848</v>
      </c>
      <c r="B225" s="28">
        <v>0</v>
      </c>
      <c r="C225" s="28">
        <v>76</v>
      </c>
      <c r="D225" s="28">
        <v>71</v>
      </c>
      <c r="E225" s="28">
        <v>12</v>
      </c>
      <c r="F225" s="28">
        <v>857</v>
      </c>
      <c r="G225" s="29"/>
    </row>
    <row r="226" spans="1:7" ht="15.75">
      <c r="A226" s="27" t="s">
        <v>849</v>
      </c>
      <c r="B226" s="28">
        <v>0</v>
      </c>
      <c r="C226" s="28">
        <v>54</v>
      </c>
      <c r="D226" s="28">
        <v>56</v>
      </c>
      <c r="E226" s="28">
        <v>12</v>
      </c>
      <c r="F226" s="28">
        <v>670</v>
      </c>
      <c r="G226" s="29"/>
    </row>
    <row r="227" spans="1:7" ht="15.75">
      <c r="A227" s="27" t="s">
        <v>850</v>
      </c>
      <c r="B227" s="28">
        <v>0</v>
      </c>
      <c r="C227" s="28">
        <v>90</v>
      </c>
      <c r="D227" s="28">
        <v>85</v>
      </c>
      <c r="E227" s="28">
        <v>12</v>
      </c>
      <c r="F227" s="28">
        <v>1025</v>
      </c>
      <c r="G227" s="29"/>
    </row>
    <row r="228" spans="1:7" ht="15.75">
      <c r="A228" s="27" t="s">
        <v>851</v>
      </c>
      <c r="B228" s="28">
        <v>0</v>
      </c>
      <c r="C228" s="28">
        <v>302</v>
      </c>
      <c r="D228" s="28">
        <v>305</v>
      </c>
      <c r="E228" s="28">
        <v>12</v>
      </c>
      <c r="F228" s="28">
        <v>3657</v>
      </c>
      <c r="G228" s="29"/>
    </row>
    <row r="229" spans="1:7" ht="15.75">
      <c r="A229" s="27" t="s">
        <v>852</v>
      </c>
      <c r="B229" s="28">
        <v>0</v>
      </c>
      <c r="C229" s="28">
        <v>88</v>
      </c>
      <c r="D229" s="28">
        <v>92</v>
      </c>
      <c r="E229" s="28">
        <v>12</v>
      </c>
      <c r="F229" s="28">
        <v>1100</v>
      </c>
      <c r="G229" s="29"/>
    </row>
    <row r="230" spans="1:7" ht="15.75">
      <c r="A230" s="27" t="s">
        <v>853</v>
      </c>
      <c r="B230" s="28">
        <v>0</v>
      </c>
      <c r="C230" s="28">
        <v>152</v>
      </c>
      <c r="D230" s="28">
        <v>149</v>
      </c>
      <c r="E230" s="28">
        <v>12</v>
      </c>
      <c r="F230" s="28">
        <v>1791</v>
      </c>
      <c r="G230" s="29"/>
    </row>
    <row r="231" spans="1:7" ht="15.75">
      <c r="A231" s="27" t="s">
        <v>854</v>
      </c>
      <c r="B231" s="28">
        <v>0</v>
      </c>
      <c r="C231" s="28">
        <v>312</v>
      </c>
      <c r="D231" s="28">
        <v>311</v>
      </c>
      <c r="E231" s="28">
        <v>12</v>
      </c>
      <c r="F231" s="28">
        <v>3733</v>
      </c>
      <c r="G231" s="29"/>
    </row>
    <row r="232" spans="1:7" ht="15.75">
      <c r="A232" s="27" t="s">
        <v>855</v>
      </c>
      <c r="B232" s="28">
        <v>0</v>
      </c>
      <c r="C232" s="28">
        <v>312</v>
      </c>
      <c r="D232" s="28">
        <v>316</v>
      </c>
      <c r="E232" s="28">
        <v>12</v>
      </c>
      <c r="F232" s="28">
        <v>3788</v>
      </c>
      <c r="G232" s="29"/>
    </row>
    <row r="233" spans="1:7" ht="15.75">
      <c r="A233" s="27" t="s">
        <v>856</v>
      </c>
      <c r="B233" s="28">
        <v>0</v>
      </c>
      <c r="C233" s="28">
        <v>368</v>
      </c>
      <c r="D233" s="28">
        <v>367</v>
      </c>
      <c r="E233" s="28">
        <v>12</v>
      </c>
      <c r="F233" s="28">
        <v>4405</v>
      </c>
      <c r="G233" s="29"/>
    </row>
    <row r="234" spans="1:7" ht="15.75">
      <c r="A234" s="27" t="s">
        <v>857</v>
      </c>
      <c r="B234" s="28">
        <v>0</v>
      </c>
      <c r="C234" s="28">
        <v>860</v>
      </c>
      <c r="D234" s="28">
        <v>855</v>
      </c>
      <c r="E234" s="28">
        <v>12</v>
      </c>
      <c r="F234" s="28">
        <v>10265</v>
      </c>
      <c r="G234" s="29"/>
    </row>
    <row r="235" spans="1:7" ht="15.75">
      <c r="A235" s="27" t="s">
        <v>858</v>
      </c>
      <c r="B235" s="28">
        <v>0</v>
      </c>
      <c r="C235" s="28">
        <v>1134</v>
      </c>
      <c r="D235" s="28">
        <v>1139</v>
      </c>
      <c r="E235" s="28">
        <v>12</v>
      </c>
      <c r="F235" s="28">
        <v>13663</v>
      </c>
      <c r="G235" s="29"/>
    </row>
    <row r="236" spans="1:7" ht="15.75">
      <c r="A236" s="27" t="s">
        <v>859</v>
      </c>
      <c r="B236" s="28">
        <v>0</v>
      </c>
      <c r="C236" s="28">
        <v>58</v>
      </c>
      <c r="D236" s="28">
        <v>54</v>
      </c>
      <c r="E236" s="28">
        <v>12</v>
      </c>
      <c r="F236" s="28">
        <v>652</v>
      </c>
      <c r="G236" s="29"/>
    </row>
    <row r="237" spans="1:7" ht="15.75">
      <c r="A237" s="27" t="s">
        <v>860</v>
      </c>
      <c r="B237" s="28">
        <v>0</v>
      </c>
      <c r="C237" s="28">
        <v>672</v>
      </c>
      <c r="D237" s="28">
        <v>677</v>
      </c>
      <c r="E237" s="28">
        <v>12</v>
      </c>
      <c r="F237" s="28">
        <v>8119</v>
      </c>
      <c r="G237" s="29"/>
    </row>
    <row r="238" spans="1:7" ht="15.75">
      <c r="A238" s="27" t="s">
        <v>861</v>
      </c>
      <c r="B238" s="28">
        <v>0</v>
      </c>
      <c r="C238" s="28">
        <v>914</v>
      </c>
      <c r="D238" s="28">
        <v>913</v>
      </c>
      <c r="E238" s="28">
        <v>12</v>
      </c>
      <c r="F238" s="28">
        <v>10957</v>
      </c>
      <c r="G238" s="29"/>
    </row>
    <row r="239" spans="1:7" ht="15.75">
      <c r="A239" s="27" t="s">
        <v>862</v>
      </c>
      <c r="B239" s="28">
        <v>0</v>
      </c>
      <c r="C239" s="28">
        <v>488</v>
      </c>
      <c r="D239" s="28">
        <v>490</v>
      </c>
      <c r="E239" s="28">
        <v>12</v>
      </c>
      <c r="F239" s="28">
        <v>5878</v>
      </c>
      <c r="G239" s="29"/>
    </row>
    <row r="240" spans="1:7" ht="15.75">
      <c r="A240" s="27" t="s">
        <v>863</v>
      </c>
      <c r="B240" s="28">
        <v>0</v>
      </c>
      <c r="C240" s="28">
        <v>838</v>
      </c>
      <c r="D240" s="28">
        <v>835</v>
      </c>
      <c r="E240" s="28">
        <v>12</v>
      </c>
      <c r="F240" s="28">
        <v>10023</v>
      </c>
      <c r="G240" s="29"/>
    </row>
    <row r="241" spans="1:7" ht="15.75">
      <c r="A241" s="27" t="s">
        <v>864</v>
      </c>
      <c r="B241" s="28">
        <v>0</v>
      </c>
      <c r="C241" s="28">
        <v>896</v>
      </c>
      <c r="D241" s="28">
        <v>901</v>
      </c>
      <c r="E241" s="28">
        <v>12</v>
      </c>
      <c r="F241" s="28">
        <v>10807</v>
      </c>
      <c r="G241" s="29"/>
    </row>
    <row r="242" spans="1:7" ht="15.75">
      <c r="A242" s="27" t="s">
        <v>866</v>
      </c>
      <c r="B242" s="28">
        <v>0</v>
      </c>
      <c r="C242" s="28">
        <v>972</v>
      </c>
      <c r="D242" s="28">
        <v>967</v>
      </c>
      <c r="E242" s="28">
        <v>12</v>
      </c>
      <c r="F242" s="28">
        <v>11609</v>
      </c>
      <c r="G242" s="29"/>
    </row>
    <row r="243" spans="1:7" ht="15.75">
      <c r="A243" s="27" t="s">
        <v>868</v>
      </c>
      <c r="B243" s="28">
        <v>0</v>
      </c>
      <c r="C243" s="28">
        <v>278</v>
      </c>
      <c r="D243" s="28">
        <v>280</v>
      </c>
      <c r="E243" s="28">
        <v>12</v>
      </c>
      <c r="F243" s="28">
        <v>3358</v>
      </c>
      <c r="G243" s="29"/>
    </row>
    <row r="244" spans="1:7" ht="15.75">
      <c r="A244" s="27" t="s">
        <v>865</v>
      </c>
      <c r="B244" s="28">
        <v>0</v>
      </c>
      <c r="C244" s="28">
        <v>112</v>
      </c>
      <c r="D244" s="28">
        <v>117</v>
      </c>
      <c r="E244" s="28">
        <v>12</v>
      </c>
      <c r="F244" s="28">
        <v>1399</v>
      </c>
      <c r="G244" s="29"/>
    </row>
    <row r="245" spans="1:7" ht="15.75">
      <c r="A245" s="27" t="s">
        <v>867</v>
      </c>
      <c r="B245" s="28">
        <v>0</v>
      </c>
      <c r="C245" s="28">
        <v>160</v>
      </c>
      <c r="D245" s="28">
        <v>155</v>
      </c>
      <c r="E245" s="28">
        <v>12</v>
      </c>
      <c r="F245" s="28">
        <v>1865</v>
      </c>
      <c r="G245" s="29"/>
    </row>
    <row r="246" spans="1:7" ht="15.75">
      <c r="A246" s="27" t="s">
        <v>869</v>
      </c>
      <c r="B246" s="28">
        <v>0</v>
      </c>
      <c r="C246" s="28">
        <v>180</v>
      </c>
      <c r="D246" s="28">
        <v>182</v>
      </c>
      <c r="E246" s="28">
        <v>12</v>
      </c>
      <c r="F246" s="28">
        <v>2182</v>
      </c>
      <c r="G246" s="29"/>
    </row>
    <row r="247" spans="1:7" ht="15.75">
      <c r="A247" s="27" t="s">
        <v>870</v>
      </c>
      <c r="B247" s="28">
        <v>0</v>
      </c>
      <c r="C247" s="28">
        <v>452</v>
      </c>
      <c r="D247" s="28">
        <v>456</v>
      </c>
      <c r="E247" s="28">
        <v>12</v>
      </c>
      <c r="F247" s="28">
        <v>5468</v>
      </c>
      <c r="G247" s="29"/>
    </row>
    <row r="248" spans="1:7" ht="15.75">
      <c r="A248" s="27" t="s">
        <v>871</v>
      </c>
      <c r="B248" s="28">
        <v>0</v>
      </c>
      <c r="C248" s="28">
        <v>58</v>
      </c>
      <c r="D248" s="28">
        <v>54</v>
      </c>
      <c r="E248" s="28">
        <v>12</v>
      </c>
      <c r="F248" s="28">
        <v>652</v>
      </c>
      <c r="G248" s="29"/>
    </row>
    <row r="249" spans="1:7" ht="15.75">
      <c r="A249" s="27" t="s">
        <v>872</v>
      </c>
      <c r="B249" s="28">
        <v>0</v>
      </c>
      <c r="C249" s="28">
        <v>250</v>
      </c>
      <c r="D249" s="28">
        <v>247</v>
      </c>
      <c r="E249" s="28">
        <v>12</v>
      </c>
      <c r="F249" s="28">
        <v>2967</v>
      </c>
      <c r="G249" s="29"/>
    </row>
    <row r="250" spans="1:7" ht="15.75">
      <c r="A250" s="27" t="s">
        <v>407</v>
      </c>
      <c r="B250" s="28">
        <v>0</v>
      </c>
      <c r="C250" s="28">
        <v>46</v>
      </c>
      <c r="D250" s="28">
        <v>45</v>
      </c>
      <c r="E250" s="28">
        <v>12</v>
      </c>
      <c r="F250" s="28">
        <v>541</v>
      </c>
      <c r="G250" s="29"/>
    </row>
    <row r="251" spans="1:7" ht="15.75">
      <c r="A251" s="27" t="s">
        <v>873</v>
      </c>
      <c r="B251" s="28">
        <v>0</v>
      </c>
      <c r="C251" s="28">
        <v>780</v>
      </c>
      <c r="D251" s="28">
        <v>774</v>
      </c>
      <c r="E251" s="28">
        <v>12</v>
      </c>
      <c r="F251" s="28">
        <v>9294</v>
      </c>
      <c r="G251" s="29"/>
    </row>
    <row r="252" spans="1:7" ht="15.75">
      <c r="A252" s="27" t="s">
        <v>874</v>
      </c>
      <c r="B252" s="28">
        <v>0</v>
      </c>
      <c r="C252" s="28">
        <v>278</v>
      </c>
      <c r="D252" s="28">
        <v>280</v>
      </c>
      <c r="E252" s="28">
        <v>12</v>
      </c>
      <c r="F252" s="28">
        <v>3358</v>
      </c>
      <c r="G252" s="29"/>
    </row>
    <row r="253" spans="1:7" ht="15.75">
      <c r="A253" s="27" t="s">
        <v>875</v>
      </c>
      <c r="B253" s="28">
        <v>0</v>
      </c>
      <c r="C253" s="28">
        <v>154</v>
      </c>
      <c r="D253" s="28">
        <v>159</v>
      </c>
      <c r="E253" s="28">
        <v>12</v>
      </c>
      <c r="F253" s="28">
        <v>1903</v>
      </c>
      <c r="G253" s="29"/>
    </row>
    <row r="254" spans="1:7" ht="15.75">
      <c r="A254" s="27" t="s">
        <v>876</v>
      </c>
      <c r="B254" s="28">
        <v>0</v>
      </c>
      <c r="C254" s="28">
        <v>190</v>
      </c>
      <c r="D254" s="28">
        <v>188</v>
      </c>
      <c r="E254" s="28">
        <v>12</v>
      </c>
      <c r="F254" s="28">
        <v>2258</v>
      </c>
      <c r="G254" s="29"/>
    </row>
    <row r="255" spans="1:7" ht="15.75">
      <c r="A255" s="27" t="s">
        <v>877</v>
      </c>
      <c r="B255" s="28">
        <v>0</v>
      </c>
      <c r="C255" s="28">
        <v>116</v>
      </c>
      <c r="D255" s="28">
        <v>120</v>
      </c>
      <c r="E255" s="28">
        <v>12</v>
      </c>
      <c r="F255" s="28">
        <v>1436</v>
      </c>
      <c r="G255" s="29"/>
    </row>
    <row r="256" spans="1:7" ht="15.75">
      <c r="A256" s="27" t="s">
        <v>878</v>
      </c>
      <c r="B256" s="28">
        <v>0</v>
      </c>
      <c r="C256" s="28">
        <v>116</v>
      </c>
      <c r="D256" s="28">
        <v>120</v>
      </c>
      <c r="E256" s="28">
        <v>12</v>
      </c>
      <c r="F256" s="28">
        <v>1436</v>
      </c>
      <c r="G256" s="29"/>
    </row>
    <row r="257" spans="1:7" ht="15.75">
      <c r="A257" s="27" t="s">
        <v>879</v>
      </c>
      <c r="B257" s="28">
        <v>0</v>
      </c>
      <c r="C257" s="28">
        <v>118</v>
      </c>
      <c r="D257" s="28">
        <v>113</v>
      </c>
      <c r="E257" s="28">
        <v>12</v>
      </c>
      <c r="F257" s="28">
        <v>1361</v>
      </c>
      <c r="G257" s="29"/>
    </row>
    <row r="258" spans="1:7" ht="15.75">
      <c r="A258" s="27" t="s">
        <v>880</v>
      </c>
      <c r="B258" s="28">
        <v>0</v>
      </c>
      <c r="C258" s="28">
        <v>118</v>
      </c>
      <c r="D258" s="28">
        <v>113</v>
      </c>
      <c r="E258" s="28">
        <v>12</v>
      </c>
      <c r="F258" s="28">
        <v>1361</v>
      </c>
      <c r="G258" s="29"/>
    </row>
    <row r="259" spans="1:7" ht="15.75">
      <c r="A259" s="27" t="s">
        <v>881</v>
      </c>
      <c r="B259" s="28">
        <v>0</v>
      </c>
      <c r="C259" s="28">
        <v>118</v>
      </c>
      <c r="D259" s="28">
        <v>113</v>
      </c>
      <c r="E259" s="28">
        <v>12</v>
      </c>
      <c r="F259" s="28">
        <v>1361</v>
      </c>
      <c r="G259" s="29"/>
    </row>
    <row r="260" spans="1:7" ht="15.75">
      <c r="A260" s="27" t="s">
        <v>882</v>
      </c>
      <c r="B260" s="28">
        <v>0</v>
      </c>
      <c r="C260" s="28">
        <v>98</v>
      </c>
      <c r="D260" s="28">
        <v>103</v>
      </c>
      <c r="E260" s="28">
        <v>12</v>
      </c>
      <c r="F260" s="28">
        <v>1231</v>
      </c>
      <c r="G260" s="29"/>
    </row>
    <row r="261" spans="1:7" ht="15.75">
      <c r="A261" s="27" t="s">
        <v>883</v>
      </c>
      <c r="B261" s="28">
        <v>0</v>
      </c>
      <c r="C261" s="28">
        <v>146</v>
      </c>
      <c r="D261" s="28">
        <v>141</v>
      </c>
      <c r="E261" s="28">
        <v>12</v>
      </c>
      <c r="F261" s="28">
        <v>1697</v>
      </c>
      <c r="G261" s="29"/>
    </row>
    <row r="262" spans="1:7" ht="15.75">
      <c r="A262" s="27" t="s">
        <v>884</v>
      </c>
      <c r="B262" s="28">
        <v>0</v>
      </c>
      <c r="C262" s="28">
        <v>98</v>
      </c>
      <c r="D262" s="28">
        <v>103</v>
      </c>
      <c r="E262" s="28">
        <v>12</v>
      </c>
      <c r="F262" s="28">
        <v>1231</v>
      </c>
      <c r="G262" s="29"/>
    </row>
    <row r="263" spans="1:7" ht="15.75">
      <c r="A263" s="27" t="s">
        <v>885</v>
      </c>
      <c r="B263" s="28">
        <v>0</v>
      </c>
      <c r="C263" s="28">
        <v>282</v>
      </c>
      <c r="D263" s="28">
        <v>278</v>
      </c>
      <c r="E263" s="28">
        <v>12</v>
      </c>
      <c r="F263" s="28">
        <v>3340</v>
      </c>
      <c r="G263" s="29"/>
    </row>
    <row r="264" spans="1:7" ht="15.75">
      <c r="A264" s="27" t="s">
        <v>886</v>
      </c>
      <c r="B264" s="28">
        <v>0</v>
      </c>
      <c r="C264" s="28">
        <v>628</v>
      </c>
      <c r="D264" s="28">
        <v>625</v>
      </c>
      <c r="E264" s="28">
        <v>12</v>
      </c>
      <c r="F264" s="28">
        <v>7503</v>
      </c>
      <c r="G264" s="29"/>
    </row>
    <row r="265" spans="1:7" ht="15.75">
      <c r="A265" s="27" t="s">
        <v>887</v>
      </c>
      <c r="B265" s="28">
        <v>0</v>
      </c>
      <c r="C265" s="28">
        <v>110</v>
      </c>
      <c r="D265" s="28">
        <v>112</v>
      </c>
      <c r="E265" s="28">
        <v>12</v>
      </c>
      <c r="F265" s="28">
        <v>1342</v>
      </c>
      <c r="G265" s="29"/>
    </row>
    <row r="266" spans="1:7" ht="15.75">
      <c r="A266" s="27" t="s">
        <v>888</v>
      </c>
      <c r="B266" s="28">
        <v>0</v>
      </c>
      <c r="C266" s="28">
        <v>110</v>
      </c>
      <c r="D266" s="28">
        <v>112</v>
      </c>
      <c r="E266" s="28">
        <v>12</v>
      </c>
      <c r="F266" s="28">
        <v>1342</v>
      </c>
      <c r="G266" s="29"/>
    </row>
    <row r="267" spans="1:7" ht="15.75">
      <c r="A267" s="27" t="s">
        <v>889</v>
      </c>
      <c r="B267" s="28">
        <v>0</v>
      </c>
      <c r="C267" s="28">
        <v>110</v>
      </c>
      <c r="D267" s="28">
        <v>112</v>
      </c>
      <c r="E267" s="28">
        <v>12</v>
      </c>
      <c r="F267" s="28">
        <v>1342</v>
      </c>
      <c r="G267" s="29"/>
    </row>
    <row r="268" spans="1:7" ht="15.75">
      <c r="A268" s="27" t="s">
        <v>890</v>
      </c>
      <c r="B268" s="28">
        <v>0</v>
      </c>
      <c r="C268" s="28">
        <v>154</v>
      </c>
      <c r="D268" s="28">
        <v>159</v>
      </c>
      <c r="E268" s="28">
        <v>12</v>
      </c>
      <c r="F268" s="28">
        <v>1903</v>
      </c>
      <c r="G268" s="29"/>
    </row>
    <row r="269" spans="1:7" ht="15.75">
      <c r="A269" s="27" t="s">
        <v>891</v>
      </c>
      <c r="B269" s="28">
        <v>0</v>
      </c>
      <c r="C269" s="28">
        <v>118</v>
      </c>
      <c r="D269" s="28">
        <v>113</v>
      </c>
      <c r="E269" s="28">
        <v>12</v>
      </c>
      <c r="F269" s="28">
        <v>1361</v>
      </c>
      <c r="G269" s="29"/>
    </row>
    <row r="270" spans="1:7" ht="15.75">
      <c r="A270" s="27" t="s">
        <v>892</v>
      </c>
      <c r="B270" s="28">
        <v>0</v>
      </c>
      <c r="C270" s="28">
        <v>116</v>
      </c>
      <c r="D270" s="28">
        <v>120</v>
      </c>
      <c r="E270" s="28">
        <v>12</v>
      </c>
      <c r="F270" s="28">
        <v>1436</v>
      </c>
      <c r="G270" s="29"/>
    </row>
    <row r="271" spans="1:7" ht="15.75">
      <c r="A271" s="27" t="s">
        <v>893</v>
      </c>
      <c r="B271" s="28">
        <v>0</v>
      </c>
      <c r="C271" s="28">
        <v>204</v>
      </c>
      <c r="D271" s="28">
        <v>202</v>
      </c>
      <c r="E271" s="28">
        <v>12</v>
      </c>
      <c r="F271" s="28">
        <v>2426</v>
      </c>
      <c r="G271" s="29"/>
    </row>
    <row r="272" spans="1:7" ht="15.75">
      <c r="A272" s="27" t="s">
        <v>894</v>
      </c>
      <c r="B272" s="28">
        <v>0</v>
      </c>
      <c r="C272" s="28">
        <v>140</v>
      </c>
      <c r="D272" s="28">
        <v>145</v>
      </c>
      <c r="E272" s="28">
        <v>12</v>
      </c>
      <c r="F272" s="28">
        <v>1735</v>
      </c>
      <c r="G272" s="29"/>
    </row>
    <row r="273" spans="1:7" ht="15.75">
      <c r="A273" s="27" t="s">
        <v>895</v>
      </c>
      <c r="B273" s="28">
        <v>0</v>
      </c>
      <c r="C273" s="28">
        <v>84</v>
      </c>
      <c r="D273" s="28">
        <v>89</v>
      </c>
      <c r="E273" s="28">
        <v>12</v>
      </c>
      <c r="F273" s="28">
        <v>1063</v>
      </c>
      <c r="G273" s="29"/>
    </row>
    <row r="274" spans="1:7" ht="15.75">
      <c r="A274" s="27" t="s">
        <v>896</v>
      </c>
      <c r="B274" s="28">
        <v>0</v>
      </c>
      <c r="C274" s="28">
        <v>116</v>
      </c>
      <c r="D274" s="28">
        <v>120</v>
      </c>
      <c r="E274" s="28">
        <v>12</v>
      </c>
      <c r="F274" s="28">
        <v>1436</v>
      </c>
      <c r="G274" s="29"/>
    </row>
    <row r="275" spans="1:7" ht="15.75">
      <c r="A275" s="27" t="s">
        <v>897</v>
      </c>
      <c r="B275" s="28">
        <v>0</v>
      </c>
      <c r="C275" s="28">
        <v>386</v>
      </c>
      <c r="D275" s="28">
        <v>389</v>
      </c>
      <c r="E275" s="28">
        <v>12</v>
      </c>
      <c r="F275" s="28">
        <v>4665</v>
      </c>
      <c r="G275" s="29"/>
    </row>
    <row r="276" spans="1:7" ht="15.75">
      <c r="A276" s="27" t="s">
        <v>898</v>
      </c>
      <c r="B276" s="28">
        <v>0</v>
      </c>
      <c r="C276" s="28">
        <v>46</v>
      </c>
      <c r="D276" s="28">
        <v>50</v>
      </c>
      <c r="E276" s="28">
        <v>12</v>
      </c>
      <c r="F276" s="28">
        <v>596</v>
      </c>
      <c r="G276" s="29"/>
    </row>
    <row r="277" spans="1:7" ht="15.75">
      <c r="A277" s="27" t="s">
        <v>899</v>
      </c>
      <c r="B277" s="28">
        <v>0</v>
      </c>
      <c r="C277" s="28">
        <v>742</v>
      </c>
      <c r="D277" s="28">
        <v>747</v>
      </c>
      <c r="E277" s="28">
        <v>12</v>
      </c>
      <c r="F277" s="28">
        <v>8959</v>
      </c>
      <c r="G277" s="29"/>
    </row>
    <row r="278" spans="1:7" ht="15.75">
      <c r="A278" s="27" t="s">
        <v>900</v>
      </c>
      <c r="B278" s="28">
        <v>0</v>
      </c>
      <c r="C278" s="28">
        <v>172</v>
      </c>
      <c r="D278" s="28">
        <v>171</v>
      </c>
      <c r="E278" s="28">
        <v>12</v>
      </c>
      <c r="F278" s="28">
        <v>2053</v>
      </c>
      <c r="G278" s="29"/>
    </row>
    <row r="279" spans="1:7" ht="15.75">
      <c r="A279" s="27" t="s">
        <v>901</v>
      </c>
      <c r="B279" s="28">
        <v>0</v>
      </c>
      <c r="C279" s="28">
        <v>524</v>
      </c>
      <c r="D279" s="28">
        <v>519</v>
      </c>
      <c r="E279" s="28">
        <v>12</v>
      </c>
      <c r="F279" s="28">
        <v>6233</v>
      </c>
      <c r="G279" s="29"/>
    </row>
    <row r="280" spans="1:7" ht="15.75">
      <c r="A280" s="27" t="s">
        <v>902</v>
      </c>
      <c r="B280" s="28">
        <v>0</v>
      </c>
      <c r="C280" s="28">
        <v>462</v>
      </c>
      <c r="D280" s="28">
        <v>467</v>
      </c>
      <c r="E280" s="28">
        <v>12</v>
      </c>
      <c r="F280" s="28">
        <v>5599</v>
      </c>
      <c r="G280" s="29"/>
    </row>
    <row r="281" spans="1:7" ht="15.75">
      <c r="A281" s="27" t="s">
        <v>903</v>
      </c>
      <c r="B281" s="28">
        <v>0</v>
      </c>
      <c r="C281" s="28">
        <v>418</v>
      </c>
      <c r="D281" s="28">
        <v>420</v>
      </c>
      <c r="E281" s="28">
        <v>12</v>
      </c>
      <c r="F281" s="28">
        <v>5038</v>
      </c>
      <c r="G281" s="29"/>
    </row>
    <row r="282" spans="1:7" ht="15.75">
      <c r="A282" s="27" t="s">
        <v>904</v>
      </c>
      <c r="B282" s="28">
        <v>0</v>
      </c>
      <c r="C282" s="28">
        <v>64</v>
      </c>
      <c r="D282" s="28">
        <v>62</v>
      </c>
      <c r="E282" s="28">
        <v>12</v>
      </c>
      <c r="F282" s="28">
        <v>746</v>
      </c>
      <c r="G282" s="29"/>
    </row>
    <row r="283" spans="1:7" ht="15.75">
      <c r="A283" s="27" t="s">
        <v>905</v>
      </c>
      <c r="B283" s="28">
        <v>0</v>
      </c>
      <c r="C283" s="28">
        <v>144</v>
      </c>
      <c r="D283" s="28">
        <v>148</v>
      </c>
      <c r="E283" s="28">
        <v>12</v>
      </c>
      <c r="F283" s="28">
        <v>1772</v>
      </c>
      <c r="G283" s="29"/>
    </row>
    <row r="284" spans="1:7" ht="15.75">
      <c r="A284" s="27" t="s">
        <v>906</v>
      </c>
      <c r="B284" s="28">
        <v>0</v>
      </c>
      <c r="C284" s="28">
        <v>118</v>
      </c>
      <c r="D284" s="28">
        <v>113</v>
      </c>
      <c r="E284" s="28">
        <v>12</v>
      </c>
      <c r="F284" s="28">
        <v>1361</v>
      </c>
      <c r="G284" s="29"/>
    </row>
    <row r="285" spans="1:7" ht="15.75">
      <c r="A285" s="27" t="s">
        <v>907</v>
      </c>
      <c r="B285" s="28">
        <v>0</v>
      </c>
      <c r="C285" s="28">
        <v>236</v>
      </c>
      <c r="D285" s="28">
        <v>233</v>
      </c>
      <c r="E285" s="28">
        <v>12</v>
      </c>
      <c r="F285" s="28">
        <v>2799</v>
      </c>
      <c r="G285" s="29"/>
    </row>
    <row r="286" spans="1:7" ht="15.75">
      <c r="A286" s="27" t="s">
        <v>908</v>
      </c>
      <c r="B286" s="28">
        <v>0</v>
      </c>
      <c r="C286" s="28">
        <v>666</v>
      </c>
      <c r="D286" s="28">
        <v>669</v>
      </c>
      <c r="E286" s="28">
        <v>12</v>
      </c>
      <c r="F286" s="28">
        <v>8025</v>
      </c>
      <c r="G286" s="29"/>
    </row>
    <row r="287" spans="1:7" ht="15.75">
      <c r="A287" s="27" t="s">
        <v>909</v>
      </c>
      <c r="B287" s="28">
        <v>0</v>
      </c>
      <c r="C287" s="28">
        <v>62</v>
      </c>
      <c r="D287" s="28">
        <v>57</v>
      </c>
      <c r="E287" s="28">
        <v>12</v>
      </c>
      <c r="F287" s="28">
        <v>689</v>
      </c>
      <c r="G287" s="29"/>
    </row>
    <row r="288" spans="1:7" ht="15.75">
      <c r="A288" s="27" t="s">
        <v>339</v>
      </c>
      <c r="B288" s="28">
        <v>0</v>
      </c>
      <c r="C288" s="28">
        <v>74</v>
      </c>
      <c r="D288" s="28">
        <v>78</v>
      </c>
      <c r="E288" s="28">
        <v>12</v>
      </c>
      <c r="F288" s="28">
        <v>932</v>
      </c>
      <c r="G288" s="29"/>
    </row>
    <row r="289" spans="1:7" ht="15.75">
      <c r="A289" s="27" t="s">
        <v>910</v>
      </c>
      <c r="B289" s="28">
        <v>0</v>
      </c>
      <c r="C289" s="28">
        <v>106</v>
      </c>
      <c r="D289" s="28">
        <v>109</v>
      </c>
      <c r="E289" s="28">
        <v>12</v>
      </c>
      <c r="F289" s="28">
        <v>1305</v>
      </c>
      <c r="G289" s="29"/>
    </row>
    <row r="290" spans="1:7" ht="15.75">
      <c r="A290" s="27" t="s">
        <v>911</v>
      </c>
      <c r="B290" s="28">
        <v>0</v>
      </c>
      <c r="C290" s="28">
        <v>78</v>
      </c>
      <c r="D290" s="28">
        <v>76</v>
      </c>
      <c r="E290" s="28">
        <v>12</v>
      </c>
      <c r="F290" s="28">
        <v>914</v>
      </c>
      <c r="G290" s="29"/>
    </row>
    <row r="291" spans="1:7" ht="15.75">
      <c r="A291" s="27" t="s">
        <v>912</v>
      </c>
      <c r="B291" s="28">
        <v>0</v>
      </c>
      <c r="C291" s="28">
        <v>120</v>
      </c>
      <c r="D291" s="28">
        <v>123</v>
      </c>
      <c r="E291" s="28">
        <v>12</v>
      </c>
      <c r="F291" s="28">
        <v>1473</v>
      </c>
      <c r="G291" s="29"/>
    </row>
    <row r="292" spans="1:7" ht="15.75">
      <c r="A292" s="27" t="s">
        <v>913</v>
      </c>
      <c r="B292" s="28">
        <v>0</v>
      </c>
      <c r="C292" s="28">
        <v>344</v>
      </c>
      <c r="D292" s="28">
        <v>342</v>
      </c>
      <c r="E292" s="28">
        <v>12</v>
      </c>
      <c r="F292" s="28">
        <v>4106</v>
      </c>
      <c r="G292" s="29"/>
    </row>
    <row r="293" spans="1:7" ht="15.75">
      <c r="A293" s="27" t="s">
        <v>914</v>
      </c>
      <c r="B293" s="28">
        <v>0</v>
      </c>
      <c r="C293" s="28">
        <v>400</v>
      </c>
      <c r="D293" s="28">
        <v>403</v>
      </c>
      <c r="E293" s="28">
        <v>12</v>
      </c>
      <c r="F293" s="28">
        <v>4833</v>
      </c>
      <c r="G293" s="29"/>
    </row>
    <row r="294" spans="1:7" ht="15.75">
      <c r="A294" s="27" t="s">
        <v>915</v>
      </c>
      <c r="B294" s="28">
        <v>0</v>
      </c>
      <c r="C294" s="28">
        <v>344</v>
      </c>
      <c r="D294" s="28">
        <v>347</v>
      </c>
      <c r="E294" s="28">
        <v>12</v>
      </c>
      <c r="F294" s="28">
        <v>4161</v>
      </c>
      <c r="G294" s="29"/>
    </row>
    <row r="295" spans="1:7" ht="15.75">
      <c r="A295" s="27" t="s">
        <v>916</v>
      </c>
      <c r="B295" s="28">
        <v>0</v>
      </c>
      <c r="C295" s="28">
        <v>744</v>
      </c>
      <c r="D295" s="28">
        <v>740</v>
      </c>
      <c r="E295" s="28">
        <v>12</v>
      </c>
      <c r="F295" s="28">
        <v>8884</v>
      </c>
      <c r="G295" s="29"/>
    </row>
    <row r="296" spans="1:7" ht="15.75">
      <c r="A296" s="27" t="s">
        <v>917</v>
      </c>
      <c r="B296" s="28">
        <v>0</v>
      </c>
      <c r="C296" s="28">
        <v>140</v>
      </c>
      <c r="D296" s="28">
        <v>145</v>
      </c>
      <c r="E296" s="28">
        <v>12</v>
      </c>
      <c r="F296" s="28">
        <v>1735</v>
      </c>
      <c r="G296" s="29"/>
    </row>
    <row r="297" spans="1:7" ht="15.75">
      <c r="A297" s="27" t="s">
        <v>918</v>
      </c>
      <c r="B297" s="28">
        <v>0</v>
      </c>
      <c r="C297" s="28">
        <v>128</v>
      </c>
      <c r="D297" s="28">
        <v>124</v>
      </c>
      <c r="E297" s="28">
        <v>12</v>
      </c>
      <c r="F297" s="28">
        <v>1492</v>
      </c>
      <c r="G297" s="29"/>
    </row>
    <row r="298" spans="1:7" ht="15.75">
      <c r="A298" s="27" t="s">
        <v>524</v>
      </c>
      <c r="B298" s="28">
        <v>0</v>
      </c>
      <c r="C298" s="28">
        <v>188</v>
      </c>
      <c r="D298" s="28">
        <v>183</v>
      </c>
      <c r="E298" s="28">
        <v>12</v>
      </c>
      <c r="F298" s="28">
        <v>2201</v>
      </c>
      <c r="G298" s="29"/>
    </row>
    <row r="299" spans="1:7" ht="15.75">
      <c r="A299" s="27" t="s">
        <v>919</v>
      </c>
      <c r="B299" s="28">
        <v>0</v>
      </c>
      <c r="C299" s="28">
        <v>298</v>
      </c>
      <c r="D299" s="28">
        <v>297</v>
      </c>
      <c r="E299" s="28">
        <v>12</v>
      </c>
      <c r="F299" s="28">
        <v>3565</v>
      </c>
      <c r="G299" s="29"/>
    </row>
    <row r="300" spans="1:7" ht="15.75">
      <c r="A300" s="27" t="s">
        <v>920</v>
      </c>
      <c r="B300" s="28">
        <v>0</v>
      </c>
      <c r="C300" s="28">
        <v>394</v>
      </c>
      <c r="D300" s="28">
        <v>392</v>
      </c>
      <c r="E300" s="28">
        <v>12</v>
      </c>
      <c r="F300" s="28">
        <v>4706</v>
      </c>
      <c r="G300" s="29"/>
    </row>
    <row r="301" spans="1:7" ht="15.75">
      <c r="A301" s="27" t="s">
        <v>921</v>
      </c>
      <c r="B301" s="28">
        <v>0</v>
      </c>
      <c r="C301" s="28">
        <v>379</v>
      </c>
      <c r="D301" s="28">
        <v>375</v>
      </c>
      <c r="E301" s="28">
        <v>12</v>
      </c>
      <c r="F301" s="28">
        <v>4504</v>
      </c>
      <c r="G301" s="29"/>
    </row>
    <row r="302" spans="1:7" ht="15.75">
      <c r="A302" s="27" t="s">
        <v>922</v>
      </c>
      <c r="B302" s="28">
        <v>0</v>
      </c>
      <c r="C302" s="28">
        <v>564</v>
      </c>
      <c r="D302" s="28">
        <v>561</v>
      </c>
      <c r="E302" s="28">
        <v>12</v>
      </c>
      <c r="F302" s="28">
        <v>6735</v>
      </c>
      <c r="G302" s="29"/>
    </row>
    <row r="303" spans="1:7" ht="15.75">
      <c r="A303" s="27" t="s">
        <v>923</v>
      </c>
      <c r="B303" s="28">
        <v>0</v>
      </c>
      <c r="C303" s="28">
        <v>768</v>
      </c>
      <c r="D303" s="28">
        <v>770</v>
      </c>
      <c r="E303" s="28">
        <v>12</v>
      </c>
      <c r="F303" s="28">
        <v>9238</v>
      </c>
      <c r="G303" s="29"/>
    </row>
    <row r="304" spans="1:7" ht="15.75">
      <c r="A304" s="27" t="s">
        <v>924</v>
      </c>
      <c r="B304" s="28">
        <v>0</v>
      </c>
      <c r="C304" s="28">
        <v>138</v>
      </c>
      <c r="D304" s="28">
        <v>140</v>
      </c>
      <c r="E304" s="28">
        <v>12</v>
      </c>
      <c r="F304" s="28">
        <v>1678</v>
      </c>
      <c r="G304" s="29"/>
    </row>
    <row r="305" spans="1:7" ht="15.75">
      <c r="A305" s="27" t="s">
        <v>535</v>
      </c>
      <c r="B305" s="28">
        <v>0</v>
      </c>
      <c r="C305" s="28">
        <v>348</v>
      </c>
      <c r="D305" s="28">
        <v>345</v>
      </c>
      <c r="E305" s="28">
        <v>12</v>
      </c>
      <c r="F305" s="28">
        <v>4143</v>
      </c>
      <c r="G305" s="29"/>
    </row>
    <row r="306" spans="1:7" ht="15.75">
      <c r="A306" s="27" t="s">
        <v>410</v>
      </c>
      <c r="B306" s="28">
        <v>0</v>
      </c>
      <c r="C306" s="28">
        <v>18</v>
      </c>
      <c r="D306" s="28">
        <v>22</v>
      </c>
      <c r="E306" s="28">
        <v>12</v>
      </c>
      <c r="F306" s="28">
        <v>260</v>
      </c>
      <c r="G306" s="29"/>
    </row>
    <row r="307" spans="1:7" ht="15.75">
      <c r="A307" s="27" t="s">
        <v>925</v>
      </c>
      <c r="B307" s="28">
        <v>0</v>
      </c>
      <c r="C307" s="28">
        <v>26</v>
      </c>
      <c r="D307" s="28">
        <v>28</v>
      </c>
      <c r="E307" s="28">
        <v>12</v>
      </c>
      <c r="F307" s="28">
        <v>334</v>
      </c>
      <c r="G307" s="29"/>
    </row>
    <row r="308" spans="1:7" ht="15.75">
      <c r="A308" s="27" t="s">
        <v>926</v>
      </c>
      <c r="B308" s="28">
        <v>0</v>
      </c>
      <c r="C308" s="28">
        <v>26</v>
      </c>
      <c r="D308" s="28">
        <v>23</v>
      </c>
      <c r="E308" s="28">
        <v>12</v>
      </c>
      <c r="F308" s="28">
        <v>279</v>
      </c>
      <c r="G308" s="29"/>
    </row>
    <row r="309" spans="1:7" ht="15.75">
      <c r="A309" s="27" t="s">
        <v>927</v>
      </c>
      <c r="B309" s="28">
        <v>0</v>
      </c>
      <c r="C309" s="28">
        <v>22</v>
      </c>
      <c r="D309" s="28">
        <v>20</v>
      </c>
      <c r="E309" s="28">
        <v>12</v>
      </c>
      <c r="F309" s="28">
        <v>242</v>
      </c>
      <c r="G309" s="29"/>
    </row>
    <row r="310" spans="1:7" ht="15.75">
      <c r="A310" s="27" t="s">
        <v>928</v>
      </c>
      <c r="B310" s="28">
        <v>0</v>
      </c>
      <c r="C310" s="28">
        <v>54</v>
      </c>
      <c r="D310" s="28">
        <v>56</v>
      </c>
      <c r="E310" s="28">
        <v>12</v>
      </c>
      <c r="F310" s="28">
        <v>670</v>
      </c>
      <c r="G310" s="29"/>
    </row>
    <row r="311" spans="1:7" ht="15.75">
      <c r="A311" s="27" t="s">
        <v>929</v>
      </c>
      <c r="B311" s="28">
        <v>0</v>
      </c>
      <c r="C311" s="28">
        <v>22</v>
      </c>
      <c r="D311" s="28">
        <v>20</v>
      </c>
      <c r="E311" s="28">
        <v>12</v>
      </c>
      <c r="F311" s="28">
        <v>242</v>
      </c>
      <c r="G311" s="29"/>
    </row>
    <row r="312" spans="1:7" ht="15.75">
      <c r="A312" s="27" t="s">
        <v>930</v>
      </c>
      <c r="B312" s="28">
        <v>0</v>
      </c>
      <c r="C312" s="28">
        <v>42</v>
      </c>
      <c r="D312" s="28">
        <v>47</v>
      </c>
      <c r="E312" s="28">
        <v>12</v>
      </c>
      <c r="F312" s="28">
        <v>559</v>
      </c>
      <c r="G312" s="29"/>
    </row>
    <row r="313" spans="1:7" ht="15.75">
      <c r="A313" s="27" t="s">
        <v>931</v>
      </c>
      <c r="B313" s="28">
        <v>0</v>
      </c>
      <c r="C313" s="28">
        <v>36</v>
      </c>
      <c r="D313" s="28">
        <v>34</v>
      </c>
      <c r="E313" s="28">
        <v>12</v>
      </c>
      <c r="F313" s="28">
        <v>410</v>
      </c>
      <c r="G313" s="29"/>
    </row>
    <row r="314" spans="1:7" ht="15.75">
      <c r="A314" s="27" t="s">
        <v>932</v>
      </c>
      <c r="B314" s="28">
        <v>0</v>
      </c>
      <c r="C314" s="28">
        <v>32</v>
      </c>
      <c r="D314" s="28">
        <v>31</v>
      </c>
      <c r="E314" s="28">
        <v>12</v>
      </c>
      <c r="F314" s="28">
        <v>373</v>
      </c>
      <c r="G314" s="29"/>
    </row>
    <row r="315" spans="1:7" ht="15.75">
      <c r="A315" s="27" t="s">
        <v>933</v>
      </c>
      <c r="B315" s="28">
        <v>0</v>
      </c>
      <c r="C315" s="28">
        <v>40</v>
      </c>
      <c r="D315" s="28">
        <v>37</v>
      </c>
      <c r="E315" s="28">
        <v>12</v>
      </c>
      <c r="F315" s="28">
        <v>447</v>
      </c>
      <c r="G315" s="29"/>
    </row>
    <row r="316" spans="1:7" ht="15.75">
      <c r="A316" s="27" t="s">
        <v>934</v>
      </c>
      <c r="B316" s="28">
        <v>0</v>
      </c>
      <c r="C316" s="28">
        <v>54</v>
      </c>
      <c r="D316" s="28">
        <v>51</v>
      </c>
      <c r="E316" s="28">
        <v>12</v>
      </c>
      <c r="F316" s="28">
        <v>615</v>
      </c>
      <c r="G316" s="29"/>
    </row>
    <row r="317" spans="1:7" ht="15.75">
      <c r="A317" s="27" t="s">
        <v>935</v>
      </c>
      <c r="B317" s="28">
        <v>0</v>
      </c>
      <c r="C317" s="28">
        <v>64</v>
      </c>
      <c r="D317" s="28">
        <v>62</v>
      </c>
      <c r="E317" s="28">
        <v>12</v>
      </c>
      <c r="F317" s="28">
        <v>746</v>
      </c>
      <c r="G317" s="29"/>
    </row>
    <row r="318" spans="1:7" ht="15.75">
      <c r="A318" s="27" t="s">
        <v>936</v>
      </c>
      <c r="B318" s="28">
        <v>0</v>
      </c>
      <c r="C318" s="28">
        <v>40</v>
      </c>
      <c r="D318" s="28">
        <v>37</v>
      </c>
      <c r="E318" s="28">
        <v>12</v>
      </c>
      <c r="F318" s="28">
        <v>447</v>
      </c>
      <c r="G318" s="29"/>
    </row>
    <row r="319" spans="1:7" ht="15.75">
      <c r="A319" s="27" t="s">
        <v>937</v>
      </c>
      <c r="B319" s="28">
        <v>0</v>
      </c>
      <c r="C319" s="28">
        <v>74</v>
      </c>
      <c r="D319" s="28">
        <v>73</v>
      </c>
      <c r="E319" s="28">
        <v>12</v>
      </c>
      <c r="F319" s="28">
        <v>877</v>
      </c>
      <c r="G319" s="29"/>
    </row>
    <row r="320" spans="1:7" ht="15.75">
      <c r="A320" s="27" t="s">
        <v>938</v>
      </c>
      <c r="B320" s="28">
        <v>0</v>
      </c>
      <c r="C320" s="28">
        <v>64</v>
      </c>
      <c r="D320" s="28">
        <v>62</v>
      </c>
      <c r="E320" s="28">
        <v>12</v>
      </c>
      <c r="F320" s="28">
        <v>746</v>
      </c>
      <c r="G320" s="29"/>
    </row>
    <row r="321" spans="1:7" ht="15.75">
      <c r="A321" s="27" t="s">
        <v>939</v>
      </c>
      <c r="B321" s="28">
        <v>0</v>
      </c>
      <c r="C321" s="28">
        <v>64</v>
      </c>
      <c r="D321" s="28">
        <v>62</v>
      </c>
      <c r="E321" s="28">
        <v>12</v>
      </c>
      <c r="F321" s="28">
        <v>746</v>
      </c>
      <c r="G321" s="29"/>
    </row>
    <row r="322" spans="1:7" ht="15.75">
      <c r="A322" s="27" t="s">
        <v>940</v>
      </c>
      <c r="B322" s="28">
        <v>0</v>
      </c>
      <c r="C322" s="28">
        <v>64</v>
      </c>
      <c r="D322" s="28">
        <v>62</v>
      </c>
      <c r="E322" s="28">
        <v>12</v>
      </c>
      <c r="F322" s="28">
        <v>746</v>
      </c>
      <c r="G322" s="29"/>
    </row>
    <row r="323" spans="1:7" ht="15.75">
      <c r="A323" s="27" t="s">
        <v>276</v>
      </c>
      <c r="B323" s="28">
        <v>0</v>
      </c>
      <c r="C323" s="28">
        <v>46</v>
      </c>
      <c r="D323" s="28">
        <v>45</v>
      </c>
      <c r="E323" s="28">
        <v>12</v>
      </c>
      <c r="F323" s="28">
        <v>541</v>
      </c>
      <c r="G323" s="29"/>
    </row>
    <row r="324" spans="1:7" ht="15.75">
      <c r="A324" s="27" t="s">
        <v>942</v>
      </c>
      <c r="B324" s="28">
        <v>0</v>
      </c>
      <c r="C324" s="28">
        <v>88</v>
      </c>
      <c r="D324" s="28">
        <v>87</v>
      </c>
      <c r="E324" s="28">
        <v>12</v>
      </c>
      <c r="F324" s="28">
        <v>1045</v>
      </c>
      <c r="G324" s="29"/>
    </row>
    <row r="325" spans="1:7" ht="15.75">
      <c r="A325" s="27" t="s">
        <v>943</v>
      </c>
      <c r="B325" s="28">
        <v>0</v>
      </c>
      <c r="C325" s="28">
        <v>70</v>
      </c>
      <c r="D325" s="28">
        <v>75</v>
      </c>
      <c r="E325" s="28">
        <v>12</v>
      </c>
      <c r="F325" s="28">
        <v>895</v>
      </c>
      <c r="G325" s="29"/>
    </row>
    <row r="326" spans="1:7" ht="15.75">
      <c r="A326" s="27" t="s">
        <v>944</v>
      </c>
      <c r="B326" s="28">
        <v>0</v>
      </c>
      <c r="C326" s="28">
        <v>98</v>
      </c>
      <c r="D326" s="28">
        <v>103</v>
      </c>
      <c r="E326" s="28">
        <v>12</v>
      </c>
      <c r="F326" s="28">
        <v>1231</v>
      </c>
      <c r="G326" s="29"/>
    </row>
    <row r="327" spans="1:7" ht="15.75">
      <c r="A327" s="27" t="s">
        <v>945</v>
      </c>
      <c r="B327" s="28">
        <v>0</v>
      </c>
      <c r="C327" s="28">
        <v>64</v>
      </c>
      <c r="D327" s="28">
        <v>62</v>
      </c>
      <c r="E327" s="28">
        <v>12</v>
      </c>
      <c r="F327" s="28">
        <v>746</v>
      </c>
      <c r="G327" s="29"/>
    </row>
    <row r="328" spans="1:7" ht="15.75">
      <c r="A328" s="27" t="s">
        <v>946</v>
      </c>
      <c r="B328" s="28">
        <v>0</v>
      </c>
      <c r="C328" s="28">
        <v>128</v>
      </c>
      <c r="D328" s="28">
        <v>124</v>
      </c>
      <c r="E328" s="28">
        <v>12</v>
      </c>
      <c r="F328" s="28">
        <v>1492</v>
      </c>
      <c r="G328" s="29"/>
    </row>
    <row r="329" spans="1:7" ht="15.75">
      <c r="A329" s="27" t="s">
        <v>359</v>
      </c>
      <c r="B329" s="28">
        <v>0</v>
      </c>
      <c r="C329" s="28">
        <v>64</v>
      </c>
      <c r="D329" s="28">
        <v>62</v>
      </c>
      <c r="E329" s="28">
        <v>12</v>
      </c>
      <c r="F329" s="28">
        <v>746</v>
      </c>
      <c r="G329" s="29"/>
    </row>
    <row r="330" spans="1:7" ht="15.75">
      <c r="A330" s="27" t="s">
        <v>947</v>
      </c>
      <c r="B330" s="28">
        <v>0</v>
      </c>
      <c r="C330" s="28">
        <v>106</v>
      </c>
      <c r="D330" s="28">
        <v>109</v>
      </c>
      <c r="E330" s="28">
        <v>12</v>
      </c>
      <c r="F330" s="28">
        <v>1305</v>
      </c>
      <c r="G330" s="29"/>
    </row>
    <row r="331" spans="1:7" ht="15.75">
      <c r="A331" s="27" t="s">
        <v>948</v>
      </c>
      <c r="B331" s="28">
        <v>0</v>
      </c>
      <c r="C331" s="28">
        <v>72</v>
      </c>
      <c r="D331" s="28">
        <v>68</v>
      </c>
      <c r="E331" s="28">
        <v>12</v>
      </c>
      <c r="F331" s="28">
        <v>820</v>
      </c>
      <c r="G331" s="29"/>
    </row>
    <row r="332" spans="1:7" ht="15.75">
      <c r="A332" s="27" t="s">
        <v>949</v>
      </c>
      <c r="B332" s="28">
        <v>0</v>
      </c>
      <c r="C332" s="28">
        <v>116</v>
      </c>
      <c r="D332" s="28">
        <v>115</v>
      </c>
      <c r="E332" s="28">
        <v>12</v>
      </c>
      <c r="F332" s="28">
        <v>1381</v>
      </c>
      <c r="G332" s="29"/>
    </row>
    <row r="333" spans="1:7" ht="15.75">
      <c r="A333" s="27" t="s">
        <v>950</v>
      </c>
      <c r="B333" s="28">
        <v>0</v>
      </c>
      <c r="C333" s="28">
        <v>78</v>
      </c>
      <c r="D333" s="28">
        <v>76</v>
      </c>
      <c r="E333" s="28">
        <v>12</v>
      </c>
      <c r="F333" s="28">
        <v>914</v>
      </c>
      <c r="G333" s="29"/>
    </row>
    <row r="334" spans="1:7" ht="15.75">
      <c r="A334" s="27" t="s">
        <v>951</v>
      </c>
      <c r="B334" s="28">
        <v>0</v>
      </c>
      <c r="C334" s="28">
        <v>102</v>
      </c>
      <c r="D334" s="28">
        <v>106</v>
      </c>
      <c r="E334" s="28">
        <v>12</v>
      </c>
      <c r="F334" s="28">
        <v>1268</v>
      </c>
      <c r="G334" s="29"/>
    </row>
    <row r="335" spans="1:7" ht="15.75">
      <c r="A335" s="27" t="s">
        <v>952</v>
      </c>
      <c r="B335" s="28">
        <v>0</v>
      </c>
      <c r="C335" s="28">
        <v>140</v>
      </c>
      <c r="D335" s="28">
        <v>145</v>
      </c>
      <c r="E335" s="28">
        <v>12</v>
      </c>
      <c r="F335" s="28">
        <v>1735</v>
      </c>
      <c r="G335" s="29"/>
    </row>
    <row r="336" spans="1:7" ht="15.75">
      <c r="A336" s="27" t="s">
        <v>953</v>
      </c>
      <c r="B336" s="28">
        <v>0</v>
      </c>
      <c r="C336" s="28">
        <v>160</v>
      </c>
      <c r="D336" s="28">
        <v>155</v>
      </c>
      <c r="E336" s="28">
        <v>12</v>
      </c>
      <c r="F336" s="28">
        <v>1865</v>
      </c>
      <c r="G336" s="29"/>
    </row>
    <row r="337" spans="1:7" ht="15.75">
      <c r="A337" s="27" t="s">
        <v>954</v>
      </c>
      <c r="B337" s="28">
        <v>0</v>
      </c>
      <c r="C337" s="28">
        <v>138</v>
      </c>
      <c r="D337" s="28">
        <v>140</v>
      </c>
      <c r="E337" s="28">
        <v>12</v>
      </c>
      <c r="F337" s="28">
        <v>1678</v>
      </c>
      <c r="G337" s="29"/>
    </row>
    <row r="338" spans="1:7" ht="15.75">
      <c r="A338" s="27" t="s">
        <v>955</v>
      </c>
      <c r="B338" s="28">
        <v>0</v>
      </c>
      <c r="C338" s="28">
        <v>130</v>
      </c>
      <c r="D338" s="28">
        <v>129</v>
      </c>
      <c r="E338" s="28">
        <v>12</v>
      </c>
      <c r="F338" s="28">
        <v>1549</v>
      </c>
      <c r="G338" s="29"/>
    </row>
    <row r="339" spans="1:7" ht="15.75">
      <c r="A339" s="27" t="s">
        <v>956</v>
      </c>
      <c r="B339" s="28">
        <v>0</v>
      </c>
      <c r="C339" s="28">
        <v>138</v>
      </c>
      <c r="D339" s="28">
        <v>135</v>
      </c>
      <c r="E339" s="28">
        <v>12</v>
      </c>
      <c r="F339" s="28">
        <v>1623</v>
      </c>
      <c r="G339" s="29"/>
    </row>
    <row r="340" spans="1:7" ht="15.75">
      <c r="A340" s="27" t="s">
        <v>957</v>
      </c>
      <c r="B340" s="28">
        <v>0</v>
      </c>
      <c r="C340" s="28">
        <v>156</v>
      </c>
      <c r="D340" s="28">
        <v>152</v>
      </c>
      <c r="E340" s="28">
        <v>12</v>
      </c>
      <c r="F340" s="28">
        <v>1828</v>
      </c>
      <c r="G340" s="29"/>
    </row>
    <row r="341" spans="1:7" ht="15.75">
      <c r="A341" s="27" t="s">
        <v>958</v>
      </c>
      <c r="B341" s="28">
        <v>0</v>
      </c>
      <c r="C341" s="28">
        <v>112</v>
      </c>
      <c r="D341" s="28">
        <v>117</v>
      </c>
      <c r="E341" s="28">
        <v>12</v>
      </c>
      <c r="F341" s="28">
        <v>1399</v>
      </c>
      <c r="G341" s="29"/>
    </row>
    <row r="342" spans="1:7" ht="15.75">
      <c r="A342" s="27" t="s">
        <v>959</v>
      </c>
      <c r="B342" s="28">
        <v>0</v>
      </c>
      <c r="C342" s="28">
        <v>208</v>
      </c>
      <c r="D342" s="28">
        <v>210</v>
      </c>
      <c r="E342" s="28">
        <v>12</v>
      </c>
      <c r="F342" s="28">
        <v>2518</v>
      </c>
      <c r="G342" s="29"/>
    </row>
    <row r="343" spans="1:7" ht="15.75">
      <c r="A343" s="27" t="s">
        <v>960</v>
      </c>
      <c r="B343" s="28">
        <v>0</v>
      </c>
      <c r="C343" s="28">
        <v>160</v>
      </c>
      <c r="D343" s="28">
        <v>155</v>
      </c>
      <c r="E343" s="28">
        <v>12</v>
      </c>
      <c r="F343" s="28">
        <v>1865</v>
      </c>
      <c r="G343" s="29"/>
    </row>
    <row r="344" spans="1:7" ht="15.75">
      <c r="A344" s="27" t="s">
        <v>374</v>
      </c>
      <c r="B344" s="28">
        <v>0</v>
      </c>
      <c r="C344" s="28">
        <v>162</v>
      </c>
      <c r="D344" s="28">
        <v>165</v>
      </c>
      <c r="E344" s="28">
        <v>12</v>
      </c>
      <c r="F344" s="28">
        <v>1977</v>
      </c>
      <c r="G344" s="29"/>
    </row>
    <row r="345" spans="1:7" ht="15.75">
      <c r="A345" s="27" t="s">
        <v>961</v>
      </c>
      <c r="B345" s="28">
        <v>0</v>
      </c>
      <c r="C345" s="28">
        <v>214</v>
      </c>
      <c r="D345" s="28">
        <v>218</v>
      </c>
      <c r="E345" s="28">
        <v>12</v>
      </c>
      <c r="F345" s="28">
        <v>2612</v>
      </c>
      <c r="G345" s="29"/>
    </row>
    <row r="346" spans="1:7" ht="15.75">
      <c r="A346" s="27" t="s">
        <v>310</v>
      </c>
      <c r="B346" s="28">
        <v>0</v>
      </c>
      <c r="C346" s="28">
        <v>198</v>
      </c>
      <c r="D346" s="28">
        <v>194</v>
      </c>
      <c r="E346" s="28">
        <v>12</v>
      </c>
      <c r="F346" s="28">
        <v>2332</v>
      </c>
      <c r="G346" s="29"/>
    </row>
    <row r="347" spans="1:7" ht="15.75">
      <c r="A347" s="27" t="s">
        <v>962</v>
      </c>
      <c r="B347" s="28">
        <v>0</v>
      </c>
      <c r="C347" s="28">
        <v>200</v>
      </c>
      <c r="D347" s="28">
        <v>204</v>
      </c>
      <c r="E347" s="28">
        <v>12</v>
      </c>
      <c r="F347" s="28">
        <v>2444</v>
      </c>
      <c r="G347" s="29"/>
    </row>
    <row r="348" spans="1:7" ht="15.75">
      <c r="A348" s="27" t="s">
        <v>963</v>
      </c>
      <c r="B348" s="28">
        <v>0</v>
      </c>
      <c r="C348" s="28">
        <v>202</v>
      </c>
      <c r="D348" s="28">
        <v>197</v>
      </c>
      <c r="E348" s="28">
        <v>12</v>
      </c>
      <c r="F348" s="28">
        <v>2369</v>
      </c>
      <c r="G348" s="29"/>
    </row>
    <row r="349" spans="1:7" ht="15.75">
      <c r="A349" s="27" t="s">
        <v>964</v>
      </c>
      <c r="B349" s="28">
        <v>0</v>
      </c>
      <c r="C349" s="28">
        <v>258</v>
      </c>
      <c r="D349" s="28">
        <v>253</v>
      </c>
      <c r="E349" s="28">
        <v>12</v>
      </c>
      <c r="F349" s="28">
        <v>3041</v>
      </c>
      <c r="G349" s="29"/>
    </row>
    <row r="350" spans="1:7" ht="15.75">
      <c r="A350" s="27" t="s">
        <v>965</v>
      </c>
      <c r="B350" s="28">
        <v>0</v>
      </c>
      <c r="C350" s="28">
        <v>300</v>
      </c>
      <c r="D350" s="28">
        <v>295</v>
      </c>
      <c r="E350" s="28">
        <v>12</v>
      </c>
      <c r="F350" s="28">
        <v>3545</v>
      </c>
      <c r="G350" s="29"/>
    </row>
    <row r="351" spans="1:7" ht="15.75">
      <c r="A351" s="27" t="s">
        <v>966</v>
      </c>
      <c r="B351" s="28">
        <v>0</v>
      </c>
      <c r="C351" s="28">
        <v>310</v>
      </c>
      <c r="D351" s="28">
        <v>306</v>
      </c>
      <c r="E351" s="28">
        <v>12</v>
      </c>
      <c r="F351" s="28">
        <v>3676</v>
      </c>
      <c r="G351" s="29"/>
    </row>
    <row r="352" spans="1:7" ht="15.75">
      <c r="A352" s="27" t="s">
        <v>967</v>
      </c>
      <c r="B352" s="28">
        <v>0</v>
      </c>
      <c r="C352" s="28">
        <v>298</v>
      </c>
      <c r="D352" s="28">
        <v>297</v>
      </c>
      <c r="E352" s="28">
        <v>12</v>
      </c>
      <c r="F352" s="28">
        <v>3565</v>
      </c>
      <c r="G352" s="29"/>
    </row>
    <row r="353" spans="1:7" ht="15.75">
      <c r="A353" s="27" t="s">
        <v>968</v>
      </c>
      <c r="B353" s="28">
        <v>0</v>
      </c>
      <c r="C353" s="28">
        <v>354</v>
      </c>
      <c r="D353" s="28">
        <v>353</v>
      </c>
      <c r="E353" s="28">
        <v>12</v>
      </c>
      <c r="F353" s="28">
        <v>4237</v>
      </c>
      <c r="G353" s="29"/>
    </row>
    <row r="354" spans="1:7" ht="15.75">
      <c r="A354" s="27" t="s">
        <v>969</v>
      </c>
      <c r="B354" s="28">
        <v>0</v>
      </c>
      <c r="C354" s="28">
        <v>356</v>
      </c>
      <c r="D354" s="28">
        <v>351</v>
      </c>
      <c r="E354" s="28">
        <v>12</v>
      </c>
      <c r="F354" s="28">
        <v>4217</v>
      </c>
      <c r="G354" s="29"/>
    </row>
    <row r="355" spans="1:7" ht="15.75">
      <c r="A355" s="27" t="s">
        <v>970</v>
      </c>
      <c r="B355" s="28">
        <v>0</v>
      </c>
      <c r="C355" s="28">
        <v>376</v>
      </c>
      <c r="D355" s="28">
        <v>373</v>
      </c>
      <c r="E355" s="28">
        <v>12</v>
      </c>
      <c r="F355" s="28">
        <v>4479</v>
      </c>
      <c r="G355" s="29"/>
    </row>
    <row r="356" spans="1:7" ht="15.75">
      <c r="A356" s="27" t="s">
        <v>971</v>
      </c>
      <c r="B356" s="28">
        <v>0</v>
      </c>
      <c r="C356" s="28">
        <v>424</v>
      </c>
      <c r="D356" s="28">
        <v>423</v>
      </c>
      <c r="E356" s="28">
        <v>12</v>
      </c>
      <c r="F356" s="28">
        <v>5077</v>
      </c>
      <c r="G356" s="29"/>
    </row>
    <row r="357" spans="1:7" ht="15.75">
      <c r="A357" s="27" t="s">
        <v>972</v>
      </c>
      <c r="B357" s="28">
        <v>0</v>
      </c>
      <c r="C357" s="28">
        <v>418</v>
      </c>
      <c r="D357" s="28">
        <v>420</v>
      </c>
      <c r="E357" s="28">
        <v>12</v>
      </c>
      <c r="F357" s="28">
        <v>5038</v>
      </c>
      <c r="G357" s="29"/>
    </row>
    <row r="358" spans="1:7" ht="15.75">
      <c r="A358" s="27" t="s">
        <v>973</v>
      </c>
      <c r="B358" s="28">
        <v>0</v>
      </c>
      <c r="C358" s="28">
        <v>400</v>
      </c>
      <c r="D358" s="28">
        <v>398</v>
      </c>
      <c r="E358" s="28">
        <v>12</v>
      </c>
      <c r="F358" s="28">
        <v>4778</v>
      </c>
      <c r="G358" s="29"/>
    </row>
    <row r="359" spans="1:7" ht="15.75">
      <c r="A359" s="27" t="s">
        <v>974</v>
      </c>
      <c r="B359" s="28">
        <v>0</v>
      </c>
      <c r="C359" s="28">
        <v>568</v>
      </c>
      <c r="D359" s="28">
        <v>571</v>
      </c>
      <c r="E359" s="28">
        <v>12</v>
      </c>
      <c r="F359" s="28">
        <v>6849</v>
      </c>
      <c r="G359" s="29"/>
    </row>
    <row r="360" spans="1:7" ht="15.75">
      <c r="A360" s="27" t="s">
        <v>975</v>
      </c>
      <c r="B360" s="28">
        <v>0</v>
      </c>
      <c r="C360" s="28">
        <v>450</v>
      </c>
      <c r="D360" s="28">
        <v>446</v>
      </c>
      <c r="E360" s="28">
        <v>12</v>
      </c>
      <c r="F360" s="28">
        <v>5356</v>
      </c>
      <c r="G360" s="29"/>
    </row>
    <row r="361" spans="1:7" ht="15.75">
      <c r="A361" s="27" t="s">
        <v>976</v>
      </c>
      <c r="B361" s="28">
        <v>0</v>
      </c>
      <c r="C361" s="28">
        <v>432</v>
      </c>
      <c r="D361" s="28">
        <v>429</v>
      </c>
      <c r="E361" s="28">
        <v>12</v>
      </c>
      <c r="F361" s="28">
        <v>5151</v>
      </c>
      <c r="G361" s="29"/>
    </row>
    <row r="362" spans="1:7" ht="15.75">
      <c r="A362" s="27" t="s">
        <v>977</v>
      </c>
      <c r="B362" s="28">
        <v>0</v>
      </c>
      <c r="C362" s="28">
        <v>698</v>
      </c>
      <c r="D362" s="28">
        <v>700</v>
      </c>
      <c r="E362" s="28">
        <v>12</v>
      </c>
      <c r="F362" s="28">
        <v>8398</v>
      </c>
      <c r="G362" s="29"/>
    </row>
    <row r="363" spans="1:7" ht="15.75">
      <c r="A363" s="27" t="s">
        <v>978</v>
      </c>
      <c r="B363" s="28">
        <v>0</v>
      </c>
      <c r="C363" s="28">
        <v>100</v>
      </c>
      <c r="D363" s="28">
        <v>96</v>
      </c>
      <c r="E363" s="28">
        <v>12</v>
      </c>
      <c r="F363" s="28">
        <v>1156</v>
      </c>
      <c r="G363" s="29"/>
    </row>
    <row r="364" spans="1:7" ht="15.75">
      <c r="A364" s="27" t="s">
        <v>179</v>
      </c>
      <c r="B364" s="28">
        <v>0</v>
      </c>
      <c r="C364" s="28">
        <v>70</v>
      </c>
      <c r="D364" s="28">
        <v>75</v>
      </c>
      <c r="E364" s="28">
        <v>12</v>
      </c>
      <c r="F364" s="28">
        <v>895</v>
      </c>
      <c r="G364" s="29"/>
    </row>
    <row r="365" spans="1:7" ht="15.75">
      <c r="A365" s="27" t="s">
        <v>979</v>
      </c>
      <c r="B365" s="28">
        <v>0</v>
      </c>
      <c r="C365" s="28">
        <v>204</v>
      </c>
      <c r="D365" s="28">
        <v>202</v>
      </c>
      <c r="E365" s="28">
        <v>12</v>
      </c>
      <c r="F365" s="28">
        <v>2426</v>
      </c>
      <c r="G365" s="29"/>
    </row>
    <row r="366" spans="1:7" ht="15.75">
      <c r="A366" s="27" t="s">
        <v>304</v>
      </c>
      <c r="B366" s="28">
        <v>0</v>
      </c>
      <c r="C366" s="28">
        <v>246</v>
      </c>
      <c r="D366" s="28">
        <v>244</v>
      </c>
      <c r="E366" s="28">
        <v>12</v>
      </c>
      <c r="F366" s="28">
        <v>2930</v>
      </c>
      <c r="G366" s="29"/>
    </row>
    <row r="367" spans="1:7" ht="15.75">
      <c r="A367" s="27" t="s">
        <v>315</v>
      </c>
      <c r="B367" s="28">
        <v>0</v>
      </c>
      <c r="C367" s="28">
        <v>288</v>
      </c>
      <c r="D367" s="28">
        <v>286</v>
      </c>
      <c r="E367" s="28">
        <v>12</v>
      </c>
      <c r="F367" s="28">
        <v>3434</v>
      </c>
      <c r="G367" s="29"/>
    </row>
    <row r="368" spans="1:7" ht="15.75">
      <c r="A368" s="27" t="s">
        <v>980</v>
      </c>
      <c r="B368" s="28">
        <v>0</v>
      </c>
      <c r="C368" s="28">
        <v>22</v>
      </c>
      <c r="D368" s="28">
        <v>20</v>
      </c>
      <c r="E368" s="28">
        <v>12</v>
      </c>
      <c r="F368" s="28">
        <v>242</v>
      </c>
      <c r="G368" s="29"/>
    </row>
    <row r="369" spans="1:7" ht="15.75">
      <c r="A369" s="27" t="s">
        <v>981</v>
      </c>
      <c r="B369" s="28">
        <v>0</v>
      </c>
      <c r="C369" s="28">
        <v>270</v>
      </c>
      <c r="D369" s="28">
        <v>274</v>
      </c>
      <c r="E369" s="28">
        <v>12</v>
      </c>
      <c r="F369" s="28">
        <v>3284</v>
      </c>
      <c r="G369" s="29"/>
    </row>
    <row r="370" spans="1:7" ht="15.75">
      <c r="A370" s="27" t="s">
        <v>507</v>
      </c>
      <c r="B370" s="28">
        <v>0</v>
      </c>
      <c r="C370" s="28">
        <v>106</v>
      </c>
      <c r="D370" s="28">
        <v>109</v>
      </c>
      <c r="E370" s="28">
        <v>12</v>
      </c>
      <c r="F370" s="28">
        <v>1305</v>
      </c>
      <c r="G370" s="29"/>
    </row>
    <row r="371" spans="1:7" ht="15.75">
      <c r="A371" s="27" t="s">
        <v>982</v>
      </c>
      <c r="B371" s="28">
        <v>0</v>
      </c>
      <c r="C371" s="28">
        <v>40</v>
      </c>
      <c r="D371" s="28">
        <v>37</v>
      </c>
      <c r="E371" s="28">
        <v>12</v>
      </c>
      <c r="F371" s="28">
        <v>447</v>
      </c>
      <c r="G371" s="29"/>
    </row>
    <row r="372" spans="1:7" ht="15.75">
      <c r="A372" s="27" t="s">
        <v>254</v>
      </c>
      <c r="B372" s="28">
        <v>0</v>
      </c>
      <c r="C372" s="28">
        <v>22</v>
      </c>
      <c r="D372" s="28">
        <v>25</v>
      </c>
      <c r="E372" s="28">
        <v>12</v>
      </c>
      <c r="F372" s="28">
        <v>297</v>
      </c>
      <c r="G372" s="29"/>
    </row>
    <row r="373" spans="1:7" ht="15.75">
      <c r="A373" s="27" t="s">
        <v>480</v>
      </c>
      <c r="B373" s="28">
        <v>0</v>
      </c>
      <c r="C373" s="28">
        <v>50</v>
      </c>
      <c r="D373" s="28">
        <v>48</v>
      </c>
      <c r="E373" s="28">
        <v>12</v>
      </c>
      <c r="F373" s="28">
        <v>578</v>
      </c>
      <c r="G373" s="29"/>
    </row>
    <row r="374" spans="1:7" ht="15.75">
      <c r="A374" s="27" t="s">
        <v>983</v>
      </c>
      <c r="B374" s="28">
        <v>0</v>
      </c>
      <c r="C374" s="28">
        <v>156</v>
      </c>
      <c r="D374" s="28">
        <v>152</v>
      </c>
      <c r="E374" s="28">
        <v>12</v>
      </c>
      <c r="F374" s="28">
        <v>1828</v>
      </c>
      <c r="G374" s="29"/>
    </row>
    <row r="375" spans="1:7" ht="15.75">
      <c r="A375" s="27" t="s">
        <v>984</v>
      </c>
      <c r="B375" s="28">
        <v>0</v>
      </c>
      <c r="C375" s="28">
        <v>390</v>
      </c>
      <c r="D375" s="28">
        <v>387</v>
      </c>
      <c r="E375" s="28">
        <v>12</v>
      </c>
      <c r="F375" s="28">
        <v>4647</v>
      </c>
      <c r="G375" s="29"/>
    </row>
    <row r="376" spans="1:7" ht="15.75">
      <c r="A376" s="27" t="s">
        <v>985</v>
      </c>
      <c r="B376" s="28">
        <v>0</v>
      </c>
      <c r="C376" s="28">
        <v>208</v>
      </c>
      <c r="D376" s="28">
        <v>205</v>
      </c>
      <c r="E376" s="28">
        <v>12</v>
      </c>
      <c r="F376" s="28">
        <v>2463</v>
      </c>
      <c r="G376" s="29"/>
    </row>
    <row r="377" spans="1:7" ht="15.75">
      <c r="A377" s="27" t="s">
        <v>411</v>
      </c>
      <c r="B377" s="28">
        <v>0</v>
      </c>
      <c r="C377" s="28">
        <v>60</v>
      </c>
      <c r="D377" s="28">
        <v>59</v>
      </c>
      <c r="E377" s="28">
        <v>12</v>
      </c>
      <c r="F377" s="28">
        <v>709</v>
      </c>
      <c r="G377" s="29"/>
    </row>
    <row r="378" spans="1:7" ht="15.75">
      <c r="A378" s="27" t="s">
        <v>986</v>
      </c>
      <c r="B378" s="28">
        <v>0</v>
      </c>
      <c r="C378" s="28">
        <v>70</v>
      </c>
      <c r="D378" s="28">
        <v>75</v>
      </c>
      <c r="E378" s="28">
        <v>12</v>
      </c>
      <c r="F378" s="28">
        <v>895</v>
      </c>
      <c r="G378" s="29"/>
    </row>
    <row r="379" spans="1:7" ht="15.75">
      <c r="A379" s="27" t="s">
        <v>263</v>
      </c>
      <c r="B379" s="28">
        <v>0</v>
      </c>
      <c r="C379" s="28">
        <v>96</v>
      </c>
      <c r="D379" s="28">
        <v>98</v>
      </c>
      <c r="E379" s="28">
        <v>12</v>
      </c>
      <c r="F379" s="28">
        <v>1174</v>
      </c>
      <c r="G379" s="29"/>
    </row>
    <row r="380" spans="1:7" ht="15.75">
      <c r="A380" s="27" t="s">
        <v>333</v>
      </c>
      <c r="B380" s="28">
        <v>0</v>
      </c>
      <c r="C380" s="28">
        <v>124</v>
      </c>
      <c r="D380" s="28">
        <v>121</v>
      </c>
      <c r="E380" s="28">
        <v>12</v>
      </c>
      <c r="F380" s="28">
        <v>1455</v>
      </c>
      <c r="G380" s="29"/>
    </row>
    <row r="381" spans="1:7" ht="15.75">
      <c r="A381" s="27" t="s">
        <v>278</v>
      </c>
      <c r="B381" s="28">
        <v>0</v>
      </c>
      <c r="C381" s="28">
        <v>144</v>
      </c>
      <c r="D381" s="28">
        <v>143</v>
      </c>
      <c r="E381" s="28">
        <v>12</v>
      </c>
      <c r="F381" s="28">
        <v>1717</v>
      </c>
      <c r="G381" s="29"/>
    </row>
    <row r="382" spans="1:7" ht="15.75">
      <c r="A382" s="27" t="s">
        <v>377</v>
      </c>
      <c r="B382" s="28">
        <v>0</v>
      </c>
      <c r="C382" s="28">
        <v>162</v>
      </c>
      <c r="D382" s="28">
        <v>165</v>
      </c>
      <c r="E382" s="28">
        <v>12</v>
      </c>
      <c r="F382" s="28">
        <v>1977</v>
      </c>
      <c r="G382" s="29"/>
    </row>
    <row r="383" spans="1:7" ht="15.75">
      <c r="A383" s="27" t="s">
        <v>987</v>
      </c>
      <c r="B383" s="28">
        <v>0</v>
      </c>
      <c r="C383" s="28">
        <v>186</v>
      </c>
      <c r="D383" s="28">
        <v>185</v>
      </c>
      <c r="E383" s="28">
        <v>12</v>
      </c>
      <c r="F383" s="28">
        <v>2221</v>
      </c>
      <c r="G383" s="29"/>
    </row>
    <row r="384" spans="1:7" ht="15.75">
      <c r="A384" s="27" t="s">
        <v>388</v>
      </c>
      <c r="B384" s="28">
        <v>0</v>
      </c>
      <c r="C384" s="28">
        <v>226</v>
      </c>
      <c r="D384" s="28">
        <v>222</v>
      </c>
      <c r="E384" s="28">
        <v>12</v>
      </c>
      <c r="F384" s="28">
        <v>2668</v>
      </c>
      <c r="G384" s="29"/>
    </row>
    <row r="385" spans="1:7" ht="15.75">
      <c r="A385" s="27" t="s">
        <v>988</v>
      </c>
      <c r="B385" s="28">
        <v>0</v>
      </c>
      <c r="C385" s="28">
        <v>306</v>
      </c>
      <c r="D385" s="28">
        <v>303</v>
      </c>
      <c r="E385" s="28">
        <v>12</v>
      </c>
      <c r="F385" s="28">
        <v>3639</v>
      </c>
      <c r="G385" s="29"/>
    </row>
    <row r="386" spans="1:7" ht="15.75">
      <c r="A386" s="27" t="s">
        <v>989</v>
      </c>
      <c r="B386" s="28">
        <v>0</v>
      </c>
      <c r="C386" s="28">
        <v>312</v>
      </c>
      <c r="D386" s="28">
        <v>311</v>
      </c>
      <c r="E386" s="28">
        <v>12</v>
      </c>
      <c r="F386" s="28">
        <v>3733</v>
      </c>
      <c r="G386" s="29"/>
    </row>
    <row r="387" spans="1:7" ht="15.75">
      <c r="A387" s="27" t="s">
        <v>990</v>
      </c>
      <c r="B387" s="28">
        <v>0</v>
      </c>
      <c r="C387" s="28">
        <v>620</v>
      </c>
      <c r="D387" s="28">
        <v>619</v>
      </c>
      <c r="E387" s="28">
        <v>12</v>
      </c>
      <c r="F387" s="28">
        <v>7429</v>
      </c>
      <c r="G387" s="29"/>
    </row>
    <row r="388" spans="1:7" ht="15.75">
      <c r="A388" s="27" t="s">
        <v>991</v>
      </c>
      <c r="B388" s="28">
        <v>0</v>
      </c>
      <c r="C388" s="28">
        <v>706</v>
      </c>
      <c r="D388" s="28">
        <v>701</v>
      </c>
      <c r="E388" s="28">
        <v>12</v>
      </c>
      <c r="F388" s="28">
        <v>8417</v>
      </c>
      <c r="G388" s="29"/>
    </row>
    <row r="389" spans="1:7" ht="15.75">
      <c r="A389" s="27" t="s">
        <v>486</v>
      </c>
      <c r="B389" s="28">
        <v>0</v>
      </c>
      <c r="C389" s="28">
        <v>172</v>
      </c>
      <c r="D389" s="28">
        <v>171</v>
      </c>
      <c r="E389" s="28">
        <v>12</v>
      </c>
      <c r="F389" s="28">
        <v>2053</v>
      </c>
      <c r="G389" s="29"/>
    </row>
    <row r="390" spans="1:7" ht="15.75">
      <c r="A390" s="27" t="s">
        <v>496</v>
      </c>
      <c r="B390" s="28">
        <v>0</v>
      </c>
      <c r="C390" s="28">
        <v>278</v>
      </c>
      <c r="D390" s="28">
        <v>280</v>
      </c>
      <c r="E390" s="28">
        <v>12</v>
      </c>
      <c r="F390" s="28">
        <v>3358</v>
      </c>
      <c r="G390" s="29"/>
    </row>
    <row r="391" spans="1:7" ht="15.75">
      <c r="A391" s="27" t="s">
        <v>510</v>
      </c>
      <c r="B391" s="28">
        <v>0</v>
      </c>
      <c r="C391" s="28">
        <v>292</v>
      </c>
      <c r="D391" s="28">
        <v>289</v>
      </c>
      <c r="E391" s="28">
        <v>12</v>
      </c>
      <c r="F391" s="28">
        <v>3471</v>
      </c>
      <c r="G391" s="29"/>
    </row>
    <row r="392" spans="1:7" ht="15.75">
      <c r="A392" s="27" t="s">
        <v>992</v>
      </c>
      <c r="B392" s="28">
        <v>0</v>
      </c>
      <c r="C392" s="28">
        <v>106</v>
      </c>
      <c r="D392" s="28">
        <v>109</v>
      </c>
      <c r="E392" s="28">
        <v>12</v>
      </c>
      <c r="F392" s="28">
        <v>1305</v>
      </c>
      <c r="G392" s="29"/>
    </row>
    <row r="393" spans="1:7" ht="15.75">
      <c r="A393" s="27" t="s">
        <v>404</v>
      </c>
      <c r="B393" s="28">
        <v>0</v>
      </c>
      <c r="C393" s="28">
        <v>16</v>
      </c>
      <c r="D393" s="28">
        <v>12</v>
      </c>
      <c r="E393" s="28">
        <v>12</v>
      </c>
      <c r="F393" s="28">
        <v>148</v>
      </c>
      <c r="G393" s="29"/>
    </row>
    <row r="394" spans="1:7" ht="15.75">
      <c r="A394" s="27" t="s">
        <v>993</v>
      </c>
      <c r="B394" s="28">
        <v>0</v>
      </c>
      <c r="C394" s="28">
        <v>14</v>
      </c>
      <c r="D394" s="28">
        <v>19</v>
      </c>
      <c r="E394" s="28">
        <v>12</v>
      </c>
      <c r="F394" s="28">
        <v>223</v>
      </c>
      <c r="G394" s="29"/>
    </row>
    <row r="395" spans="1:7" ht="15.75">
      <c r="A395" s="27" t="s">
        <v>260</v>
      </c>
      <c r="B395" s="28">
        <v>0</v>
      </c>
      <c r="C395" s="28">
        <v>68</v>
      </c>
      <c r="D395" s="28">
        <v>65</v>
      </c>
      <c r="E395" s="28">
        <v>12</v>
      </c>
      <c r="F395" s="28">
        <v>783</v>
      </c>
      <c r="G395" s="29"/>
    </row>
    <row r="396" spans="1:7" ht="15.75">
      <c r="A396" s="27" t="s">
        <v>994</v>
      </c>
      <c r="B396" s="28">
        <v>0</v>
      </c>
      <c r="C396" s="28">
        <v>28</v>
      </c>
      <c r="D396" s="28">
        <v>33</v>
      </c>
      <c r="E396" s="28">
        <v>12</v>
      </c>
      <c r="F396" s="28">
        <v>391</v>
      </c>
      <c r="G396" s="29"/>
    </row>
    <row r="397" spans="1:7" ht="15.75">
      <c r="A397" s="27" t="s">
        <v>995</v>
      </c>
      <c r="B397" s="28">
        <v>0</v>
      </c>
      <c r="C397" s="28">
        <v>92</v>
      </c>
      <c r="D397" s="28">
        <v>95</v>
      </c>
      <c r="E397" s="28">
        <v>12</v>
      </c>
      <c r="F397" s="28">
        <v>1137</v>
      </c>
      <c r="G397" s="29"/>
    </row>
    <row r="398" spans="1:7" ht="15.75">
      <c r="A398" s="27" t="s">
        <v>996</v>
      </c>
      <c r="B398" s="28">
        <v>0</v>
      </c>
      <c r="C398" s="28">
        <v>110</v>
      </c>
      <c r="D398" s="28">
        <v>112</v>
      </c>
      <c r="E398" s="28">
        <v>12</v>
      </c>
      <c r="F398" s="28">
        <v>1342</v>
      </c>
      <c r="G398" s="29"/>
    </row>
    <row r="399" spans="1:7" ht="15.75">
      <c r="A399" s="27" t="s">
        <v>365</v>
      </c>
      <c r="B399" s="28">
        <v>0</v>
      </c>
      <c r="C399" s="28">
        <v>130</v>
      </c>
      <c r="D399" s="28">
        <v>134</v>
      </c>
      <c r="E399" s="28">
        <v>12</v>
      </c>
      <c r="F399" s="28">
        <v>1604</v>
      </c>
      <c r="G399" s="29"/>
    </row>
    <row r="400" spans="1:7" ht="15.75">
      <c r="A400" s="27" t="s">
        <v>997</v>
      </c>
      <c r="B400" s="28">
        <v>0</v>
      </c>
      <c r="C400" s="28">
        <v>72</v>
      </c>
      <c r="D400" s="28">
        <v>68</v>
      </c>
      <c r="E400" s="28">
        <v>12</v>
      </c>
      <c r="F400" s="28">
        <v>820</v>
      </c>
      <c r="G400" s="29"/>
    </row>
    <row r="401" spans="1:7" ht="15.75">
      <c r="A401" s="27" t="s">
        <v>400</v>
      </c>
      <c r="B401" s="28">
        <v>0</v>
      </c>
      <c r="C401" s="28">
        <v>278</v>
      </c>
      <c r="D401" s="28">
        <v>275</v>
      </c>
      <c r="E401" s="28">
        <v>12</v>
      </c>
      <c r="F401" s="28">
        <v>3303</v>
      </c>
      <c r="G401" s="29"/>
    </row>
    <row r="402" spans="1:7" ht="15.75">
      <c r="A402" s="27" t="s">
        <v>998</v>
      </c>
      <c r="B402" s="28">
        <v>0</v>
      </c>
      <c r="C402" s="28">
        <v>270</v>
      </c>
      <c r="D402" s="28">
        <v>269</v>
      </c>
      <c r="E402" s="28">
        <v>12</v>
      </c>
      <c r="F402" s="28">
        <v>3229</v>
      </c>
      <c r="G402" s="29"/>
    </row>
    <row r="403" spans="1:7" ht="15.75">
      <c r="A403" s="27" t="s">
        <v>999</v>
      </c>
      <c r="B403" s="28">
        <v>0</v>
      </c>
      <c r="C403" s="28">
        <v>408</v>
      </c>
      <c r="D403" s="28">
        <v>404</v>
      </c>
      <c r="E403" s="28">
        <v>12</v>
      </c>
      <c r="F403" s="28">
        <v>4852</v>
      </c>
      <c r="G403" s="29"/>
    </row>
    <row r="404" spans="1:7" ht="15.75">
      <c r="A404" s="27" t="s">
        <v>1000</v>
      </c>
      <c r="B404" s="28">
        <v>0</v>
      </c>
      <c r="C404" s="28">
        <v>376</v>
      </c>
      <c r="D404" s="28">
        <v>373</v>
      </c>
      <c r="E404" s="28">
        <v>12</v>
      </c>
      <c r="F404" s="28">
        <v>4479</v>
      </c>
      <c r="G404" s="29"/>
    </row>
    <row r="405" spans="1:7" ht="15.75">
      <c r="A405" s="27" t="s">
        <v>1001</v>
      </c>
      <c r="B405" s="28">
        <v>0</v>
      </c>
      <c r="C405" s="28">
        <v>532</v>
      </c>
      <c r="D405" s="28">
        <v>537</v>
      </c>
      <c r="E405" s="28">
        <v>12</v>
      </c>
      <c r="F405" s="28">
        <v>6439</v>
      </c>
      <c r="G405" s="29"/>
    </row>
    <row r="406" spans="1:7" ht="15.75">
      <c r="A406" s="27" t="s">
        <v>1002</v>
      </c>
      <c r="B406" s="28">
        <v>0</v>
      </c>
      <c r="C406" s="28">
        <v>558</v>
      </c>
      <c r="D406" s="28">
        <v>560</v>
      </c>
      <c r="E406" s="28">
        <v>12</v>
      </c>
      <c r="F406" s="28">
        <v>6718</v>
      </c>
      <c r="G406" s="29"/>
    </row>
    <row r="407" spans="1:7" ht="15.75">
      <c r="A407" s="27" t="s">
        <v>1003</v>
      </c>
      <c r="B407" s="28">
        <v>0</v>
      </c>
      <c r="C407" s="28">
        <v>558</v>
      </c>
      <c r="D407" s="28">
        <v>560</v>
      </c>
      <c r="E407" s="28">
        <v>12</v>
      </c>
      <c r="F407" s="28">
        <v>6718</v>
      </c>
      <c r="G407" s="29"/>
    </row>
    <row r="408" spans="1:7" ht="15.75">
      <c r="A408" s="27" t="s">
        <v>518</v>
      </c>
      <c r="B408" s="28">
        <v>0</v>
      </c>
      <c r="C408" s="28">
        <v>88</v>
      </c>
      <c r="D408" s="28">
        <v>87</v>
      </c>
      <c r="E408" s="28">
        <v>12</v>
      </c>
      <c r="F408" s="28">
        <v>1045</v>
      </c>
      <c r="G408" s="29"/>
    </row>
    <row r="409" spans="1:7" ht="15.75">
      <c r="A409" s="27" t="s">
        <v>193</v>
      </c>
      <c r="B409" s="28">
        <v>0</v>
      </c>
      <c r="C409" s="28">
        <v>558</v>
      </c>
      <c r="D409" s="28">
        <v>560</v>
      </c>
      <c r="E409" s="28">
        <v>12</v>
      </c>
      <c r="F409" s="28">
        <v>6718</v>
      </c>
      <c r="G409" s="29"/>
    </row>
    <row r="410" spans="1:7" ht="15.75">
      <c r="A410" s="27" t="s">
        <v>196</v>
      </c>
      <c r="B410" s="28">
        <v>0</v>
      </c>
      <c r="C410" s="28">
        <v>680</v>
      </c>
      <c r="D410" s="28">
        <v>678</v>
      </c>
      <c r="E410" s="28">
        <v>12</v>
      </c>
      <c r="F410" s="28">
        <v>8138</v>
      </c>
      <c r="G410" s="29"/>
    </row>
    <row r="411" spans="1:7" ht="15.75">
      <c r="A411" s="27" t="s">
        <v>209</v>
      </c>
      <c r="B411" s="28">
        <v>0</v>
      </c>
      <c r="C411" s="28">
        <v>756</v>
      </c>
      <c r="D411" s="28">
        <v>761</v>
      </c>
      <c r="E411" s="28">
        <v>12</v>
      </c>
      <c r="F411" s="28">
        <v>9127</v>
      </c>
      <c r="G411" s="29"/>
    </row>
    <row r="412" spans="1:7" ht="15.75">
      <c r="A412" s="27" t="s">
        <v>1004</v>
      </c>
      <c r="B412" s="28">
        <v>0</v>
      </c>
      <c r="C412" s="28">
        <v>130</v>
      </c>
      <c r="D412" s="28">
        <v>129</v>
      </c>
      <c r="E412" s="28">
        <v>12</v>
      </c>
      <c r="F412" s="28">
        <v>1549</v>
      </c>
      <c r="G412" s="29"/>
    </row>
    <row r="413" spans="1:7" ht="15.75">
      <c r="A413" s="27" t="s">
        <v>447</v>
      </c>
      <c r="B413" s="28">
        <v>0</v>
      </c>
      <c r="C413" s="28">
        <v>58</v>
      </c>
      <c r="D413" s="28">
        <v>54</v>
      </c>
      <c r="E413" s="28">
        <v>12</v>
      </c>
      <c r="F413" s="28">
        <v>652</v>
      </c>
      <c r="G413" s="29"/>
    </row>
    <row r="414" spans="1:7" ht="15.75">
      <c r="A414" s="27" t="s">
        <v>1005</v>
      </c>
      <c r="B414" s="28">
        <v>0</v>
      </c>
      <c r="C414" s="28">
        <v>36</v>
      </c>
      <c r="D414" s="28">
        <v>39</v>
      </c>
      <c r="E414" s="28">
        <v>12</v>
      </c>
      <c r="F414" s="28">
        <v>465</v>
      </c>
      <c r="G414" s="29"/>
    </row>
    <row r="415" spans="1:7" ht="15.75">
      <c r="A415" s="27" t="s">
        <v>183</v>
      </c>
      <c r="B415" s="28">
        <v>0</v>
      </c>
      <c r="C415" s="28">
        <v>34</v>
      </c>
      <c r="D415" s="28">
        <v>29</v>
      </c>
      <c r="E415" s="28">
        <v>12</v>
      </c>
      <c r="F415" s="28">
        <v>353</v>
      </c>
      <c r="G415" s="29"/>
    </row>
    <row r="416" spans="1:7" ht="15.75">
      <c r="A416" s="27" t="s">
        <v>328</v>
      </c>
      <c r="B416" s="28">
        <v>0</v>
      </c>
      <c r="C416" s="28">
        <v>90</v>
      </c>
      <c r="D416" s="28">
        <v>85</v>
      </c>
      <c r="E416" s="28">
        <v>12</v>
      </c>
      <c r="F416" s="28">
        <v>1025</v>
      </c>
      <c r="G416" s="29"/>
    </row>
    <row r="417" spans="1:7" ht="15.75">
      <c r="A417" s="27" t="s">
        <v>1006</v>
      </c>
      <c r="B417" s="28">
        <v>0</v>
      </c>
      <c r="C417" s="28">
        <v>210</v>
      </c>
      <c r="D417" s="28">
        <v>215</v>
      </c>
      <c r="E417" s="28">
        <v>12</v>
      </c>
      <c r="F417" s="28">
        <v>2575</v>
      </c>
      <c r="G417" s="29"/>
    </row>
    <row r="418" spans="1:7" ht="15.75">
      <c r="A418" s="27" t="s">
        <v>1007</v>
      </c>
      <c r="B418" s="28">
        <v>0</v>
      </c>
      <c r="C418" s="28">
        <v>274</v>
      </c>
      <c r="D418" s="28">
        <v>272</v>
      </c>
      <c r="E418" s="28">
        <v>12</v>
      </c>
      <c r="F418" s="28">
        <v>3266</v>
      </c>
      <c r="G418" s="29"/>
    </row>
    <row r="419" spans="1:7" ht="15.75">
      <c r="A419" s="27" t="s">
        <v>1008</v>
      </c>
      <c r="B419" s="28">
        <v>0</v>
      </c>
      <c r="C419" s="28">
        <v>464</v>
      </c>
      <c r="D419" s="28">
        <v>460</v>
      </c>
      <c r="E419" s="28">
        <v>12</v>
      </c>
      <c r="F419" s="28">
        <v>5524</v>
      </c>
      <c r="G419" s="29"/>
    </row>
    <row r="420" spans="1:7" ht="15.75">
      <c r="A420" s="27" t="s">
        <v>1009</v>
      </c>
      <c r="B420" s="28">
        <v>0</v>
      </c>
      <c r="C420" s="28">
        <v>314</v>
      </c>
      <c r="D420" s="28">
        <v>309</v>
      </c>
      <c r="E420" s="28">
        <v>12</v>
      </c>
      <c r="F420" s="28">
        <v>3713</v>
      </c>
      <c r="G420" s="29"/>
    </row>
    <row r="421" spans="1:7" ht="15.75">
      <c r="A421" s="27" t="s">
        <v>1010</v>
      </c>
      <c r="B421" s="28">
        <v>0</v>
      </c>
      <c r="C421" s="28">
        <v>440</v>
      </c>
      <c r="D421" s="28">
        <v>435</v>
      </c>
      <c r="E421" s="28">
        <v>12</v>
      </c>
      <c r="F421" s="28">
        <v>5225</v>
      </c>
      <c r="G421" s="29"/>
    </row>
    <row r="422" spans="1:7" ht="15.75">
      <c r="A422" s="27" t="s">
        <v>1011</v>
      </c>
      <c r="B422" s="28">
        <v>0</v>
      </c>
      <c r="C422" s="28">
        <v>424</v>
      </c>
      <c r="D422" s="28">
        <v>428</v>
      </c>
      <c r="E422" s="28">
        <v>12</v>
      </c>
      <c r="F422" s="28">
        <v>5132</v>
      </c>
      <c r="G422" s="29"/>
    </row>
    <row r="423" spans="1:7" ht="15.75">
      <c r="A423" s="27" t="s">
        <v>1012</v>
      </c>
      <c r="B423" s="28">
        <v>0</v>
      </c>
      <c r="C423" s="28">
        <v>260</v>
      </c>
      <c r="D423" s="28">
        <v>263</v>
      </c>
      <c r="E423" s="28">
        <v>12</v>
      </c>
      <c r="F423" s="28">
        <v>3153</v>
      </c>
      <c r="G423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423"/>
  <sheetViews>
    <sheetView workbookViewId="0">
      <selection activeCell="C3" sqref="C3"/>
    </sheetView>
  </sheetViews>
  <sheetFormatPr baseColWidth="10" defaultColWidth="14.42578125" defaultRowHeight="15" customHeight="1"/>
  <cols>
    <col min="3" max="3" width="45.7109375" customWidth="1"/>
  </cols>
  <sheetData>
    <row r="1" spans="1:11" ht="15" customHeight="1">
      <c r="A1" s="32"/>
      <c r="B1" s="33"/>
      <c r="C1" s="34"/>
      <c r="D1" s="75" t="s">
        <v>14</v>
      </c>
      <c r="E1" s="72"/>
      <c r="F1" s="72"/>
      <c r="G1" s="72"/>
      <c r="H1" s="72"/>
      <c r="I1" s="72"/>
      <c r="J1" s="72"/>
      <c r="K1" s="72"/>
    </row>
    <row r="2" spans="1:11" ht="15" customHeight="1">
      <c r="A2" s="35" t="s">
        <v>32</v>
      </c>
      <c r="B2" s="36" t="s">
        <v>35</v>
      </c>
      <c r="C2" s="36" t="s">
        <v>37</v>
      </c>
      <c r="D2" s="37" t="s">
        <v>797</v>
      </c>
      <c r="E2" s="37" t="s">
        <v>798</v>
      </c>
      <c r="F2" s="37" t="s">
        <v>799</v>
      </c>
      <c r="G2" s="37" t="s">
        <v>42</v>
      </c>
      <c r="H2" s="37">
        <v>104.9</v>
      </c>
      <c r="I2" s="37">
        <v>129.9</v>
      </c>
      <c r="J2" s="37">
        <v>199.9</v>
      </c>
      <c r="K2" s="38" t="s">
        <v>44</v>
      </c>
    </row>
    <row r="3" spans="1:11" ht="15.75">
      <c r="A3" s="39" t="s">
        <v>45</v>
      </c>
      <c r="B3" s="39" t="s">
        <v>48</v>
      </c>
      <c r="C3" s="40" t="s">
        <v>50</v>
      </c>
      <c r="D3" s="41">
        <v>309.60000000000002</v>
      </c>
      <c r="E3" s="41">
        <v>309.60000000000002</v>
      </c>
      <c r="F3" s="41">
        <v>309.60000000000002</v>
      </c>
      <c r="G3" s="41">
        <v>309.60000000000002</v>
      </c>
      <c r="H3" s="41">
        <v>309.60000000000002</v>
      </c>
      <c r="I3" s="41">
        <v>309.60000000000002</v>
      </c>
      <c r="J3" s="41">
        <v>309.60000000000002</v>
      </c>
      <c r="K3" s="41">
        <v>309.60000000000002</v>
      </c>
    </row>
    <row r="4" spans="1:11" ht="15.75">
      <c r="A4" s="39" t="s">
        <v>66</v>
      </c>
      <c r="B4" s="39" t="s">
        <v>48</v>
      </c>
      <c r="C4" s="40" t="s">
        <v>576</v>
      </c>
      <c r="D4" s="41">
        <v>179.1</v>
      </c>
      <c r="E4" s="41">
        <v>179.1</v>
      </c>
      <c r="F4" s="41">
        <v>179.1</v>
      </c>
      <c r="G4" s="41">
        <v>179.1</v>
      </c>
      <c r="H4" s="41">
        <v>179.1</v>
      </c>
      <c r="I4" s="41">
        <v>179.1</v>
      </c>
      <c r="J4" s="41">
        <v>179.1</v>
      </c>
      <c r="K4" s="41">
        <v>179.1</v>
      </c>
    </row>
    <row r="5" spans="1:11" ht="15.75">
      <c r="A5" s="39" t="s">
        <v>66</v>
      </c>
      <c r="B5" s="39" t="s">
        <v>48</v>
      </c>
      <c r="C5" s="40" t="s">
        <v>551</v>
      </c>
      <c r="D5" s="41">
        <v>209.7</v>
      </c>
      <c r="E5" s="41">
        <v>209.7</v>
      </c>
      <c r="F5" s="41">
        <v>209.7</v>
      </c>
      <c r="G5" s="41">
        <v>209.7</v>
      </c>
      <c r="H5" s="41">
        <v>209.7</v>
      </c>
      <c r="I5" s="41">
        <v>209.7</v>
      </c>
      <c r="J5" s="41">
        <v>209.7</v>
      </c>
      <c r="K5" s="41">
        <v>209.7</v>
      </c>
    </row>
    <row r="6" spans="1:11" ht="15.75">
      <c r="A6" s="39" t="s">
        <v>66</v>
      </c>
      <c r="B6" s="39" t="s">
        <v>48</v>
      </c>
      <c r="C6" s="40" t="s">
        <v>498</v>
      </c>
      <c r="D6" s="41">
        <v>259.2</v>
      </c>
      <c r="E6" s="41">
        <v>259.2</v>
      </c>
      <c r="F6" s="41">
        <v>259.2</v>
      </c>
      <c r="G6" s="41">
        <v>259.2</v>
      </c>
      <c r="H6" s="41">
        <v>259.2</v>
      </c>
      <c r="I6" s="41">
        <v>259.2</v>
      </c>
      <c r="J6" s="41">
        <v>259.2</v>
      </c>
      <c r="K6" s="41">
        <v>259.2</v>
      </c>
    </row>
    <row r="7" spans="1:11" ht="15.75">
      <c r="A7" s="39" t="s">
        <v>66</v>
      </c>
      <c r="B7" s="39" t="s">
        <v>48</v>
      </c>
      <c r="C7" s="40" t="s">
        <v>70</v>
      </c>
      <c r="D7" s="41">
        <v>339.3</v>
      </c>
      <c r="E7" s="41">
        <v>339.3</v>
      </c>
      <c r="F7" s="41">
        <v>339.3</v>
      </c>
      <c r="G7" s="41">
        <v>339.3</v>
      </c>
      <c r="H7" s="41">
        <v>339.3</v>
      </c>
      <c r="I7" s="41">
        <v>339.3</v>
      </c>
      <c r="J7" s="41">
        <v>339.3</v>
      </c>
      <c r="K7" s="41">
        <v>339.3</v>
      </c>
    </row>
    <row r="8" spans="1:11" ht="15.75">
      <c r="A8" s="39" t="s">
        <v>83</v>
      </c>
      <c r="B8" s="39" t="s">
        <v>48</v>
      </c>
      <c r="C8" s="40" t="s">
        <v>153</v>
      </c>
      <c r="D8" s="41">
        <v>749.7</v>
      </c>
      <c r="E8" s="41">
        <v>749.7</v>
      </c>
      <c r="F8" s="41">
        <v>749.7</v>
      </c>
      <c r="G8" s="41">
        <v>749.7</v>
      </c>
      <c r="H8" s="41">
        <v>749.7</v>
      </c>
      <c r="I8" s="41">
        <v>749.7</v>
      </c>
      <c r="J8" s="41">
        <v>749.7</v>
      </c>
      <c r="K8" s="41">
        <v>749.7</v>
      </c>
    </row>
    <row r="9" spans="1:11" ht="15.75">
      <c r="A9" s="39" t="s">
        <v>66</v>
      </c>
      <c r="B9" s="39" t="s">
        <v>48</v>
      </c>
      <c r="C9" s="40" t="s">
        <v>553</v>
      </c>
      <c r="D9" s="41">
        <v>189</v>
      </c>
      <c r="E9" s="41">
        <v>189</v>
      </c>
      <c r="F9" s="41">
        <v>189</v>
      </c>
      <c r="G9" s="41">
        <v>189</v>
      </c>
      <c r="H9" s="41">
        <v>189</v>
      </c>
      <c r="I9" s="41">
        <v>189</v>
      </c>
      <c r="J9" s="41">
        <v>189</v>
      </c>
      <c r="K9" s="41">
        <v>189</v>
      </c>
    </row>
    <row r="10" spans="1:11" ht="15.75">
      <c r="A10" s="39" t="s">
        <v>45</v>
      </c>
      <c r="B10" s="39" t="s">
        <v>48</v>
      </c>
      <c r="C10" s="40" t="s">
        <v>77</v>
      </c>
      <c r="D10" s="41">
        <v>829.8</v>
      </c>
      <c r="E10" s="41">
        <v>829.8</v>
      </c>
      <c r="F10" s="41">
        <v>829.8</v>
      </c>
      <c r="G10" s="41">
        <v>829.8</v>
      </c>
      <c r="H10" s="41">
        <v>829.8</v>
      </c>
      <c r="I10" s="41">
        <v>829.8</v>
      </c>
      <c r="J10" s="41">
        <v>829.8</v>
      </c>
      <c r="K10" s="41">
        <v>829.8</v>
      </c>
    </row>
    <row r="11" spans="1:11" ht="15.75">
      <c r="A11" s="39" t="s">
        <v>45</v>
      </c>
      <c r="B11" s="39" t="s">
        <v>48</v>
      </c>
      <c r="C11" s="40" t="s">
        <v>78</v>
      </c>
      <c r="D11" s="41">
        <v>409.5</v>
      </c>
      <c r="E11" s="41">
        <v>409.5</v>
      </c>
      <c r="F11" s="41">
        <v>409.5</v>
      </c>
      <c r="G11" s="41">
        <v>409.5</v>
      </c>
      <c r="H11" s="41">
        <v>409.5</v>
      </c>
      <c r="I11" s="41">
        <v>409.5</v>
      </c>
      <c r="J11" s="41">
        <v>409.5</v>
      </c>
      <c r="K11" s="41">
        <v>409.5</v>
      </c>
    </row>
    <row r="12" spans="1:11" ht="15.75">
      <c r="A12" s="39" t="s">
        <v>83</v>
      </c>
      <c r="B12" s="39" t="s">
        <v>48</v>
      </c>
      <c r="C12" s="40" t="s">
        <v>86</v>
      </c>
      <c r="D12" s="41">
        <v>899.1</v>
      </c>
      <c r="E12" s="41">
        <v>899.1</v>
      </c>
      <c r="F12" s="41">
        <v>899.1</v>
      </c>
      <c r="G12" s="41">
        <v>899.1</v>
      </c>
      <c r="H12" s="41">
        <v>899.1</v>
      </c>
      <c r="I12" s="41">
        <v>899.1</v>
      </c>
      <c r="J12" s="41">
        <v>899.1</v>
      </c>
      <c r="K12" s="41">
        <v>899.1</v>
      </c>
    </row>
    <row r="13" spans="1:11" ht="15.75">
      <c r="A13" s="39" t="s">
        <v>91</v>
      </c>
      <c r="B13" s="39" t="s">
        <v>48</v>
      </c>
      <c r="C13" s="40" t="s">
        <v>93</v>
      </c>
      <c r="D13" s="41">
        <v>1179</v>
      </c>
      <c r="E13" s="41">
        <v>1179</v>
      </c>
      <c r="F13" s="41">
        <v>1179</v>
      </c>
      <c r="G13" s="41">
        <v>1179</v>
      </c>
      <c r="H13" s="41">
        <v>1179</v>
      </c>
      <c r="I13" s="41">
        <v>1179</v>
      </c>
      <c r="J13" s="41">
        <v>1179</v>
      </c>
      <c r="K13" s="41">
        <v>1179</v>
      </c>
    </row>
    <row r="14" spans="1:11" ht="15.75">
      <c r="A14" s="39" t="s">
        <v>91</v>
      </c>
      <c r="B14" s="39" t="s">
        <v>48</v>
      </c>
      <c r="C14" s="40" t="s">
        <v>449</v>
      </c>
      <c r="D14" s="41">
        <v>1499.4</v>
      </c>
      <c r="E14" s="41">
        <v>1499.4</v>
      </c>
      <c r="F14" s="41">
        <v>1499.4</v>
      </c>
      <c r="G14" s="41">
        <v>1499.4</v>
      </c>
      <c r="H14" s="41">
        <v>1499.4</v>
      </c>
      <c r="I14" s="41">
        <v>1499.4</v>
      </c>
      <c r="J14" s="41">
        <v>1499.4</v>
      </c>
      <c r="K14" s="41">
        <v>1499.4</v>
      </c>
    </row>
    <row r="15" spans="1:11" ht="15.75">
      <c r="A15" s="39" t="s">
        <v>45</v>
      </c>
      <c r="B15" s="39" t="s">
        <v>48</v>
      </c>
      <c r="C15" s="40" t="s">
        <v>189</v>
      </c>
      <c r="D15" s="41">
        <v>249.3</v>
      </c>
      <c r="E15" s="41">
        <v>249.3</v>
      </c>
      <c r="F15" s="41">
        <v>249.3</v>
      </c>
      <c r="G15" s="41">
        <v>249.3</v>
      </c>
      <c r="H15" s="41">
        <v>249.3</v>
      </c>
      <c r="I15" s="41">
        <v>249.3</v>
      </c>
      <c r="J15" s="41">
        <v>249.3</v>
      </c>
      <c r="K15" s="41">
        <v>249.3</v>
      </c>
    </row>
    <row r="16" spans="1:11" ht="15.75">
      <c r="A16" s="39" t="s">
        <v>45</v>
      </c>
      <c r="B16" s="39" t="s">
        <v>48</v>
      </c>
      <c r="C16" s="40" t="s">
        <v>95</v>
      </c>
      <c r="D16" s="41">
        <v>249.3</v>
      </c>
      <c r="E16" s="41">
        <v>249.3</v>
      </c>
      <c r="F16" s="41">
        <v>249.3</v>
      </c>
      <c r="G16" s="41">
        <v>249.3</v>
      </c>
      <c r="H16" s="41">
        <v>249.3</v>
      </c>
      <c r="I16" s="41">
        <v>249.3</v>
      </c>
      <c r="J16" s="41">
        <v>249.3</v>
      </c>
      <c r="K16" s="41">
        <v>249.3</v>
      </c>
    </row>
    <row r="17" spans="1:11" ht="15.75">
      <c r="A17" s="39" t="s">
        <v>45</v>
      </c>
      <c r="B17" s="39" t="s">
        <v>48</v>
      </c>
      <c r="C17" s="40" t="s">
        <v>148</v>
      </c>
      <c r="D17" s="41">
        <v>599.4</v>
      </c>
      <c r="E17" s="41">
        <v>599.4</v>
      </c>
      <c r="F17" s="41">
        <v>599.4</v>
      </c>
      <c r="G17" s="41">
        <v>599.4</v>
      </c>
      <c r="H17" s="41">
        <v>599.4</v>
      </c>
      <c r="I17" s="41">
        <v>599.4</v>
      </c>
      <c r="J17" s="41">
        <v>599.4</v>
      </c>
      <c r="K17" s="41">
        <v>599.4</v>
      </c>
    </row>
    <row r="18" spans="1:11" ht="15.75">
      <c r="A18" s="39" t="s">
        <v>66</v>
      </c>
      <c r="B18" s="39" t="s">
        <v>48</v>
      </c>
      <c r="C18" s="40" t="s">
        <v>312</v>
      </c>
      <c r="D18" s="41">
        <v>189</v>
      </c>
      <c r="E18" s="41">
        <v>189</v>
      </c>
      <c r="F18" s="41">
        <v>189</v>
      </c>
      <c r="G18" s="41">
        <v>189</v>
      </c>
      <c r="H18" s="41">
        <v>189</v>
      </c>
      <c r="I18" s="41">
        <v>189</v>
      </c>
      <c r="J18" s="41">
        <v>189</v>
      </c>
      <c r="K18" s="41">
        <v>189</v>
      </c>
    </row>
    <row r="19" spans="1:11" ht="15.75">
      <c r="A19" s="39" t="s">
        <v>45</v>
      </c>
      <c r="B19" s="39" t="s">
        <v>48</v>
      </c>
      <c r="C19" s="40" t="s">
        <v>317</v>
      </c>
      <c r="D19" s="41">
        <v>259.2</v>
      </c>
      <c r="E19" s="41">
        <v>259.2</v>
      </c>
      <c r="F19" s="41">
        <v>259.2</v>
      </c>
      <c r="G19" s="41">
        <v>259.2</v>
      </c>
      <c r="H19" s="41">
        <v>259.2</v>
      </c>
      <c r="I19" s="41">
        <v>259.2</v>
      </c>
      <c r="J19" s="41">
        <v>259.2</v>
      </c>
      <c r="K19" s="41">
        <v>259.2</v>
      </c>
    </row>
    <row r="20" spans="1:11" ht="15.75">
      <c r="A20" s="39" t="s">
        <v>45</v>
      </c>
      <c r="B20" s="39" t="s">
        <v>48</v>
      </c>
      <c r="C20" s="40" t="s">
        <v>171</v>
      </c>
      <c r="D20" s="41">
        <v>439.2</v>
      </c>
      <c r="E20" s="41">
        <v>439.2</v>
      </c>
      <c r="F20" s="41">
        <v>439.2</v>
      </c>
      <c r="G20" s="41">
        <v>439.2</v>
      </c>
      <c r="H20" s="41">
        <v>439.2</v>
      </c>
      <c r="I20" s="41">
        <v>439.2</v>
      </c>
      <c r="J20" s="41">
        <v>439.2</v>
      </c>
      <c r="K20" s="41">
        <v>439.2</v>
      </c>
    </row>
    <row r="21" spans="1:11" ht="15.75">
      <c r="A21" s="39" t="s">
        <v>45</v>
      </c>
      <c r="B21" s="39" t="s">
        <v>48</v>
      </c>
      <c r="C21" s="40" t="s">
        <v>106</v>
      </c>
      <c r="D21" s="41">
        <v>469.8</v>
      </c>
      <c r="E21" s="41">
        <v>469.8</v>
      </c>
      <c r="F21" s="41">
        <v>469.8</v>
      </c>
      <c r="G21" s="41">
        <v>469.8</v>
      </c>
      <c r="H21" s="41">
        <v>469.8</v>
      </c>
      <c r="I21" s="41">
        <v>469.8</v>
      </c>
      <c r="J21" s="41">
        <v>469.8</v>
      </c>
      <c r="K21" s="41">
        <v>469.8</v>
      </c>
    </row>
    <row r="22" spans="1:11" ht="15.75">
      <c r="A22" s="39" t="s">
        <v>45</v>
      </c>
      <c r="B22" s="39" t="s">
        <v>48</v>
      </c>
      <c r="C22" s="40" t="s">
        <v>109</v>
      </c>
      <c r="D22" s="41">
        <v>799.2</v>
      </c>
      <c r="E22" s="41">
        <v>799.2</v>
      </c>
      <c r="F22" s="41">
        <v>799.2</v>
      </c>
      <c r="G22" s="41">
        <v>799.2</v>
      </c>
      <c r="H22" s="41">
        <v>799.2</v>
      </c>
      <c r="I22" s="41">
        <v>799.2</v>
      </c>
      <c r="J22" s="41">
        <v>799.2</v>
      </c>
      <c r="K22" s="41">
        <v>799.2</v>
      </c>
    </row>
    <row r="23" spans="1:11" ht="15.75">
      <c r="A23" s="39" t="s">
        <v>45</v>
      </c>
      <c r="B23" s="39" t="s">
        <v>48</v>
      </c>
      <c r="C23" s="40" t="s">
        <v>112</v>
      </c>
      <c r="D23" s="41">
        <v>309.60000000000002</v>
      </c>
      <c r="E23" s="41">
        <v>309.60000000000002</v>
      </c>
      <c r="F23" s="41">
        <v>309.60000000000002</v>
      </c>
      <c r="G23" s="41">
        <v>309.60000000000002</v>
      </c>
      <c r="H23" s="41">
        <v>309.60000000000002</v>
      </c>
      <c r="I23" s="41">
        <v>309.60000000000002</v>
      </c>
      <c r="J23" s="41">
        <v>309.60000000000002</v>
      </c>
      <c r="K23" s="41">
        <v>309.60000000000002</v>
      </c>
    </row>
    <row r="24" spans="1:11" ht="15.75">
      <c r="A24" s="39" t="s">
        <v>83</v>
      </c>
      <c r="B24" s="39" t="s">
        <v>48</v>
      </c>
      <c r="C24" s="40" t="s">
        <v>233</v>
      </c>
      <c r="D24" s="41">
        <v>249.3</v>
      </c>
      <c r="E24" s="41">
        <v>249.3</v>
      </c>
      <c r="F24" s="41">
        <v>249.3</v>
      </c>
      <c r="G24" s="41">
        <v>249.3</v>
      </c>
      <c r="H24" s="41">
        <v>249.3</v>
      </c>
      <c r="I24" s="41">
        <v>249.3</v>
      </c>
      <c r="J24" s="41">
        <v>249.3</v>
      </c>
      <c r="K24" s="41">
        <v>249.3</v>
      </c>
    </row>
    <row r="25" spans="1:11" ht="15.75">
      <c r="A25" s="39" t="s">
        <v>91</v>
      </c>
      <c r="B25" s="39" t="s">
        <v>48</v>
      </c>
      <c r="C25" s="40" t="s">
        <v>124</v>
      </c>
      <c r="D25" s="41">
        <v>1699.2</v>
      </c>
      <c r="E25" s="41">
        <v>1699.2</v>
      </c>
      <c r="F25" s="41">
        <v>1699.2</v>
      </c>
      <c r="G25" s="41">
        <v>1699.2</v>
      </c>
      <c r="H25" s="41">
        <v>1699.2</v>
      </c>
      <c r="I25" s="41">
        <v>1699.2</v>
      </c>
      <c r="J25" s="41">
        <v>1699.2</v>
      </c>
      <c r="K25" s="41">
        <v>1699.2</v>
      </c>
    </row>
    <row r="26" spans="1:11" ht="15.75">
      <c r="A26" s="39" t="s">
        <v>83</v>
      </c>
      <c r="B26" s="39" t="s">
        <v>48</v>
      </c>
      <c r="C26" s="40" t="s">
        <v>126</v>
      </c>
      <c r="D26" s="41">
        <v>959.4</v>
      </c>
      <c r="E26" s="41">
        <v>959.4</v>
      </c>
      <c r="F26" s="41">
        <v>959.4</v>
      </c>
      <c r="G26" s="41">
        <v>959.4</v>
      </c>
      <c r="H26" s="41">
        <v>959.4</v>
      </c>
      <c r="I26" s="41">
        <v>959.4</v>
      </c>
      <c r="J26" s="41">
        <v>959.4</v>
      </c>
      <c r="K26" s="41">
        <v>959.4</v>
      </c>
    </row>
    <row r="27" spans="1:11" ht="15.75">
      <c r="A27" s="39" t="s">
        <v>83</v>
      </c>
      <c r="B27" s="39" t="s">
        <v>48</v>
      </c>
      <c r="C27" s="40" t="s">
        <v>135</v>
      </c>
      <c r="D27" s="41">
        <v>999</v>
      </c>
      <c r="E27" s="41">
        <v>999</v>
      </c>
      <c r="F27" s="41">
        <v>999</v>
      </c>
      <c r="G27" s="41">
        <v>999</v>
      </c>
      <c r="H27" s="41">
        <v>999</v>
      </c>
      <c r="I27" s="41">
        <v>999</v>
      </c>
      <c r="J27" s="41">
        <v>999</v>
      </c>
      <c r="K27" s="41">
        <v>999</v>
      </c>
    </row>
    <row r="28" spans="1:11" ht="15.75">
      <c r="A28" s="39" t="s">
        <v>83</v>
      </c>
      <c r="B28" s="39" t="s">
        <v>48</v>
      </c>
      <c r="C28" s="40" t="s">
        <v>182</v>
      </c>
      <c r="D28" s="41">
        <v>409.5</v>
      </c>
      <c r="E28" s="41">
        <v>409.5</v>
      </c>
      <c r="F28" s="41">
        <v>409.5</v>
      </c>
      <c r="G28" s="41">
        <v>409.5</v>
      </c>
      <c r="H28" s="41">
        <v>409.5</v>
      </c>
      <c r="I28" s="41">
        <v>409.5</v>
      </c>
      <c r="J28" s="41">
        <v>409.5</v>
      </c>
      <c r="K28" s="41">
        <v>409.5</v>
      </c>
    </row>
    <row r="29" spans="1:11" ht="15.75">
      <c r="A29" s="39" t="s">
        <v>83</v>
      </c>
      <c r="B29" s="39" t="s">
        <v>48</v>
      </c>
      <c r="C29" s="40" t="s">
        <v>165</v>
      </c>
      <c r="D29" s="41">
        <v>499.5</v>
      </c>
      <c r="E29" s="41">
        <v>499.5</v>
      </c>
      <c r="F29" s="41">
        <v>499.5</v>
      </c>
      <c r="G29" s="41">
        <v>499.5</v>
      </c>
      <c r="H29" s="41">
        <v>499.5</v>
      </c>
      <c r="I29" s="41">
        <v>499.5</v>
      </c>
      <c r="J29" s="41">
        <v>499.5</v>
      </c>
      <c r="K29" s="41">
        <v>499.5</v>
      </c>
    </row>
    <row r="30" spans="1:11" ht="15.75">
      <c r="A30" s="39" t="s">
        <v>83</v>
      </c>
      <c r="B30" s="39" t="s">
        <v>48</v>
      </c>
      <c r="C30" s="40" t="s">
        <v>427</v>
      </c>
      <c r="D30" s="41">
        <v>1899</v>
      </c>
      <c r="E30" s="41">
        <v>1899</v>
      </c>
      <c r="F30" s="41">
        <v>1899</v>
      </c>
      <c r="G30" s="41">
        <v>1899</v>
      </c>
      <c r="H30" s="41">
        <v>1899</v>
      </c>
      <c r="I30" s="41">
        <v>1899</v>
      </c>
      <c r="J30" s="41">
        <v>1899</v>
      </c>
      <c r="K30" s="41">
        <v>1899</v>
      </c>
    </row>
    <row r="31" spans="1:11" ht="15.75">
      <c r="A31" s="39" t="s">
        <v>45</v>
      </c>
      <c r="B31" s="39" t="s">
        <v>48</v>
      </c>
      <c r="C31" s="40" t="s">
        <v>138</v>
      </c>
      <c r="D31" s="41">
        <v>739.8</v>
      </c>
      <c r="E31" s="41">
        <v>739.8</v>
      </c>
      <c r="F31" s="41">
        <v>739.8</v>
      </c>
      <c r="G31" s="41">
        <v>739.8</v>
      </c>
      <c r="H31" s="41">
        <v>739.8</v>
      </c>
      <c r="I31" s="41">
        <v>739.8</v>
      </c>
      <c r="J31" s="41">
        <v>739.8</v>
      </c>
      <c r="K31" s="41">
        <v>739.8</v>
      </c>
    </row>
    <row r="32" spans="1:11" ht="15.75">
      <c r="A32" s="39" t="s">
        <v>83</v>
      </c>
      <c r="B32" s="39" t="s">
        <v>48</v>
      </c>
      <c r="C32" s="40" t="s">
        <v>169</v>
      </c>
      <c r="D32" s="41">
        <v>879.3</v>
      </c>
      <c r="E32" s="41">
        <v>879.3</v>
      </c>
      <c r="F32" s="41">
        <v>879.3</v>
      </c>
      <c r="G32" s="41">
        <v>879.3</v>
      </c>
      <c r="H32" s="41">
        <v>879.3</v>
      </c>
      <c r="I32" s="41">
        <v>879.3</v>
      </c>
      <c r="J32" s="41">
        <v>879.3</v>
      </c>
      <c r="K32" s="41">
        <v>879.3</v>
      </c>
    </row>
    <row r="33" spans="1:11" ht="15.75">
      <c r="A33" s="39" t="s">
        <v>91</v>
      </c>
      <c r="B33" s="39" t="s">
        <v>48</v>
      </c>
      <c r="C33" s="40" t="s">
        <v>195</v>
      </c>
      <c r="D33" s="41">
        <v>799.2</v>
      </c>
      <c r="E33" s="41">
        <v>799.2</v>
      </c>
      <c r="F33" s="41">
        <v>799.2</v>
      </c>
      <c r="G33" s="41">
        <v>799.2</v>
      </c>
      <c r="H33" s="41">
        <v>799.2</v>
      </c>
      <c r="I33" s="41">
        <v>799.2</v>
      </c>
      <c r="J33" s="41">
        <v>799.2</v>
      </c>
      <c r="K33" s="41">
        <v>799.2</v>
      </c>
    </row>
    <row r="34" spans="1:11" ht="15.75">
      <c r="A34" s="39" t="s">
        <v>45</v>
      </c>
      <c r="B34" s="39" t="s">
        <v>48</v>
      </c>
      <c r="C34" s="40" t="s">
        <v>275</v>
      </c>
      <c r="D34" s="41">
        <v>339.3</v>
      </c>
      <c r="E34" s="41">
        <v>339.3</v>
      </c>
      <c r="F34" s="41">
        <v>339.3</v>
      </c>
      <c r="G34" s="41">
        <v>339.3</v>
      </c>
      <c r="H34" s="41">
        <v>339.3</v>
      </c>
      <c r="I34" s="41">
        <v>339.3</v>
      </c>
      <c r="J34" s="41">
        <v>339.3</v>
      </c>
      <c r="K34" s="41">
        <v>339.3</v>
      </c>
    </row>
    <row r="35" spans="1:11" ht="15.75">
      <c r="A35" s="39" t="s">
        <v>91</v>
      </c>
      <c r="B35" s="39" t="s">
        <v>48</v>
      </c>
      <c r="C35" s="40" t="s">
        <v>175</v>
      </c>
      <c r="D35" s="41">
        <v>2999.7</v>
      </c>
      <c r="E35" s="41">
        <v>2999.7</v>
      </c>
      <c r="F35" s="41">
        <v>2999.7</v>
      </c>
      <c r="G35" s="41">
        <v>2999.7</v>
      </c>
      <c r="H35" s="41">
        <v>2999.7</v>
      </c>
      <c r="I35" s="41">
        <v>2999.7</v>
      </c>
      <c r="J35" s="41">
        <v>2999.7</v>
      </c>
      <c r="K35" s="41">
        <v>2999.7</v>
      </c>
    </row>
    <row r="36" spans="1:11" ht="15.75">
      <c r="A36" s="39" t="s">
        <v>66</v>
      </c>
      <c r="B36" s="39" t="s">
        <v>48</v>
      </c>
      <c r="C36" s="40" t="s">
        <v>554</v>
      </c>
      <c r="D36" s="41">
        <v>149.4</v>
      </c>
      <c r="E36" s="41">
        <v>149.4</v>
      </c>
      <c r="F36" s="41">
        <v>149.4</v>
      </c>
      <c r="G36" s="41">
        <v>149.4</v>
      </c>
      <c r="H36" s="41">
        <v>149.4</v>
      </c>
      <c r="I36" s="41">
        <v>149.4</v>
      </c>
      <c r="J36" s="41">
        <v>149.4</v>
      </c>
      <c r="K36" s="41">
        <v>149.4</v>
      </c>
    </row>
    <row r="37" spans="1:11" ht="15.75">
      <c r="A37" s="39" t="s">
        <v>83</v>
      </c>
      <c r="B37" s="39" t="s">
        <v>48</v>
      </c>
      <c r="C37" s="40" t="s">
        <v>250</v>
      </c>
      <c r="D37" s="41">
        <v>669.6</v>
      </c>
      <c r="E37" s="41">
        <v>669.6</v>
      </c>
      <c r="F37" s="41">
        <v>669.6</v>
      </c>
      <c r="G37" s="41">
        <v>669.6</v>
      </c>
      <c r="H37" s="41">
        <v>669.6</v>
      </c>
      <c r="I37" s="41">
        <v>669.6</v>
      </c>
      <c r="J37" s="41">
        <v>669.6</v>
      </c>
      <c r="K37" s="41">
        <v>669.6</v>
      </c>
    </row>
    <row r="38" spans="1:11" ht="15.75">
      <c r="A38" s="39" t="s">
        <v>91</v>
      </c>
      <c r="B38" s="39" t="s">
        <v>48</v>
      </c>
      <c r="C38" s="40" t="s">
        <v>279</v>
      </c>
      <c r="D38" s="41">
        <v>3999.6</v>
      </c>
      <c r="E38" s="41">
        <v>3999.6</v>
      </c>
      <c r="F38" s="41">
        <v>3999.6</v>
      </c>
      <c r="G38" s="41">
        <v>3999.6</v>
      </c>
      <c r="H38" s="41">
        <v>3999.6</v>
      </c>
      <c r="I38" s="41">
        <v>3999.6</v>
      </c>
      <c r="J38" s="41">
        <v>3999.6</v>
      </c>
      <c r="K38" s="41">
        <v>3999.6</v>
      </c>
    </row>
    <row r="39" spans="1:11" ht="15.75">
      <c r="A39" s="39" t="s">
        <v>66</v>
      </c>
      <c r="B39" s="39" t="s">
        <v>48</v>
      </c>
      <c r="C39" s="40" t="s">
        <v>236</v>
      </c>
      <c r="D39" s="41">
        <v>89.1</v>
      </c>
      <c r="E39" s="41">
        <v>89.1</v>
      </c>
      <c r="F39" s="41">
        <v>89.1</v>
      </c>
      <c r="G39" s="41">
        <v>89.1</v>
      </c>
      <c r="H39" s="41">
        <v>89.1</v>
      </c>
      <c r="I39" s="41">
        <v>89.1</v>
      </c>
      <c r="J39" s="41">
        <v>89.1</v>
      </c>
      <c r="K39" s="41">
        <v>89.1</v>
      </c>
    </row>
    <row r="40" spans="1:11" ht="15.75">
      <c r="A40" s="39" t="s">
        <v>211</v>
      </c>
      <c r="B40" s="39" t="s">
        <v>48</v>
      </c>
      <c r="C40" s="40" t="s">
        <v>320</v>
      </c>
      <c r="D40" s="41">
        <v>159.30000000000001</v>
      </c>
      <c r="E40" s="41">
        <v>159.30000000000001</v>
      </c>
      <c r="F40" s="41">
        <v>159.30000000000001</v>
      </c>
      <c r="G40" s="41">
        <v>159.30000000000001</v>
      </c>
      <c r="H40" s="41">
        <v>159.30000000000001</v>
      </c>
      <c r="I40" s="41">
        <v>159.30000000000001</v>
      </c>
      <c r="J40" s="41">
        <v>159.30000000000001</v>
      </c>
      <c r="K40" s="41">
        <v>159.30000000000001</v>
      </c>
    </row>
    <row r="41" spans="1:11" ht="15.75">
      <c r="A41" s="39" t="s">
        <v>45</v>
      </c>
      <c r="B41" s="39" t="s">
        <v>48</v>
      </c>
      <c r="C41" s="40" t="s">
        <v>331</v>
      </c>
      <c r="D41" s="41">
        <v>399.6</v>
      </c>
      <c r="E41" s="41">
        <v>399.6</v>
      </c>
      <c r="F41" s="41">
        <v>399.6</v>
      </c>
      <c r="G41" s="41">
        <v>399.6</v>
      </c>
      <c r="H41" s="41">
        <v>399.6</v>
      </c>
      <c r="I41" s="41">
        <v>399.6</v>
      </c>
      <c r="J41" s="41">
        <v>399.6</v>
      </c>
      <c r="K41" s="41">
        <v>399.6</v>
      </c>
    </row>
    <row r="42" spans="1:11" ht="15.75">
      <c r="A42" s="39" t="s">
        <v>91</v>
      </c>
      <c r="B42" s="39" t="s">
        <v>48</v>
      </c>
      <c r="C42" s="40" t="s">
        <v>376</v>
      </c>
      <c r="D42" s="41">
        <v>1599.3</v>
      </c>
      <c r="E42" s="41">
        <v>1599.3</v>
      </c>
      <c r="F42" s="41">
        <v>1599.3</v>
      </c>
      <c r="G42" s="41">
        <v>1599.3</v>
      </c>
      <c r="H42" s="41">
        <v>1599.3</v>
      </c>
      <c r="I42" s="41">
        <v>1599.3</v>
      </c>
      <c r="J42" s="41">
        <v>1599.3</v>
      </c>
      <c r="K42" s="41">
        <v>1599.3</v>
      </c>
    </row>
    <row r="43" spans="1:11" ht="15.75">
      <c r="A43" s="39" t="s">
        <v>91</v>
      </c>
      <c r="B43" s="39" t="s">
        <v>48</v>
      </c>
      <c r="C43" s="40" t="s">
        <v>387</v>
      </c>
      <c r="D43" s="41">
        <v>1699.2</v>
      </c>
      <c r="E43" s="41">
        <v>1699.2</v>
      </c>
      <c r="F43" s="41">
        <v>1699.2</v>
      </c>
      <c r="G43" s="41">
        <v>1699.2</v>
      </c>
      <c r="H43" s="41">
        <v>1699.2</v>
      </c>
      <c r="I43" s="41">
        <v>1699.2</v>
      </c>
      <c r="J43" s="41">
        <v>1699.2</v>
      </c>
      <c r="K43" s="41">
        <v>1699.2</v>
      </c>
    </row>
    <row r="44" spans="1:11" ht="15.75">
      <c r="A44" s="39" t="s">
        <v>83</v>
      </c>
      <c r="B44" s="39" t="s">
        <v>48</v>
      </c>
      <c r="C44" s="40" t="s">
        <v>334</v>
      </c>
      <c r="D44" s="41">
        <v>699.3</v>
      </c>
      <c r="E44" s="41">
        <v>699.3</v>
      </c>
      <c r="F44" s="41">
        <v>699.3</v>
      </c>
      <c r="G44" s="41">
        <v>699.3</v>
      </c>
      <c r="H44" s="41">
        <v>699.3</v>
      </c>
      <c r="I44" s="41">
        <v>699.3</v>
      </c>
      <c r="J44" s="41">
        <v>699.3</v>
      </c>
      <c r="K44" s="41">
        <v>699.3</v>
      </c>
    </row>
    <row r="45" spans="1:11" ht="15.75">
      <c r="A45" s="39" t="s">
        <v>45</v>
      </c>
      <c r="B45" s="39" t="s">
        <v>48</v>
      </c>
      <c r="C45" s="40" t="s">
        <v>393</v>
      </c>
      <c r="D45" s="41">
        <v>459</v>
      </c>
      <c r="E45" s="41">
        <v>459</v>
      </c>
      <c r="F45" s="41">
        <v>459</v>
      </c>
      <c r="G45" s="41">
        <v>459</v>
      </c>
      <c r="H45" s="41">
        <v>459</v>
      </c>
      <c r="I45" s="41">
        <v>459</v>
      </c>
      <c r="J45" s="41">
        <v>459</v>
      </c>
      <c r="K45" s="41">
        <v>459</v>
      </c>
    </row>
    <row r="46" spans="1:11" ht="15.75">
      <c r="A46" s="39" t="s">
        <v>66</v>
      </c>
      <c r="B46" s="39" t="s">
        <v>48</v>
      </c>
      <c r="C46" s="40" t="s">
        <v>181</v>
      </c>
      <c r="D46" s="41">
        <v>219.6</v>
      </c>
      <c r="E46" s="41">
        <v>219.6</v>
      </c>
      <c r="F46" s="41">
        <v>219.6</v>
      </c>
      <c r="G46" s="41">
        <v>219.6</v>
      </c>
      <c r="H46" s="41">
        <v>219.6</v>
      </c>
      <c r="I46" s="41">
        <v>219.6</v>
      </c>
      <c r="J46" s="41">
        <v>219.6</v>
      </c>
      <c r="K46" s="41">
        <v>219.6</v>
      </c>
    </row>
    <row r="47" spans="1:11" ht="15.75">
      <c r="A47" s="39" t="s">
        <v>83</v>
      </c>
      <c r="B47" s="39" t="s">
        <v>48</v>
      </c>
      <c r="C47" s="40" t="s">
        <v>402</v>
      </c>
      <c r="D47" s="41">
        <v>449.1</v>
      </c>
      <c r="E47" s="41">
        <v>449.1</v>
      </c>
      <c r="F47" s="41">
        <v>449.1</v>
      </c>
      <c r="G47" s="41">
        <v>449.1</v>
      </c>
      <c r="H47" s="41">
        <v>449.1</v>
      </c>
      <c r="I47" s="41">
        <v>449.1</v>
      </c>
      <c r="J47" s="41">
        <v>449.1</v>
      </c>
      <c r="K47" s="41">
        <v>449.1</v>
      </c>
    </row>
    <row r="48" spans="1:11" ht="15.75">
      <c r="A48" s="39" t="s">
        <v>45</v>
      </c>
      <c r="B48" s="39" t="s">
        <v>48</v>
      </c>
      <c r="C48" s="40" t="s">
        <v>206</v>
      </c>
      <c r="D48" s="41">
        <v>189</v>
      </c>
      <c r="E48" s="41">
        <v>189</v>
      </c>
      <c r="F48" s="41">
        <v>189</v>
      </c>
      <c r="G48" s="41">
        <v>189</v>
      </c>
      <c r="H48" s="41">
        <v>189</v>
      </c>
      <c r="I48" s="41">
        <v>189</v>
      </c>
      <c r="J48" s="41">
        <v>189</v>
      </c>
      <c r="K48" s="41">
        <v>189</v>
      </c>
    </row>
    <row r="49" spans="1:11" ht="15.75">
      <c r="A49" s="39" t="s">
        <v>211</v>
      </c>
      <c r="B49" s="39" t="s">
        <v>48</v>
      </c>
      <c r="C49" s="40" t="s">
        <v>212</v>
      </c>
      <c r="D49" s="41">
        <v>199.8</v>
      </c>
      <c r="E49" s="41">
        <v>199.8</v>
      </c>
      <c r="F49" s="41">
        <v>199.8</v>
      </c>
      <c r="G49" s="41">
        <v>199.8</v>
      </c>
      <c r="H49" s="41">
        <v>199.8</v>
      </c>
      <c r="I49" s="41">
        <v>199.8</v>
      </c>
      <c r="J49" s="41">
        <v>199.8</v>
      </c>
      <c r="K49" s="41">
        <v>199.8</v>
      </c>
    </row>
    <row r="50" spans="1:11" ht="15.75">
      <c r="A50" s="39" t="s">
        <v>83</v>
      </c>
      <c r="B50" s="39" t="s">
        <v>48</v>
      </c>
      <c r="C50" s="40" t="s">
        <v>409</v>
      </c>
      <c r="D50" s="41">
        <v>489.6</v>
      </c>
      <c r="E50" s="41">
        <v>489.6</v>
      </c>
      <c r="F50" s="41">
        <v>489.6</v>
      </c>
      <c r="G50" s="41">
        <v>489.6</v>
      </c>
      <c r="H50" s="41">
        <v>489.6</v>
      </c>
      <c r="I50" s="41">
        <v>489.6</v>
      </c>
      <c r="J50" s="41">
        <v>489.6</v>
      </c>
      <c r="K50" s="41">
        <v>489.6</v>
      </c>
    </row>
    <row r="51" spans="1:11" ht="15.75">
      <c r="A51" s="39" t="s">
        <v>83</v>
      </c>
      <c r="B51" s="39" t="s">
        <v>48</v>
      </c>
      <c r="C51" s="40" t="s">
        <v>406</v>
      </c>
      <c r="D51" s="41">
        <v>499.5</v>
      </c>
      <c r="E51" s="41">
        <v>499.5</v>
      </c>
      <c r="F51" s="41">
        <v>499.5</v>
      </c>
      <c r="G51" s="41">
        <v>499.5</v>
      </c>
      <c r="H51" s="41">
        <v>499.5</v>
      </c>
      <c r="I51" s="41">
        <v>499.5</v>
      </c>
      <c r="J51" s="41">
        <v>499.5</v>
      </c>
      <c r="K51" s="41">
        <v>499.5</v>
      </c>
    </row>
    <row r="52" spans="1:11" ht="15.75">
      <c r="A52" s="39" t="s">
        <v>45</v>
      </c>
      <c r="B52" s="39" t="s">
        <v>48</v>
      </c>
      <c r="C52" s="40" t="s">
        <v>257</v>
      </c>
      <c r="D52" s="41">
        <v>329.4</v>
      </c>
      <c r="E52" s="41">
        <v>329.4</v>
      </c>
      <c r="F52" s="41">
        <v>329.4</v>
      </c>
      <c r="G52" s="41">
        <v>329.4</v>
      </c>
      <c r="H52" s="41">
        <v>329.4</v>
      </c>
      <c r="I52" s="41">
        <v>329.4</v>
      </c>
      <c r="J52" s="41">
        <v>329.4</v>
      </c>
      <c r="K52" s="41">
        <v>329.4</v>
      </c>
    </row>
    <row r="53" spans="1:11" ht="15.75">
      <c r="A53" s="39" t="s">
        <v>45</v>
      </c>
      <c r="B53" s="39" t="s">
        <v>48</v>
      </c>
      <c r="C53" s="40" t="s">
        <v>141</v>
      </c>
      <c r="D53" s="41">
        <v>309.60000000000002</v>
      </c>
      <c r="E53" s="41">
        <v>309.60000000000002</v>
      </c>
      <c r="F53" s="41">
        <v>309.60000000000002</v>
      </c>
      <c r="G53" s="41">
        <v>309.60000000000002</v>
      </c>
      <c r="H53" s="41">
        <v>309.60000000000002</v>
      </c>
      <c r="I53" s="41">
        <v>309.60000000000002</v>
      </c>
      <c r="J53" s="41">
        <v>309.60000000000002</v>
      </c>
      <c r="K53" s="41">
        <v>309.60000000000002</v>
      </c>
    </row>
    <row r="54" spans="1:11" ht="15.75">
      <c r="A54" s="39" t="s">
        <v>91</v>
      </c>
      <c r="B54" s="39" t="s">
        <v>48</v>
      </c>
      <c r="C54" s="40" t="s">
        <v>214</v>
      </c>
      <c r="D54" s="41">
        <v>1279.8</v>
      </c>
      <c r="E54" s="41">
        <v>1279.8</v>
      </c>
      <c r="F54" s="41">
        <v>1279.8</v>
      </c>
      <c r="G54" s="41">
        <v>1279.8</v>
      </c>
      <c r="H54" s="41">
        <v>1279.8</v>
      </c>
      <c r="I54" s="41">
        <v>1279.8</v>
      </c>
      <c r="J54" s="41">
        <v>1279.8</v>
      </c>
      <c r="K54" s="41">
        <v>1279.8</v>
      </c>
    </row>
    <row r="55" spans="1:11" ht="15.75">
      <c r="A55" s="39" t="s">
        <v>45</v>
      </c>
      <c r="B55" s="39" t="s">
        <v>48</v>
      </c>
      <c r="C55" s="40" t="s">
        <v>413</v>
      </c>
      <c r="D55" s="41">
        <v>249.3</v>
      </c>
      <c r="E55" s="41">
        <v>249.3</v>
      </c>
      <c r="F55" s="41">
        <v>249.3</v>
      </c>
      <c r="G55" s="41">
        <v>249.3</v>
      </c>
      <c r="H55" s="41">
        <v>249.3</v>
      </c>
      <c r="I55" s="41">
        <v>249.3</v>
      </c>
      <c r="J55" s="41">
        <v>249.3</v>
      </c>
      <c r="K55" s="41">
        <v>249.3</v>
      </c>
    </row>
    <row r="56" spans="1:11" ht="15.75">
      <c r="A56" s="39" t="s">
        <v>45</v>
      </c>
      <c r="B56" s="39" t="s">
        <v>48</v>
      </c>
      <c r="C56" s="40" t="s">
        <v>578</v>
      </c>
      <c r="D56" s="41">
        <v>469.8</v>
      </c>
      <c r="E56" s="41">
        <v>469.8</v>
      </c>
      <c r="F56" s="41">
        <v>469.8</v>
      </c>
      <c r="G56" s="41">
        <v>469.8</v>
      </c>
      <c r="H56" s="41">
        <v>469.8</v>
      </c>
      <c r="I56" s="41">
        <v>469.8</v>
      </c>
      <c r="J56" s="41">
        <v>469.8</v>
      </c>
      <c r="K56" s="41">
        <v>469.8</v>
      </c>
    </row>
    <row r="57" spans="1:11" ht="15.75">
      <c r="A57" s="39" t="s">
        <v>45</v>
      </c>
      <c r="B57" s="39" t="s">
        <v>48</v>
      </c>
      <c r="C57" s="40" t="s">
        <v>514</v>
      </c>
      <c r="D57" s="41">
        <v>229.5</v>
      </c>
      <c r="E57" s="41">
        <v>229.5</v>
      </c>
      <c r="F57" s="41">
        <v>229.5</v>
      </c>
      <c r="G57" s="41">
        <v>229.5</v>
      </c>
      <c r="H57" s="41">
        <v>229.5</v>
      </c>
      <c r="I57" s="41">
        <v>229.5</v>
      </c>
      <c r="J57" s="41">
        <v>229.5</v>
      </c>
      <c r="K57" s="41">
        <v>229.5</v>
      </c>
    </row>
    <row r="58" spans="1:11" ht="15.75">
      <c r="A58" s="39" t="s">
        <v>45</v>
      </c>
      <c r="B58" s="39" t="s">
        <v>48</v>
      </c>
      <c r="C58" s="40" t="s">
        <v>520</v>
      </c>
      <c r="D58" s="41">
        <v>299.7</v>
      </c>
      <c r="E58" s="41">
        <v>299.7</v>
      </c>
      <c r="F58" s="41">
        <v>299.7</v>
      </c>
      <c r="G58" s="41">
        <v>299.7</v>
      </c>
      <c r="H58" s="41">
        <v>299.7</v>
      </c>
      <c r="I58" s="41">
        <v>299.7</v>
      </c>
      <c r="J58" s="41">
        <v>299.7</v>
      </c>
      <c r="K58" s="41">
        <v>299.7</v>
      </c>
    </row>
    <row r="59" spans="1:11" ht="15.75">
      <c r="A59" s="39" t="s">
        <v>45</v>
      </c>
      <c r="B59" s="39" t="s">
        <v>48</v>
      </c>
      <c r="C59" s="40" t="s">
        <v>262</v>
      </c>
      <c r="D59" s="41">
        <v>419.4</v>
      </c>
      <c r="E59" s="41">
        <v>419.4</v>
      </c>
      <c r="F59" s="41">
        <v>419.4</v>
      </c>
      <c r="G59" s="41">
        <v>419.4</v>
      </c>
      <c r="H59" s="41">
        <v>419.4</v>
      </c>
      <c r="I59" s="41">
        <v>419.4</v>
      </c>
      <c r="J59" s="41">
        <v>419.4</v>
      </c>
      <c r="K59" s="41">
        <v>419.4</v>
      </c>
    </row>
    <row r="60" spans="1:11" ht="15.75">
      <c r="A60" s="39" t="s">
        <v>83</v>
      </c>
      <c r="B60" s="39" t="s">
        <v>48</v>
      </c>
      <c r="C60" s="40" t="s">
        <v>457</v>
      </c>
      <c r="D60" s="41">
        <v>639</v>
      </c>
      <c r="E60" s="41">
        <v>639</v>
      </c>
      <c r="F60" s="41">
        <v>639</v>
      </c>
      <c r="G60" s="41">
        <v>639</v>
      </c>
      <c r="H60" s="41">
        <v>639</v>
      </c>
      <c r="I60" s="41">
        <v>639</v>
      </c>
      <c r="J60" s="41">
        <v>639</v>
      </c>
      <c r="K60" s="41">
        <v>639</v>
      </c>
    </row>
    <row r="61" spans="1:11" ht="15.75">
      <c r="A61" s="39" t="s">
        <v>45</v>
      </c>
      <c r="B61" s="39" t="s">
        <v>48</v>
      </c>
      <c r="C61" s="40" t="s">
        <v>460</v>
      </c>
      <c r="D61" s="41">
        <v>249.3</v>
      </c>
      <c r="E61" s="41">
        <v>249.3</v>
      </c>
      <c r="F61" s="41">
        <v>249.3</v>
      </c>
      <c r="G61" s="41">
        <v>249.3</v>
      </c>
      <c r="H61" s="41">
        <v>249.3</v>
      </c>
      <c r="I61" s="41">
        <v>249.3</v>
      </c>
      <c r="J61" s="41">
        <v>249.3</v>
      </c>
      <c r="K61" s="41">
        <v>249.3</v>
      </c>
    </row>
    <row r="62" spans="1:11" ht="15.75">
      <c r="A62" s="39" t="s">
        <v>45</v>
      </c>
      <c r="B62" s="39" t="s">
        <v>48</v>
      </c>
      <c r="C62" s="40" t="s">
        <v>432</v>
      </c>
      <c r="D62" s="41">
        <v>419.4</v>
      </c>
      <c r="E62" s="41">
        <v>419.4</v>
      </c>
      <c r="F62" s="41">
        <v>419.4</v>
      </c>
      <c r="G62" s="41">
        <v>419.4</v>
      </c>
      <c r="H62" s="41">
        <v>419.4</v>
      </c>
      <c r="I62" s="41">
        <v>419.4</v>
      </c>
      <c r="J62" s="41">
        <v>419.4</v>
      </c>
      <c r="K62" s="41">
        <v>419.4</v>
      </c>
    </row>
    <row r="63" spans="1:11" ht="15.75">
      <c r="A63" s="39" t="s">
        <v>91</v>
      </c>
      <c r="B63" s="39" t="s">
        <v>48</v>
      </c>
      <c r="C63" s="40" t="s">
        <v>309</v>
      </c>
      <c r="D63" s="41">
        <v>969.3</v>
      </c>
      <c r="E63" s="41">
        <v>969.3</v>
      </c>
      <c r="F63" s="41">
        <v>969.3</v>
      </c>
      <c r="G63" s="41">
        <v>969.3</v>
      </c>
      <c r="H63" s="41">
        <v>969.3</v>
      </c>
      <c r="I63" s="41">
        <v>969.3</v>
      </c>
      <c r="J63" s="41">
        <v>969.3</v>
      </c>
      <c r="K63" s="41">
        <v>969.3</v>
      </c>
    </row>
    <row r="64" spans="1:11" ht="15.75">
      <c r="A64" s="39" t="s">
        <v>91</v>
      </c>
      <c r="B64" s="39" t="s">
        <v>48</v>
      </c>
      <c r="C64" s="40" t="s">
        <v>597</v>
      </c>
      <c r="D64" s="41">
        <v>699.3</v>
      </c>
      <c r="E64" s="41">
        <v>699.3</v>
      </c>
      <c r="F64" s="41">
        <v>699.3</v>
      </c>
      <c r="G64" s="41">
        <v>699.3</v>
      </c>
      <c r="H64" s="41">
        <v>699.3</v>
      </c>
      <c r="I64" s="41">
        <v>699.3</v>
      </c>
      <c r="J64" s="41">
        <v>699.3</v>
      </c>
      <c r="K64" s="41">
        <v>699.3</v>
      </c>
    </row>
    <row r="65" spans="1:11" ht="15.75">
      <c r="A65" s="39" t="s">
        <v>91</v>
      </c>
      <c r="B65" s="39" t="s">
        <v>48</v>
      </c>
      <c r="C65" s="40" t="s">
        <v>338</v>
      </c>
      <c r="D65" s="41">
        <v>3499.2</v>
      </c>
      <c r="E65" s="41">
        <v>3499.2</v>
      </c>
      <c r="F65" s="41">
        <v>3499.2</v>
      </c>
      <c r="G65" s="41">
        <v>3499.2</v>
      </c>
      <c r="H65" s="41">
        <v>3499.2</v>
      </c>
      <c r="I65" s="41">
        <v>3499.2</v>
      </c>
      <c r="J65" s="41">
        <v>3499.2</v>
      </c>
      <c r="K65" s="41">
        <v>3499.2</v>
      </c>
    </row>
    <row r="66" spans="1:11" ht="15.75">
      <c r="A66" s="39" t="s">
        <v>91</v>
      </c>
      <c r="B66" s="39" t="s">
        <v>48</v>
      </c>
      <c r="C66" s="40" t="s">
        <v>294</v>
      </c>
      <c r="D66" s="41">
        <v>4689</v>
      </c>
      <c r="E66" s="41">
        <v>4689</v>
      </c>
      <c r="F66" s="41">
        <v>4689</v>
      </c>
      <c r="G66" s="41">
        <v>4689</v>
      </c>
      <c r="H66" s="41">
        <v>4689</v>
      </c>
      <c r="I66" s="41">
        <v>4689</v>
      </c>
      <c r="J66" s="41">
        <v>4689</v>
      </c>
      <c r="K66" s="41">
        <v>4689</v>
      </c>
    </row>
    <row r="67" spans="1:11" ht="15.75">
      <c r="A67" s="39" t="s">
        <v>91</v>
      </c>
      <c r="B67" s="39" t="s">
        <v>48</v>
      </c>
      <c r="C67" s="40" t="s">
        <v>217</v>
      </c>
      <c r="D67" s="41">
        <v>4379.3999999999996</v>
      </c>
      <c r="E67" s="41">
        <v>4379.3999999999996</v>
      </c>
      <c r="F67" s="41">
        <v>4379.3999999999996</v>
      </c>
      <c r="G67" s="41">
        <v>4379.3999999999996</v>
      </c>
      <c r="H67" s="41">
        <v>4379.3999999999996</v>
      </c>
      <c r="I67" s="41">
        <v>4379.3999999999996</v>
      </c>
      <c r="J67" s="41">
        <v>4379.3999999999996</v>
      </c>
      <c r="K67" s="41">
        <v>4379.3999999999996</v>
      </c>
    </row>
    <row r="68" spans="1:11" ht="15.75">
      <c r="A68" s="39" t="s">
        <v>91</v>
      </c>
      <c r="B68" s="39" t="s">
        <v>48</v>
      </c>
      <c r="C68" s="40" t="s">
        <v>526</v>
      </c>
      <c r="D68" s="41">
        <v>3299.4</v>
      </c>
      <c r="E68" s="41">
        <v>3299.4</v>
      </c>
      <c r="F68" s="41">
        <v>3299.4</v>
      </c>
      <c r="G68" s="41">
        <v>3299.4</v>
      </c>
      <c r="H68" s="41">
        <v>3299.4</v>
      </c>
      <c r="I68" s="41">
        <v>3299.4</v>
      </c>
      <c r="J68" s="41">
        <v>3299.4</v>
      </c>
      <c r="K68" s="41">
        <v>3299.4</v>
      </c>
    </row>
    <row r="69" spans="1:11" ht="15.75">
      <c r="A69" s="39" t="s">
        <v>91</v>
      </c>
      <c r="B69" s="39" t="s">
        <v>48</v>
      </c>
      <c r="C69" s="40" t="s">
        <v>364</v>
      </c>
      <c r="D69" s="41">
        <v>5189.3999999999996</v>
      </c>
      <c r="E69" s="41">
        <v>5189.3999999999996</v>
      </c>
      <c r="F69" s="41">
        <v>5189.3999999999996</v>
      </c>
      <c r="G69" s="41">
        <v>5189.3999999999996</v>
      </c>
      <c r="H69" s="41">
        <v>5189.3999999999996</v>
      </c>
      <c r="I69" s="41">
        <v>5189.3999999999996</v>
      </c>
      <c r="J69" s="41">
        <v>5189.3999999999996</v>
      </c>
      <c r="K69" s="41">
        <v>5189.3999999999996</v>
      </c>
    </row>
    <row r="70" spans="1:11" ht="15.75">
      <c r="A70" s="39" t="s">
        <v>91</v>
      </c>
      <c r="B70" s="39" t="s">
        <v>48</v>
      </c>
      <c r="C70" s="40" t="s">
        <v>231</v>
      </c>
      <c r="D70" s="41">
        <v>6979.5</v>
      </c>
      <c r="E70" s="41">
        <v>6979.5</v>
      </c>
      <c r="F70" s="41">
        <v>6979.5</v>
      </c>
      <c r="G70" s="41">
        <v>6979.5</v>
      </c>
      <c r="H70" s="41">
        <v>6979.5</v>
      </c>
      <c r="I70" s="41">
        <v>6979.5</v>
      </c>
      <c r="J70" s="41">
        <v>6979.5</v>
      </c>
      <c r="K70" s="41">
        <v>6979.5</v>
      </c>
    </row>
    <row r="71" spans="1:11" ht="15.75">
      <c r="A71" s="39" t="s">
        <v>91</v>
      </c>
      <c r="B71" s="39" t="s">
        <v>48</v>
      </c>
      <c r="C71" s="40" t="s">
        <v>484</v>
      </c>
      <c r="D71" s="41">
        <v>1499.4</v>
      </c>
      <c r="E71" s="41">
        <v>1499.4</v>
      </c>
      <c r="F71" s="41">
        <v>1499.4</v>
      </c>
      <c r="G71" s="41">
        <v>1499.4</v>
      </c>
      <c r="H71" s="41">
        <v>1499.4</v>
      </c>
      <c r="I71" s="41">
        <v>1499.4</v>
      </c>
      <c r="J71" s="41">
        <v>1499.4</v>
      </c>
      <c r="K71" s="41">
        <v>1499.4</v>
      </c>
    </row>
    <row r="72" spans="1:11" ht="15.75">
      <c r="A72" s="39" t="s">
        <v>91</v>
      </c>
      <c r="B72" s="39" t="s">
        <v>48</v>
      </c>
      <c r="C72" s="40" t="s">
        <v>487</v>
      </c>
      <c r="D72" s="41">
        <v>1869.3</v>
      </c>
      <c r="E72" s="41">
        <v>1869.3</v>
      </c>
      <c r="F72" s="41">
        <v>1869.3</v>
      </c>
      <c r="G72" s="41">
        <v>1869.3</v>
      </c>
      <c r="H72" s="41">
        <v>1869.3</v>
      </c>
      <c r="I72" s="41">
        <v>1869.3</v>
      </c>
      <c r="J72" s="41">
        <v>1869.3</v>
      </c>
      <c r="K72" s="41">
        <v>1869.3</v>
      </c>
    </row>
    <row r="73" spans="1:11" ht="15.75">
      <c r="A73" s="39" t="s">
        <v>91</v>
      </c>
      <c r="B73" s="39" t="s">
        <v>48</v>
      </c>
      <c r="C73" s="40" t="s">
        <v>247</v>
      </c>
      <c r="D73" s="41">
        <v>3599.1</v>
      </c>
      <c r="E73" s="41">
        <v>3599.1</v>
      </c>
      <c r="F73" s="41">
        <v>3599.1</v>
      </c>
      <c r="G73" s="41">
        <v>3599.1</v>
      </c>
      <c r="H73" s="41">
        <v>3599.1</v>
      </c>
      <c r="I73" s="41">
        <v>3599.1</v>
      </c>
      <c r="J73" s="41">
        <v>3599.1</v>
      </c>
      <c r="K73" s="41">
        <v>3599.1</v>
      </c>
    </row>
    <row r="74" spans="1:11" ht="15.75">
      <c r="A74" s="39" t="s">
        <v>45</v>
      </c>
      <c r="B74" s="39" t="s">
        <v>48</v>
      </c>
      <c r="C74" s="40" t="s">
        <v>350</v>
      </c>
      <c r="D74" s="41">
        <v>649.79999999999995</v>
      </c>
      <c r="E74" s="41">
        <v>649.79999999999995</v>
      </c>
      <c r="F74" s="41">
        <v>649.79999999999995</v>
      </c>
      <c r="G74" s="41">
        <v>649.79999999999995</v>
      </c>
      <c r="H74" s="41">
        <v>649.79999999999995</v>
      </c>
      <c r="I74" s="41">
        <v>649.79999999999995</v>
      </c>
      <c r="J74" s="41">
        <v>649.79999999999995</v>
      </c>
      <c r="K74" s="41">
        <v>649.79999999999995</v>
      </c>
    </row>
    <row r="75" spans="1:11" ht="15.75">
      <c r="A75" s="39" t="s">
        <v>91</v>
      </c>
      <c r="B75" s="39" t="s">
        <v>48</v>
      </c>
      <c r="C75" s="40" t="s">
        <v>465</v>
      </c>
      <c r="D75" s="41">
        <v>979.2</v>
      </c>
      <c r="E75" s="41">
        <v>979.2</v>
      </c>
      <c r="F75" s="41">
        <v>979.2</v>
      </c>
      <c r="G75" s="41">
        <v>979.2</v>
      </c>
      <c r="H75" s="41">
        <v>979.2</v>
      </c>
      <c r="I75" s="41">
        <v>979.2</v>
      </c>
      <c r="J75" s="41">
        <v>979.2</v>
      </c>
      <c r="K75" s="41">
        <v>979.2</v>
      </c>
    </row>
    <row r="76" spans="1:11" ht="15.75">
      <c r="A76" s="39" t="s">
        <v>91</v>
      </c>
      <c r="B76" s="39" t="s">
        <v>48</v>
      </c>
      <c r="C76" s="40" t="s">
        <v>439</v>
      </c>
      <c r="D76" s="41">
        <v>1799.1</v>
      </c>
      <c r="E76" s="41">
        <v>1799.1</v>
      </c>
      <c r="F76" s="41">
        <v>1799.1</v>
      </c>
      <c r="G76" s="41">
        <v>1799.1</v>
      </c>
      <c r="H76" s="41">
        <v>1799.1</v>
      </c>
      <c r="I76" s="41">
        <v>1799.1</v>
      </c>
      <c r="J76" s="41">
        <v>1799.1</v>
      </c>
      <c r="K76" s="41">
        <v>1799.1</v>
      </c>
    </row>
    <row r="77" spans="1:11" ht="15.75">
      <c r="A77" s="39" t="s">
        <v>83</v>
      </c>
      <c r="B77" s="39" t="s">
        <v>48</v>
      </c>
      <c r="C77" s="40" t="s">
        <v>417</v>
      </c>
      <c r="D77" s="41">
        <v>909</v>
      </c>
      <c r="E77" s="41">
        <v>909</v>
      </c>
      <c r="F77" s="41">
        <v>909</v>
      </c>
      <c r="G77" s="41">
        <v>909</v>
      </c>
      <c r="H77" s="41">
        <v>909</v>
      </c>
      <c r="I77" s="41">
        <v>909</v>
      </c>
      <c r="J77" s="41">
        <v>909</v>
      </c>
      <c r="K77" s="41">
        <v>909</v>
      </c>
    </row>
    <row r="78" spans="1:11" ht="15.75">
      <c r="A78" s="39" t="s">
        <v>45</v>
      </c>
      <c r="B78" s="39" t="s">
        <v>48</v>
      </c>
      <c r="C78" s="40" t="s">
        <v>298</v>
      </c>
      <c r="D78" s="41">
        <v>299.7</v>
      </c>
      <c r="E78" s="41">
        <v>299.7</v>
      </c>
      <c r="F78" s="41">
        <v>299.7</v>
      </c>
      <c r="G78" s="41">
        <v>299.7</v>
      </c>
      <c r="H78" s="41">
        <v>299.7</v>
      </c>
      <c r="I78" s="41">
        <v>299.7</v>
      </c>
      <c r="J78" s="41">
        <v>299.7</v>
      </c>
      <c r="K78" s="41">
        <v>299.7</v>
      </c>
    </row>
    <row r="79" spans="1:11" ht="15.75">
      <c r="A79" s="39" t="s">
        <v>83</v>
      </c>
      <c r="B79" s="39" t="s">
        <v>48</v>
      </c>
      <c r="C79" s="40" t="s">
        <v>355</v>
      </c>
      <c r="D79" s="41">
        <v>599.4</v>
      </c>
      <c r="E79" s="41">
        <v>599.4</v>
      </c>
      <c r="F79" s="41">
        <v>599.4</v>
      </c>
      <c r="G79" s="41">
        <v>599.4</v>
      </c>
      <c r="H79" s="41">
        <v>599.4</v>
      </c>
      <c r="I79" s="41">
        <v>599.4</v>
      </c>
      <c r="J79" s="41">
        <v>599.4</v>
      </c>
      <c r="K79" s="41">
        <v>599.4</v>
      </c>
    </row>
    <row r="80" spans="1:11" ht="15.75">
      <c r="A80" s="39" t="s">
        <v>91</v>
      </c>
      <c r="B80" s="39" t="s">
        <v>48</v>
      </c>
      <c r="C80" s="40" t="s">
        <v>468</v>
      </c>
      <c r="D80" s="41">
        <v>579.6</v>
      </c>
      <c r="E80" s="41">
        <v>579.6</v>
      </c>
      <c r="F80" s="41">
        <v>579.6</v>
      </c>
      <c r="G80" s="41">
        <v>579.6</v>
      </c>
      <c r="H80" s="41">
        <v>579.6</v>
      </c>
      <c r="I80" s="41">
        <v>579.6</v>
      </c>
      <c r="J80" s="41">
        <v>579.6</v>
      </c>
      <c r="K80" s="41">
        <v>579.6</v>
      </c>
    </row>
    <row r="81" spans="1:11" ht="15.75">
      <c r="A81" s="39" t="s">
        <v>83</v>
      </c>
      <c r="B81" s="39" t="s">
        <v>48</v>
      </c>
      <c r="C81" s="40" t="s">
        <v>579</v>
      </c>
      <c r="D81" s="41">
        <v>569.70000000000005</v>
      </c>
      <c r="E81" s="41">
        <v>569.70000000000005</v>
      </c>
      <c r="F81" s="41">
        <v>569.70000000000005</v>
      </c>
      <c r="G81" s="41">
        <v>569.70000000000005</v>
      </c>
      <c r="H81" s="41">
        <v>569.70000000000005</v>
      </c>
      <c r="I81" s="41">
        <v>569.70000000000005</v>
      </c>
      <c r="J81" s="41">
        <v>569.70000000000005</v>
      </c>
      <c r="K81" s="41">
        <v>569.70000000000005</v>
      </c>
    </row>
    <row r="82" spans="1:11" ht="15.75">
      <c r="A82" s="39" t="s">
        <v>45</v>
      </c>
      <c r="B82" s="39" t="s">
        <v>48</v>
      </c>
      <c r="C82" s="40" t="s">
        <v>476</v>
      </c>
      <c r="D82" s="41">
        <v>399.6</v>
      </c>
      <c r="E82" s="41">
        <v>399.6</v>
      </c>
      <c r="F82" s="41">
        <v>399.6</v>
      </c>
      <c r="G82" s="41">
        <v>399.6</v>
      </c>
      <c r="H82" s="41">
        <v>399.6</v>
      </c>
      <c r="I82" s="41">
        <v>399.6</v>
      </c>
      <c r="J82" s="41">
        <v>399.6</v>
      </c>
      <c r="K82" s="41">
        <v>399.6</v>
      </c>
    </row>
    <row r="83" spans="1:11" ht="15.75">
      <c r="A83" s="39" t="s">
        <v>45</v>
      </c>
      <c r="B83" s="39" t="s">
        <v>48</v>
      </c>
      <c r="C83" s="40" t="s">
        <v>423</v>
      </c>
      <c r="D83" s="41">
        <v>389.7</v>
      </c>
      <c r="E83" s="41">
        <v>389.7</v>
      </c>
      <c r="F83" s="41">
        <v>389.7</v>
      </c>
      <c r="G83" s="41">
        <v>389.7</v>
      </c>
      <c r="H83" s="41">
        <v>389.7</v>
      </c>
      <c r="I83" s="41">
        <v>389.7</v>
      </c>
      <c r="J83" s="41">
        <v>389.7</v>
      </c>
      <c r="K83" s="41">
        <v>389.7</v>
      </c>
    </row>
    <row r="84" spans="1:11" ht="15.75">
      <c r="A84" s="39" t="s">
        <v>66</v>
      </c>
      <c r="B84" s="39" t="s">
        <v>48</v>
      </c>
      <c r="C84" s="40" t="s">
        <v>560</v>
      </c>
      <c r="D84" s="41">
        <v>249.3</v>
      </c>
      <c r="E84" s="41">
        <v>249.3</v>
      </c>
      <c r="F84" s="41">
        <v>249.3</v>
      </c>
      <c r="G84" s="41">
        <v>249.3</v>
      </c>
      <c r="H84" s="41">
        <v>249.3</v>
      </c>
      <c r="I84" s="41">
        <v>249.3</v>
      </c>
      <c r="J84" s="41">
        <v>249.3</v>
      </c>
      <c r="K84" s="41">
        <v>249.3</v>
      </c>
    </row>
    <row r="85" spans="1:11" ht="15.75">
      <c r="A85" s="39" t="s">
        <v>45</v>
      </c>
      <c r="B85" s="39" t="s">
        <v>48</v>
      </c>
      <c r="C85" s="40" t="s">
        <v>495</v>
      </c>
      <c r="D85" s="41">
        <v>329.4</v>
      </c>
      <c r="E85" s="41">
        <v>329.4</v>
      </c>
      <c r="F85" s="41">
        <v>329.4</v>
      </c>
      <c r="G85" s="41">
        <v>329.4</v>
      </c>
      <c r="H85" s="41">
        <v>329.4</v>
      </c>
      <c r="I85" s="41">
        <v>329.4</v>
      </c>
      <c r="J85" s="41">
        <v>329.4</v>
      </c>
      <c r="K85" s="41">
        <v>329.4</v>
      </c>
    </row>
    <row r="86" spans="1:11" ht="15.75">
      <c r="A86" s="39" t="s">
        <v>91</v>
      </c>
      <c r="B86" s="39" t="s">
        <v>48</v>
      </c>
      <c r="C86" s="40" t="s">
        <v>529</v>
      </c>
      <c r="D86" s="41">
        <v>1999.8</v>
      </c>
      <c r="E86" s="41">
        <v>1999.8</v>
      </c>
      <c r="F86" s="41">
        <v>1999.8</v>
      </c>
      <c r="G86" s="41">
        <v>1999.8</v>
      </c>
      <c r="H86" s="41">
        <v>1999.8</v>
      </c>
      <c r="I86" s="41">
        <v>1999.8</v>
      </c>
      <c r="J86" s="41">
        <v>1999.8</v>
      </c>
      <c r="K86" s="41">
        <v>1999.8</v>
      </c>
    </row>
    <row r="87" spans="1:11" ht="15.75">
      <c r="A87" s="39" t="s">
        <v>91</v>
      </c>
      <c r="B87" s="39" t="s">
        <v>48</v>
      </c>
      <c r="C87" s="40" t="s">
        <v>533</v>
      </c>
      <c r="D87" s="41">
        <v>2599.1999999999998</v>
      </c>
      <c r="E87" s="41">
        <v>2599.1999999999998</v>
      </c>
      <c r="F87" s="41">
        <v>2599.1999999999998</v>
      </c>
      <c r="G87" s="41">
        <v>2599.1999999999998</v>
      </c>
      <c r="H87" s="41">
        <v>2599.1999999999998</v>
      </c>
      <c r="I87" s="41">
        <v>2599.1999999999998</v>
      </c>
      <c r="J87" s="41">
        <v>2599.1999999999998</v>
      </c>
      <c r="K87" s="41">
        <v>2599.1999999999998</v>
      </c>
    </row>
    <row r="88" spans="1:11" ht="15.75">
      <c r="A88" s="39" t="s">
        <v>91</v>
      </c>
      <c r="B88" s="39" t="s">
        <v>48</v>
      </c>
      <c r="C88" s="40" t="s">
        <v>601</v>
      </c>
      <c r="D88" s="41">
        <v>3339</v>
      </c>
      <c r="E88" s="41">
        <v>3339</v>
      </c>
      <c r="F88" s="41">
        <v>3339</v>
      </c>
      <c r="G88" s="41">
        <v>3339</v>
      </c>
      <c r="H88" s="41">
        <v>3339</v>
      </c>
      <c r="I88" s="41">
        <v>3339</v>
      </c>
      <c r="J88" s="41">
        <v>3339</v>
      </c>
      <c r="K88" s="41">
        <v>3339</v>
      </c>
    </row>
    <row r="89" spans="1:11" ht="15.75">
      <c r="A89" s="39" t="s">
        <v>45</v>
      </c>
      <c r="B89" s="39" t="s">
        <v>48</v>
      </c>
      <c r="C89" s="40" t="s">
        <v>443</v>
      </c>
      <c r="D89" s="41">
        <v>499.5</v>
      </c>
      <c r="E89" s="41">
        <v>499.5</v>
      </c>
      <c r="F89" s="41">
        <v>499.5</v>
      </c>
      <c r="G89" s="41">
        <v>499.5</v>
      </c>
      <c r="H89" s="41">
        <v>499.5</v>
      </c>
      <c r="I89" s="41">
        <v>499.5</v>
      </c>
      <c r="J89" s="41">
        <v>499.5</v>
      </c>
      <c r="K89" s="41">
        <v>499.5</v>
      </c>
    </row>
    <row r="90" spans="1:11" ht="15.75">
      <c r="A90" s="39" t="s">
        <v>45</v>
      </c>
      <c r="B90" s="39" t="s">
        <v>48</v>
      </c>
      <c r="C90" s="40" t="s">
        <v>580</v>
      </c>
      <c r="D90" s="41">
        <v>409.5</v>
      </c>
      <c r="E90" s="41">
        <v>409.5</v>
      </c>
      <c r="F90" s="41">
        <v>409.5</v>
      </c>
      <c r="G90" s="41">
        <v>409.5</v>
      </c>
      <c r="H90" s="41">
        <v>409.5</v>
      </c>
      <c r="I90" s="41">
        <v>409.5</v>
      </c>
      <c r="J90" s="41">
        <v>409.5</v>
      </c>
      <c r="K90" s="41">
        <v>409.5</v>
      </c>
    </row>
    <row r="91" spans="1:11" ht="15.75">
      <c r="A91" s="39" t="s">
        <v>45</v>
      </c>
      <c r="B91" s="39" t="s">
        <v>48</v>
      </c>
      <c r="C91" s="40" t="s">
        <v>506</v>
      </c>
      <c r="D91" s="41">
        <v>439.2</v>
      </c>
      <c r="E91" s="41">
        <v>439.2</v>
      </c>
      <c r="F91" s="41">
        <v>439.2</v>
      </c>
      <c r="G91" s="41">
        <v>439.2</v>
      </c>
      <c r="H91" s="41">
        <v>439.2</v>
      </c>
      <c r="I91" s="41">
        <v>439.2</v>
      </c>
      <c r="J91" s="41">
        <v>439.2</v>
      </c>
      <c r="K91" s="41">
        <v>439.2</v>
      </c>
    </row>
    <row r="92" spans="1:11" ht="15.75">
      <c r="A92" s="39" t="s">
        <v>66</v>
      </c>
      <c r="B92" s="39" t="s">
        <v>48</v>
      </c>
      <c r="C92" s="40" t="s">
        <v>371</v>
      </c>
      <c r="D92" s="41">
        <v>259.2</v>
      </c>
      <c r="E92" s="41">
        <v>259.2</v>
      </c>
      <c r="F92" s="41">
        <v>259.2</v>
      </c>
      <c r="G92" s="41">
        <v>259.2</v>
      </c>
      <c r="H92" s="41">
        <v>259.2</v>
      </c>
      <c r="I92" s="41">
        <v>259.2</v>
      </c>
      <c r="J92" s="41">
        <v>259.2</v>
      </c>
      <c r="K92" s="41">
        <v>259.2</v>
      </c>
    </row>
    <row r="93" spans="1:11" ht="15.75">
      <c r="A93" s="39" t="s">
        <v>45</v>
      </c>
      <c r="B93" s="39" t="s">
        <v>48</v>
      </c>
      <c r="C93" s="40" t="s">
        <v>581</v>
      </c>
      <c r="D93" s="41">
        <v>279</v>
      </c>
      <c r="E93" s="41">
        <v>279</v>
      </c>
      <c r="F93" s="41">
        <v>279</v>
      </c>
      <c r="G93" s="41">
        <v>279</v>
      </c>
      <c r="H93" s="41">
        <v>279</v>
      </c>
      <c r="I93" s="41">
        <v>279</v>
      </c>
      <c r="J93" s="41">
        <v>279</v>
      </c>
      <c r="K93" s="41">
        <v>279</v>
      </c>
    </row>
    <row r="94" spans="1:11" ht="15.75">
      <c r="A94" s="39" t="s">
        <v>45</v>
      </c>
      <c r="B94" s="39" t="s">
        <v>48</v>
      </c>
      <c r="C94" s="40" t="s">
        <v>586</v>
      </c>
      <c r="D94" s="41">
        <v>549</v>
      </c>
      <c r="E94" s="41">
        <v>549</v>
      </c>
      <c r="F94" s="41">
        <v>549</v>
      </c>
      <c r="G94" s="41">
        <v>549</v>
      </c>
      <c r="H94" s="41">
        <v>549</v>
      </c>
      <c r="I94" s="41">
        <v>549</v>
      </c>
      <c r="J94" s="41">
        <v>549</v>
      </c>
      <c r="K94" s="41">
        <v>549</v>
      </c>
    </row>
    <row r="95" spans="1:11" ht="15.75">
      <c r="A95" s="39" t="s">
        <v>83</v>
      </c>
      <c r="B95" s="39" t="s">
        <v>48</v>
      </c>
      <c r="C95" s="40" t="s">
        <v>602</v>
      </c>
      <c r="D95" s="41">
        <v>739.8</v>
      </c>
      <c r="E95" s="41">
        <v>739.8</v>
      </c>
      <c r="F95" s="41">
        <v>739.8</v>
      </c>
      <c r="G95" s="41">
        <v>739.8</v>
      </c>
      <c r="H95" s="41">
        <v>739.8</v>
      </c>
      <c r="I95" s="41">
        <v>739.8</v>
      </c>
      <c r="J95" s="41">
        <v>739.8</v>
      </c>
      <c r="K95" s="41">
        <v>739.8</v>
      </c>
    </row>
    <row r="96" spans="1:11" ht="15.75">
      <c r="A96" s="39" t="s">
        <v>45</v>
      </c>
      <c r="B96" s="39" t="s">
        <v>48</v>
      </c>
      <c r="C96" s="40" t="s">
        <v>509</v>
      </c>
      <c r="D96" s="41">
        <v>329.4</v>
      </c>
      <c r="E96" s="41">
        <v>329.4</v>
      </c>
      <c r="F96" s="41">
        <v>329.4</v>
      </c>
      <c r="G96" s="41">
        <v>329.4</v>
      </c>
      <c r="H96" s="41">
        <v>329.4</v>
      </c>
      <c r="I96" s="41">
        <v>329.4</v>
      </c>
      <c r="J96" s="41">
        <v>329.4</v>
      </c>
      <c r="K96" s="41">
        <v>329.4</v>
      </c>
    </row>
    <row r="97" spans="1:11" ht="15.75">
      <c r="A97" s="39" t="s">
        <v>91</v>
      </c>
      <c r="B97" s="39" t="s">
        <v>48</v>
      </c>
      <c r="C97" s="40" t="s">
        <v>537</v>
      </c>
      <c r="D97" s="41">
        <v>2999.7</v>
      </c>
      <c r="E97" s="41">
        <v>2999.7</v>
      </c>
      <c r="F97" s="41">
        <v>2999.7</v>
      </c>
      <c r="G97" s="41">
        <v>2999.7</v>
      </c>
      <c r="H97" s="41">
        <v>2999.7</v>
      </c>
      <c r="I97" s="41">
        <v>2999.7</v>
      </c>
      <c r="J97" s="41">
        <v>2999.7</v>
      </c>
      <c r="K97" s="41">
        <v>2999.7</v>
      </c>
    </row>
    <row r="98" spans="1:11" ht="15.75">
      <c r="A98" s="39" t="s">
        <v>91</v>
      </c>
      <c r="B98" s="39" t="s">
        <v>48</v>
      </c>
      <c r="C98" s="40" t="s">
        <v>538</v>
      </c>
      <c r="D98" s="41">
        <v>3299.4</v>
      </c>
      <c r="E98" s="41">
        <v>3299.4</v>
      </c>
      <c r="F98" s="41">
        <v>3299.4</v>
      </c>
      <c r="G98" s="41">
        <v>3299.4</v>
      </c>
      <c r="H98" s="41">
        <v>3299.4</v>
      </c>
      <c r="I98" s="41">
        <v>3299.4</v>
      </c>
      <c r="J98" s="41">
        <v>3299.4</v>
      </c>
      <c r="K98" s="41">
        <v>3299.4</v>
      </c>
    </row>
    <row r="99" spans="1:11" ht="15.75">
      <c r="A99" s="39" t="s">
        <v>91</v>
      </c>
      <c r="B99" s="39" t="s">
        <v>48</v>
      </c>
      <c r="C99" s="40" t="s">
        <v>548</v>
      </c>
      <c r="D99" s="41">
        <v>3789</v>
      </c>
      <c r="E99" s="41">
        <v>3789</v>
      </c>
      <c r="F99" s="41">
        <v>3789</v>
      </c>
      <c r="G99" s="41">
        <v>3789</v>
      </c>
      <c r="H99" s="41">
        <v>3789</v>
      </c>
      <c r="I99" s="41">
        <v>3789</v>
      </c>
      <c r="J99" s="41">
        <v>3789</v>
      </c>
      <c r="K99" s="41">
        <v>3789</v>
      </c>
    </row>
    <row r="100" spans="1:11" ht="15.75">
      <c r="A100" s="39" t="s">
        <v>45</v>
      </c>
      <c r="B100" s="39" t="s">
        <v>48</v>
      </c>
      <c r="C100" s="40" t="s">
        <v>588</v>
      </c>
      <c r="D100" s="41">
        <v>289.8</v>
      </c>
      <c r="E100" s="41">
        <v>289.8</v>
      </c>
      <c r="F100" s="41">
        <v>289.8</v>
      </c>
      <c r="G100" s="41">
        <v>289.8</v>
      </c>
      <c r="H100" s="41">
        <v>289.8</v>
      </c>
      <c r="I100" s="41">
        <v>289.8</v>
      </c>
      <c r="J100" s="41">
        <v>289.8</v>
      </c>
      <c r="K100" s="41">
        <v>289.8</v>
      </c>
    </row>
    <row r="101" spans="1:11" ht="15.75">
      <c r="A101" s="39" t="s">
        <v>45</v>
      </c>
      <c r="B101" s="39" t="s">
        <v>48</v>
      </c>
      <c r="C101" s="40" t="s">
        <v>549</v>
      </c>
      <c r="D101" s="41">
        <v>299.7</v>
      </c>
      <c r="E101" s="41">
        <v>299.7</v>
      </c>
      <c r="F101" s="41">
        <v>299.7</v>
      </c>
      <c r="G101" s="41">
        <v>299.7</v>
      </c>
      <c r="H101" s="41">
        <v>299.7</v>
      </c>
      <c r="I101" s="41">
        <v>299.7</v>
      </c>
      <c r="J101" s="41">
        <v>299.7</v>
      </c>
      <c r="K101" s="41">
        <v>299.7</v>
      </c>
    </row>
    <row r="102" spans="1:11" ht="15.75">
      <c r="A102" s="39" t="s">
        <v>66</v>
      </c>
      <c r="B102" s="39" t="s">
        <v>48</v>
      </c>
      <c r="C102" s="40" t="s">
        <v>562</v>
      </c>
      <c r="D102" s="41">
        <v>299.7</v>
      </c>
      <c r="E102" s="41">
        <v>299.7</v>
      </c>
      <c r="F102" s="41">
        <v>299.7</v>
      </c>
      <c r="G102" s="41">
        <v>299.7</v>
      </c>
      <c r="H102" s="41">
        <v>299.7</v>
      </c>
      <c r="I102" s="41">
        <v>299.7</v>
      </c>
      <c r="J102" s="41">
        <v>299.7</v>
      </c>
      <c r="K102" s="41">
        <v>299.7</v>
      </c>
    </row>
    <row r="103" spans="1:11" ht="15.75">
      <c r="A103" s="39" t="s">
        <v>91</v>
      </c>
      <c r="B103" s="39" t="s">
        <v>48</v>
      </c>
      <c r="C103" s="40" t="s">
        <v>611</v>
      </c>
      <c r="D103" s="41">
        <v>1439.1</v>
      </c>
      <c r="E103" s="41">
        <v>1439.1</v>
      </c>
      <c r="F103" s="41">
        <v>1439.1</v>
      </c>
      <c r="G103" s="41">
        <v>1439.1</v>
      </c>
      <c r="H103" s="41">
        <v>1439.1</v>
      </c>
      <c r="I103" s="41">
        <v>1439.1</v>
      </c>
      <c r="J103" s="41">
        <v>1439.1</v>
      </c>
      <c r="K103" s="41">
        <v>1439.1</v>
      </c>
    </row>
    <row r="104" spans="1:11" ht="15.75">
      <c r="A104" s="39" t="s">
        <v>91</v>
      </c>
      <c r="B104" s="39" t="s">
        <v>48</v>
      </c>
      <c r="C104" s="40" t="s">
        <v>569</v>
      </c>
      <c r="D104" s="41">
        <v>4299.3</v>
      </c>
      <c r="E104" s="41">
        <v>4299.3</v>
      </c>
      <c r="F104" s="41">
        <v>4299.3</v>
      </c>
      <c r="G104" s="41">
        <v>4299.3</v>
      </c>
      <c r="H104" s="41">
        <v>4299.3</v>
      </c>
      <c r="I104" s="41">
        <v>4299.3</v>
      </c>
      <c r="J104" s="41">
        <v>4299.3</v>
      </c>
      <c r="K104" s="41">
        <v>4299.3</v>
      </c>
    </row>
    <row r="105" spans="1:11" ht="15.75">
      <c r="A105" s="39" t="s">
        <v>91</v>
      </c>
      <c r="B105" s="39" t="s">
        <v>48</v>
      </c>
      <c r="C105" s="40" t="s">
        <v>478</v>
      </c>
      <c r="D105" s="41">
        <v>6379.2</v>
      </c>
      <c r="E105" s="41">
        <v>6379.2</v>
      </c>
      <c r="F105" s="41">
        <v>6379.2</v>
      </c>
      <c r="G105" s="41">
        <v>6379.2</v>
      </c>
      <c r="H105" s="41">
        <v>6379.2</v>
      </c>
      <c r="I105" s="41">
        <v>6379.2</v>
      </c>
      <c r="J105" s="41">
        <v>6379.2</v>
      </c>
      <c r="K105" s="41">
        <v>6379.2</v>
      </c>
    </row>
    <row r="106" spans="1:11" ht="15.75">
      <c r="A106" s="39" t="s">
        <v>83</v>
      </c>
      <c r="B106" s="39" t="s">
        <v>48</v>
      </c>
      <c r="C106" s="40" t="s">
        <v>612</v>
      </c>
      <c r="D106" s="41">
        <v>569.70000000000005</v>
      </c>
      <c r="E106" s="41">
        <v>569.70000000000005</v>
      </c>
      <c r="F106" s="41">
        <v>569.70000000000005</v>
      </c>
      <c r="G106" s="41">
        <v>569.70000000000005</v>
      </c>
      <c r="H106" s="41">
        <v>569.70000000000005</v>
      </c>
      <c r="I106" s="41">
        <v>569.70000000000005</v>
      </c>
      <c r="J106" s="41">
        <v>569.70000000000005</v>
      </c>
      <c r="K106" s="41">
        <v>569.70000000000005</v>
      </c>
    </row>
    <row r="107" spans="1:11" ht="15.75">
      <c r="A107" s="39" t="s">
        <v>66</v>
      </c>
      <c r="B107" s="39" t="s">
        <v>48</v>
      </c>
      <c r="C107" s="40" t="s">
        <v>596</v>
      </c>
      <c r="D107" s="41">
        <v>299.7</v>
      </c>
      <c r="E107" s="41">
        <v>299.7</v>
      </c>
      <c r="F107" s="41">
        <v>299.7</v>
      </c>
      <c r="G107" s="41">
        <v>299.7</v>
      </c>
      <c r="H107" s="41">
        <v>299.7</v>
      </c>
      <c r="I107" s="41">
        <v>299.7</v>
      </c>
      <c r="J107" s="41">
        <v>299.7</v>
      </c>
      <c r="K107" s="41">
        <v>299.7</v>
      </c>
    </row>
    <row r="108" spans="1:11" ht="15.75">
      <c r="A108" s="39" t="s">
        <v>83</v>
      </c>
      <c r="B108" s="39" t="s">
        <v>48</v>
      </c>
      <c r="C108" s="40" t="s">
        <v>589</v>
      </c>
      <c r="D108" s="41">
        <v>1799.1</v>
      </c>
      <c r="E108" s="41">
        <v>1799.1</v>
      </c>
      <c r="F108" s="41">
        <v>1799.1</v>
      </c>
      <c r="G108" s="41">
        <v>1799.1</v>
      </c>
      <c r="H108" s="41">
        <v>1799.1</v>
      </c>
      <c r="I108" s="41">
        <v>1799.1</v>
      </c>
      <c r="J108" s="41">
        <v>1799.1</v>
      </c>
      <c r="K108" s="41">
        <v>1799.1</v>
      </c>
    </row>
    <row r="109" spans="1:11" ht="15.75">
      <c r="A109" s="39" t="s">
        <v>91</v>
      </c>
      <c r="B109" s="39" t="s">
        <v>48</v>
      </c>
      <c r="C109" s="40" t="s">
        <v>613</v>
      </c>
      <c r="D109" s="41">
        <v>1999.8</v>
      </c>
      <c r="E109" s="41">
        <v>1999.8</v>
      </c>
      <c r="F109" s="41">
        <v>1999.8</v>
      </c>
      <c r="G109" s="41">
        <v>1999.8</v>
      </c>
      <c r="H109" s="41">
        <v>1999.8</v>
      </c>
      <c r="I109" s="41">
        <v>1999.8</v>
      </c>
      <c r="J109" s="41">
        <v>1999.8</v>
      </c>
      <c r="K109" s="41">
        <v>1999.8</v>
      </c>
    </row>
    <row r="110" spans="1:11" ht="15.75">
      <c r="A110" s="39" t="s">
        <v>83</v>
      </c>
      <c r="B110" s="39" t="s">
        <v>48</v>
      </c>
      <c r="C110" s="40" t="s">
        <v>619</v>
      </c>
      <c r="D110" s="41">
        <v>479.7</v>
      </c>
      <c r="E110" s="41">
        <v>479.7</v>
      </c>
      <c r="F110" s="41">
        <v>479.7</v>
      </c>
      <c r="G110" s="41">
        <v>479.7</v>
      </c>
      <c r="H110" s="41">
        <v>479.7</v>
      </c>
      <c r="I110" s="41">
        <v>479.7</v>
      </c>
      <c r="J110" s="41">
        <v>479.7</v>
      </c>
      <c r="K110" s="41">
        <v>479.7</v>
      </c>
    </row>
    <row r="111" spans="1:11" ht="15.75">
      <c r="A111" s="39" t="s">
        <v>83</v>
      </c>
      <c r="B111" s="39" t="s">
        <v>48</v>
      </c>
      <c r="C111" s="40" t="s">
        <v>620</v>
      </c>
      <c r="D111" s="41">
        <v>499.5</v>
      </c>
      <c r="E111" s="41">
        <v>499.5</v>
      </c>
      <c r="F111" s="41">
        <v>499.5</v>
      </c>
      <c r="G111" s="41">
        <v>499.5</v>
      </c>
      <c r="H111" s="41">
        <v>499.5</v>
      </c>
      <c r="I111" s="41">
        <v>499.5</v>
      </c>
      <c r="J111" s="41">
        <v>499.5</v>
      </c>
      <c r="K111" s="41">
        <v>499.5</v>
      </c>
    </row>
    <row r="112" spans="1:11" ht="15.75">
      <c r="A112" s="39" t="s">
        <v>91</v>
      </c>
      <c r="B112" s="39" t="s">
        <v>48</v>
      </c>
      <c r="C112" s="40" t="s">
        <v>628</v>
      </c>
      <c r="D112" s="41">
        <v>1299.5999999999999</v>
      </c>
      <c r="E112" s="41">
        <v>1299.5999999999999</v>
      </c>
      <c r="F112" s="41">
        <v>1299.5999999999999</v>
      </c>
      <c r="G112" s="41">
        <v>1299.5999999999999</v>
      </c>
      <c r="H112" s="41">
        <v>1299.5999999999999</v>
      </c>
      <c r="I112" s="41">
        <v>1299.5999999999999</v>
      </c>
      <c r="J112" s="41">
        <v>1299.5999999999999</v>
      </c>
      <c r="K112" s="41">
        <v>1299.5999999999999</v>
      </c>
    </row>
    <row r="113" spans="1:11" ht="15.75">
      <c r="A113" s="39" t="s">
        <v>91</v>
      </c>
      <c r="B113" s="39" t="s">
        <v>48</v>
      </c>
      <c r="C113" s="40" t="s">
        <v>630</v>
      </c>
      <c r="D113" s="41">
        <v>2379.6</v>
      </c>
      <c r="E113" s="41">
        <v>2379.6</v>
      </c>
      <c r="F113" s="41">
        <v>2379.6</v>
      </c>
      <c r="G113" s="41">
        <v>2379.6</v>
      </c>
      <c r="H113" s="41">
        <v>2379.6</v>
      </c>
      <c r="I113" s="41">
        <v>2379.6</v>
      </c>
      <c r="J113" s="41">
        <v>2379.6</v>
      </c>
      <c r="K113" s="41">
        <v>2379.6</v>
      </c>
    </row>
    <row r="114" spans="1:11" ht="15.75">
      <c r="A114" s="39" t="s">
        <v>83</v>
      </c>
      <c r="B114" s="39" t="s">
        <v>48</v>
      </c>
      <c r="C114" s="40" t="s">
        <v>634</v>
      </c>
      <c r="D114" s="41">
        <v>559.79999999999995</v>
      </c>
      <c r="E114" s="41">
        <v>559.79999999999995</v>
      </c>
      <c r="F114" s="41">
        <v>559.79999999999995</v>
      </c>
      <c r="G114" s="41">
        <v>559.79999999999995</v>
      </c>
      <c r="H114" s="41">
        <v>559.79999999999995</v>
      </c>
      <c r="I114" s="41">
        <v>559.79999999999995</v>
      </c>
      <c r="J114" s="41">
        <v>559.79999999999995</v>
      </c>
      <c r="K114" s="41">
        <v>559.79999999999995</v>
      </c>
    </row>
    <row r="115" spans="1:11" ht="15.75">
      <c r="A115" s="39" t="s">
        <v>83</v>
      </c>
      <c r="B115" s="39" t="s">
        <v>48</v>
      </c>
      <c r="C115" s="40" t="s">
        <v>635</v>
      </c>
      <c r="D115" s="41">
        <v>579.6</v>
      </c>
      <c r="E115" s="41">
        <v>579.6</v>
      </c>
      <c r="F115" s="41">
        <v>579.6</v>
      </c>
      <c r="G115" s="41">
        <v>579.6</v>
      </c>
      <c r="H115" s="41">
        <v>579.6</v>
      </c>
      <c r="I115" s="41">
        <v>579.6</v>
      </c>
      <c r="J115" s="41">
        <v>579.6</v>
      </c>
      <c r="K115" s="41">
        <v>579.6</v>
      </c>
    </row>
    <row r="116" spans="1:11" ht="15.75">
      <c r="A116" s="39" t="s">
        <v>83</v>
      </c>
      <c r="B116" s="39" t="s">
        <v>48</v>
      </c>
      <c r="C116" s="40" t="s">
        <v>641</v>
      </c>
      <c r="D116" s="41">
        <v>879.3</v>
      </c>
      <c r="E116" s="41">
        <v>879.3</v>
      </c>
      <c r="F116" s="41">
        <v>879.3</v>
      </c>
      <c r="G116" s="41">
        <v>879.3</v>
      </c>
      <c r="H116" s="41">
        <v>879.3</v>
      </c>
      <c r="I116" s="41">
        <v>879.3</v>
      </c>
      <c r="J116" s="41">
        <v>879.3</v>
      </c>
      <c r="K116" s="41">
        <v>879.3</v>
      </c>
    </row>
    <row r="117" spans="1:11" ht="15.75">
      <c r="A117" s="39" t="s">
        <v>45</v>
      </c>
      <c r="B117" s="39" t="s">
        <v>48</v>
      </c>
      <c r="C117" s="40" t="s">
        <v>646</v>
      </c>
      <c r="D117" s="41">
        <v>489.6</v>
      </c>
      <c r="E117" s="41">
        <v>489.6</v>
      </c>
      <c r="F117" s="41">
        <v>489.6</v>
      </c>
      <c r="G117" s="41">
        <v>489.6</v>
      </c>
      <c r="H117" s="41">
        <v>489.6</v>
      </c>
      <c r="I117" s="41">
        <v>489.6</v>
      </c>
      <c r="J117" s="41">
        <v>489.6</v>
      </c>
      <c r="K117" s="41">
        <v>489.6</v>
      </c>
    </row>
    <row r="118" spans="1:11" ht="15.75">
      <c r="A118" s="39" t="s">
        <v>83</v>
      </c>
      <c r="B118" s="42" t="s">
        <v>649</v>
      </c>
      <c r="C118" s="40" t="s">
        <v>653</v>
      </c>
      <c r="D118" s="41">
        <v>519.29999999999995</v>
      </c>
      <c r="E118" s="41">
        <v>519.29999999999995</v>
      </c>
      <c r="F118" s="41">
        <v>519.29999999999995</v>
      </c>
      <c r="G118" s="41">
        <v>519.29999999999995</v>
      </c>
      <c r="H118" s="41">
        <v>519.29999999999995</v>
      </c>
      <c r="I118" s="41">
        <v>519.29999999999995</v>
      </c>
      <c r="J118" s="41">
        <v>519.29999999999995</v>
      </c>
      <c r="K118" s="41">
        <v>519.29999999999995</v>
      </c>
    </row>
    <row r="119" spans="1:11" ht="15.75">
      <c r="A119" s="39" t="s">
        <v>91</v>
      </c>
      <c r="B119" s="39" t="s">
        <v>48</v>
      </c>
      <c r="C119" s="40" t="s">
        <v>655</v>
      </c>
      <c r="D119" s="41">
        <v>4319.1000000000004</v>
      </c>
      <c r="E119" s="41">
        <v>4319.1000000000004</v>
      </c>
      <c r="F119" s="41">
        <v>4319.1000000000004</v>
      </c>
      <c r="G119" s="41">
        <v>4319.1000000000004</v>
      </c>
      <c r="H119" s="41">
        <v>4319.1000000000004</v>
      </c>
      <c r="I119" s="41">
        <v>4319.1000000000004</v>
      </c>
      <c r="J119" s="41">
        <v>4319.1000000000004</v>
      </c>
      <c r="K119" s="41">
        <v>4319.1000000000004</v>
      </c>
    </row>
    <row r="120" spans="1:11" ht="15.75">
      <c r="A120" s="39" t="s">
        <v>91</v>
      </c>
      <c r="B120" s="39" t="s">
        <v>48</v>
      </c>
      <c r="C120" s="40" t="s">
        <v>664</v>
      </c>
      <c r="D120" s="41">
        <v>6619.5</v>
      </c>
      <c r="E120" s="41">
        <v>6619.5</v>
      </c>
      <c r="F120" s="41">
        <v>6619.5</v>
      </c>
      <c r="G120" s="41">
        <v>6619.5</v>
      </c>
      <c r="H120" s="41">
        <v>6619.5</v>
      </c>
      <c r="I120" s="41">
        <v>6619.5</v>
      </c>
      <c r="J120" s="41">
        <v>6619.5</v>
      </c>
      <c r="K120" s="41">
        <v>6619.5</v>
      </c>
    </row>
    <row r="121" spans="1:11" ht="15.75">
      <c r="A121" s="39" t="s">
        <v>91</v>
      </c>
      <c r="B121" s="42" t="s">
        <v>941</v>
      </c>
      <c r="C121" s="40" t="s">
        <v>666</v>
      </c>
      <c r="D121" s="41">
        <v>809.1</v>
      </c>
      <c r="E121" s="41">
        <v>809.1</v>
      </c>
      <c r="F121" s="41">
        <v>809.1</v>
      </c>
      <c r="G121" s="41">
        <v>809.1</v>
      </c>
      <c r="H121" s="41">
        <v>809.1</v>
      </c>
      <c r="I121" s="41">
        <v>809.1</v>
      </c>
      <c r="J121" s="41">
        <v>809.1</v>
      </c>
      <c r="K121" s="41">
        <v>809.1</v>
      </c>
    </row>
    <row r="122" spans="1:11" ht="15.75">
      <c r="A122" s="39" t="s">
        <v>91</v>
      </c>
      <c r="B122" s="42" t="s">
        <v>941</v>
      </c>
      <c r="C122" s="40" t="s">
        <v>672</v>
      </c>
      <c r="D122" s="41">
        <v>1209.5999999999999</v>
      </c>
      <c r="E122" s="41">
        <v>1209.5999999999999</v>
      </c>
      <c r="F122" s="41">
        <v>1209.5999999999999</v>
      </c>
      <c r="G122" s="41">
        <v>1209.5999999999999</v>
      </c>
      <c r="H122" s="41">
        <v>1209.5999999999999</v>
      </c>
      <c r="I122" s="41">
        <v>1209.5999999999999</v>
      </c>
      <c r="J122" s="41">
        <v>1209.5999999999999</v>
      </c>
      <c r="K122" s="41">
        <v>1209.5999999999999</v>
      </c>
    </row>
    <row r="123" spans="1:11" ht="15.75">
      <c r="A123" s="39" t="s">
        <v>91</v>
      </c>
      <c r="B123" s="42" t="s">
        <v>941</v>
      </c>
      <c r="C123" s="40" t="s">
        <v>674</v>
      </c>
      <c r="D123" s="41">
        <v>1019.7</v>
      </c>
      <c r="E123" s="41">
        <v>1019.7</v>
      </c>
      <c r="F123" s="41">
        <v>1019.7</v>
      </c>
      <c r="G123" s="41">
        <v>1019.7</v>
      </c>
      <c r="H123" s="41">
        <v>1019.7</v>
      </c>
      <c r="I123" s="41">
        <v>1019.7</v>
      </c>
      <c r="J123" s="41">
        <v>1019.7</v>
      </c>
      <c r="K123" s="41">
        <v>1019.7</v>
      </c>
    </row>
    <row r="124" spans="1:11" ht="15.75">
      <c r="A124" s="39" t="s">
        <v>91</v>
      </c>
      <c r="B124" s="42" t="s">
        <v>941</v>
      </c>
      <c r="C124" s="40" t="s">
        <v>675</v>
      </c>
      <c r="D124" s="41">
        <v>1729.8</v>
      </c>
      <c r="E124" s="41">
        <v>1729.8</v>
      </c>
      <c r="F124" s="41">
        <v>1729.8</v>
      </c>
      <c r="G124" s="41">
        <v>1729.8</v>
      </c>
      <c r="H124" s="41">
        <v>1729.8</v>
      </c>
      <c r="I124" s="41">
        <v>1729.8</v>
      </c>
      <c r="J124" s="41">
        <v>1729.8</v>
      </c>
      <c r="K124" s="41">
        <v>1729.8</v>
      </c>
    </row>
    <row r="125" spans="1:11" ht="15.75">
      <c r="A125" s="39" t="s">
        <v>91</v>
      </c>
      <c r="B125" s="42" t="s">
        <v>941</v>
      </c>
      <c r="C125" s="40" t="s">
        <v>676</v>
      </c>
      <c r="D125" s="41">
        <v>1849.5</v>
      </c>
      <c r="E125" s="41">
        <v>1849.5</v>
      </c>
      <c r="F125" s="41">
        <v>1849.5</v>
      </c>
      <c r="G125" s="41">
        <v>1849.5</v>
      </c>
      <c r="H125" s="41">
        <v>1849.5</v>
      </c>
      <c r="I125" s="41">
        <v>1849.5</v>
      </c>
      <c r="J125" s="41">
        <v>1849.5</v>
      </c>
      <c r="K125" s="41">
        <v>1849.5</v>
      </c>
    </row>
    <row r="126" spans="1:11" ht="15.75">
      <c r="A126" s="39" t="s">
        <v>91</v>
      </c>
      <c r="B126" s="42" t="s">
        <v>941</v>
      </c>
      <c r="C126" s="40" t="s">
        <v>679</v>
      </c>
      <c r="D126" s="41">
        <v>2019.6</v>
      </c>
      <c r="E126" s="41">
        <v>2019.6</v>
      </c>
      <c r="F126" s="41">
        <v>2019.6</v>
      </c>
      <c r="G126" s="41">
        <v>2019.6</v>
      </c>
      <c r="H126" s="41">
        <v>2019.6</v>
      </c>
      <c r="I126" s="41">
        <v>2019.6</v>
      </c>
      <c r="J126" s="41">
        <v>2019.6</v>
      </c>
      <c r="K126" s="41">
        <v>2019.6</v>
      </c>
    </row>
    <row r="127" spans="1:11" ht="15.75">
      <c r="A127" s="39" t="s">
        <v>91</v>
      </c>
      <c r="B127" s="42" t="s">
        <v>941</v>
      </c>
      <c r="C127" s="40" t="s">
        <v>686</v>
      </c>
      <c r="D127" s="41">
        <v>1499.4</v>
      </c>
      <c r="E127" s="41">
        <v>1499.4</v>
      </c>
      <c r="F127" s="41">
        <v>1499.4</v>
      </c>
      <c r="G127" s="41">
        <v>1499.4</v>
      </c>
      <c r="H127" s="41">
        <v>1499.4</v>
      </c>
      <c r="I127" s="41">
        <v>1499.4</v>
      </c>
      <c r="J127" s="41">
        <v>1499.4</v>
      </c>
      <c r="K127" s="41">
        <v>1499.4</v>
      </c>
    </row>
    <row r="128" spans="1:11" ht="15.75">
      <c r="A128" s="39" t="s">
        <v>91</v>
      </c>
      <c r="B128" s="42" t="s">
        <v>941</v>
      </c>
      <c r="C128" s="40" t="s">
        <v>687</v>
      </c>
      <c r="D128" s="41">
        <v>1789.2</v>
      </c>
      <c r="E128" s="41">
        <v>1789.2</v>
      </c>
      <c r="F128" s="41">
        <v>1789.2</v>
      </c>
      <c r="G128" s="41">
        <v>1789.2</v>
      </c>
      <c r="H128" s="41">
        <v>1789.2</v>
      </c>
      <c r="I128" s="41">
        <v>1789.2</v>
      </c>
      <c r="J128" s="41">
        <v>1789.2</v>
      </c>
      <c r="K128" s="41">
        <v>1789.2</v>
      </c>
    </row>
    <row r="129" spans="1:11" ht="15.75">
      <c r="A129" s="39" t="s">
        <v>91</v>
      </c>
      <c r="B129" s="42" t="s">
        <v>941</v>
      </c>
      <c r="C129" s="40" t="s">
        <v>689</v>
      </c>
      <c r="D129" s="41">
        <v>1669.5</v>
      </c>
      <c r="E129" s="41">
        <v>1669.5</v>
      </c>
      <c r="F129" s="41">
        <v>1669.5</v>
      </c>
      <c r="G129" s="41">
        <v>1669.5</v>
      </c>
      <c r="H129" s="41">
        <v>1669.5</v>
      </c>
      <c r="I129" s="41">
        <v>1669.5</v>
      </c>
      <c r="J129" s="41">
        <v>1669.5</v>
      </c>
      <c r="K129" s="41">
        <v>1669.5</v>
      </c>
    </row>
    <row r="130" spans="1:11" ht="15.75">
      <c r="A130" s="39" t="s">
        <v>91</v>
      </c>
      <c r="B130" s="42" t="s">
        <v>941</v>
      </c>
      <c r="C130" s="40" t="s">
        <v>695</v>
      </c>
      <c r="D130" s="41">
        <v>1959.3</v>
      </c>
      <c r="E130" s="41">
        <v>1959.3</v>
      </c>
      <c r="F130" s="41">
        <v>1959.3</v>
      </c>
      <c r="G130" s="41">
        <v>1959.3</v>
      </c>
      <c r="H130" s="41">
        <v>1959.3</v>
      </c>
      <c r="I130" s="41">
        <v>1959.3</v>
      </c>
      <c r="J130" s="41">
        <v>1959.3</v>
      </c>
      <c r="K130" s="41">
        <v>1959.3</v>
      </c>
    </row>
    <row r="131" spans="1:11" ht="15.75">
      <c r="A131" s="39" t="s">
        <v>91</v>
      </c>
      <c r="B131" s="42" t="s">
        <v>941</v>
      </c>
      <c r="C131" s="40" t="s">
        <v>696</v>
      </c>
      <c r="D131" s="41">
        <v>2129.4</v>
      </c>
      <c r="E131" s="41">
        <v>2129.4</v>
      </c>
      <c r="F131" s="41">
        <v>2129.4</v>
      </c>
      <c r="G131" s="41">
        <v>2129.4</v>
      </c>
      <c r="H131" s="41">
        <v>2129.4</v>
      </c>
      <c r="I131" s="41">
        <v>2129.4</v>
      </c>
      <c r="J131" s="41">
        <v>2129.4</v>
      </c>
      <c r="K131" s="41">
        <v>2129.4</v>
      </c>
    </row>
    <row r="132" spans="1:11" ht="15.75">
      <c r="A132" s="39" t="s">
        <v>91</v>
      </c>
      <c r="B132" s="42" t="s">
        <v>941</v>
      </c>
      <c r="C132" s="40" t="s">
        <v>702</v>
      </c>
      <c r="D132" s="41">
        <v>2299.5</v>
      </c>
      <c r="E132" s="41">
        <v>2299.5</v>
      </c>
      <c r="F132" s="41">
        <v>2299.5</v>
      </c>
      <c r="G132" s="41">
        <v>2299.5</v>
      </c>
      <c r="H132" s="41">
        <v>2299.5</v>
      </c>
      <c r="I132" s="41">
        <v>2299.5</v>
      </c>
      <c r="J132" s="41">
        <v>2299.5</v>
      </c>
      <c r="K132" s="41">
        <v>2299.5</v>
      </c>
    </row>
    <row r="133" spans="1:11" ht="15.75">
      <c r="A133" s="39" t="s">
        <v>91</v>
      </c>
      <c r="B133" s="42" t="s">
        <v>941</v>
      </c>
      <c r="C133" s="40" t="s">
        <v>705</v>
      </c>
      <c r="D133" s="41">
        <v>2479.5</v>
      </c>
      <c r="E133" s="41">
        <v>2479.5</v>
      </c>
      <c r="F133" s="41">
        <v>2479.5</v>
      </c>
      <c r="G133" s="41">
        <v>2479.5</v>
      </c>
      <c r="H133" s="41">
        <v>2479.5</v>
      </c>
      <c r="I133" s="41">
        <v>2479.5</v>
      </c>
      <c r="J133" s="41">
        <v>2479.5</v>
      </c>
      <c r="K133" s="41">
        <v>2479.5</v>
      </c>
    </row>
    <row r="134" spans="1:11" ht="15.75">
      <c r="A134" s="39" t="s">
        <v>91</v>
      </c>
      <c r="B134" s="42" t="s">
        <v>941</v>
      </c>
      <c r="C134" s="40" t="s">
        <v>707</v>
      </c>
      <c r="D134" s="41">
        <v>459</v>
      </c>
      <c r="E134" s="41">
        <v>459</v>
      </c>
      <c r="F134" s="41">
        <v>459</v>
      </c>
      <c r="G134" s="41">
        <v>459</v>
      </c>
      <c r="H134" s="41">
        <v>459</v>
      </c>
      <c r="I134" s="41">
        <v>459</v>
      </c>
      <c r="J134" s="41">
        <v>459</v>
      </c>
      <c r="K134" s="41">
        <v>459</v>
      </c>
    </row>
    <row r="135" spans="1:11" ht="15.75">
      <c r="A135" s="39" t="s">
        <v>91</v>
      </c>
      <c r="B135" s="42" t="s">
        <v>941</v>
      </c>
      <c r="C135" s="40" t="s">
        <v>715</v>
      </c>
      <c r="D135" s="41">
        <v>1849.5</v>
      </c>
      <c r="E135" s="41">
        <v>1849.5</v>
      </c>
      <c r="F135" s="41">
        <v>1849.5</v>
      </c>
      <c r="G135" s="41">
        <v>1849.5</v>
      </c>
      <c r="H135" s="41">
        <v>1849.5</v>
      </c>
      <c r="I135" s="41">
        <v>1849.5</v>
      </c>
      <c r="J135" s="41">
        <v>1849.5</v>
      </c>
      <c r="K135" s="41">
        <v>1849.5</v>
      </c>
    </row>
    <row r="136" spans="1:11" ht="15.75">
      <c r="A136" s="39" t="s">
        <v>91</v>
      </c>
      <c r="B136" s="42" t="s">
        <v>649</v>
      </c>
      <c r="C136" s="40" t="s">
        <v>717</v>
      </c>
      <c r="D136" s="41">
        <v>599.4</v>
      </c>
      <c r="E136" s="41">
        <v>599.4</v>
      </c>
      <c r="F136" s="41">
        <v>599.4</v>
      </c>
      <c r="G136" s="41">
        <v>599.4</v>
      </c>
      <c r="H136" s="41">
        <v>599.4</v>
      </c>
      <c r="I136" s="41">
        <v>599.4</v>
      </c>
      <c r="J136" s="41">
        <v>599.4</v>
      </c>
      <c r="K136" s="41">
        <v>599.4</v>
      </c>
    </row>
    <row r="137" spans="1:11" ht="15.75">
      <c r="A137" s="39" t="s">
        <v>45</v>
      </c>
      <c r="B137" s="39" t="s">
        <v>48</v>
      </c>
      <c r="C137" s="40" t="s">
        <v>724</v>
      </c>
      <c r="D137" s="41">
        <v>499.5</v>
      </c>
      <c r="E137" s="41">
        <v>499.5</v>
      </c>
      <c r="F137" s="41">
        <v>499.5</v>
      </c>
      <c r="G137" s="41">
        <v>499.5</v>
      </c>
      <c r="H137" s="41">
        <v>499.5</v>
      </c>
      <c r="I137" s="41">
        <v>499.5</v>
      </c>
      <c r="J137" s="41">
        <v>499.5</v>
      </c>
      <c r="K137" s="41">
        <v>499.5</v>
      </c>
    </row>
    <row r="138" spans="1:11" ht="15.75">
      <c r="A138" s="39" t="s">
        <v>45</v>
      </c>
      <c r="B138" s="39" t="s">
        <v>48</v>
      </c>
      <c r="C138" s="40" t="s">
        <v>725</v>
      </c>
      <c r="D138" s="41">
        <v>549</v>
      </c>
      <c r="E138" s="41">
        <v>549</v>
      </c>
      <c r="F138" s="41">
        <v>549</v>
      </c>
      <c r="G138" s="41">
        <v>549</v>
      </c>
      <c r="H138" s="41">
        <v>549</v>
      </c>
      <c r="I138" s="41">
        <v>549</v>
      </c>
      <c r="J138" s="41">
        <v>549</v>
      </c>
      <c r="K138" s="41">
        <v>549</v>
      </c>
    </row>
    <row r="139" spans="1:11" ht="15.75">
      <c r="A139" s="39" t="s">
        <v>83</v>
      </c>
      <c r="B139" s="39" t="s">
        <v>48</v>
      </c>
      <c r="C139" s="40" t="s">
        <v>731</v>
      </c>
      <c r="D139" s="41">
        <v>699.3</v>
      </c>
      <c r="E139" s="41">
        <v>699.3</v>
      </c>
      <c r="F139" s="41">
        <v>699.3</v>
      </c>
      <c r="G139" s="41">
        <v>699.3</v>
      </c>
      <c r="H139" s="41">
        <v>699.3</v>
      </c>
      <c r="I139" s="41">
        <v>699.3</v>
      </c>
      <c r="J139" s="41">
        <v>699.3</v>
      </c>
      <c r="K139" s="41">
        <v>699.3</v>
      </c>
    </row>
    <row r="140" spans="1:11" ht="15.75">
      <c r="A140" s="39" t="s">
        <v>91</v>
      </c>
      <c r="B140" s="39" t="s">
        <v>48</v>
      </c>
      <c r="C140" s="40" t="s">
        <v>734</v>
      </c>
      <c r="D140" s="41">
        <v>4229.1000000000004</v>
      </c>
      <c r="E140" s="41">
        <v>4229.1000000000004</v>
      </c>
      <c r="F140" s="41">
        <v>4229.1000000000004</v>
      </c>
      <c r="G140" s="41">
        <v>4229.1000000000004</v>
      </c>
      <c r="H140" s="41">
        <v>4229.1000000000004</v>
      </c>
      <c r="I140" s="41">
        <v>4229.1000000000004</v>
      </c>
      <c r="J140" s="41">
        <v>4229.1000000000004</v>
      </c>
      <c r="K140" s="41">
        <v>4229.1000000000004</v>
      </c>
    </row>
    <row r="141" spans="1:11" ht="15.75">
      <c r="A141" s="39" t="s">
        <v>91</v>
      </c>
      <c r="B141" s="42" t="s">
        <v>941</v>
      </c>
      <c r="C141" s="40" t="s">
        <v>738</v>
      </c>
      <c r="D141" s="41">
        <v>499.5</v>
      </c>
      <c r="E141" s="41">
        <v>499.5</v>
      </c>
      <c r="F141" s="41">
        <v>499.5</v>
      </c>
      <c r="G141" s="41">
        <v>499.5</v>
      </c>
      <c r="H141" s="41">
        <v>499.5</v>
      </c>
      <c r="I141" s="41">
        <v>499.5</v>
      </c>
      <c r="J141" s="41">
        <v>499.5</v>
      </c>
      <c r="K141" s="41">
        <v>499.5</v>
      </c>
    </row>
    <row r="142" spans="1:11" ht="15.75">
      <c r="A142" s="39" t="s">
        <v>91</v>
      </c>
      <c r="B142" s="42" t="s">
        <v>941</v>
      </c>
      <c r="C142" s="40" t="s">
        <v>740</v>
      </c>
      <c r="D142" s="41">
        <v>399.6</v>
      </c>
      <c r="E142" s="41">
        <v>399.6</v>
      </c>
      <c r="F142" s="41">
        <v>399.6</v>
      </c>
      <c r="G142" s="41">
        <v>399.6</v>
      </c>
      <c r="H142" s="41">
        <v>399.6</v>
      </c>
      <c r="I142" s="41">
        <v>399.6</v>
      </c>
      <c r="J142" s="41">
        <v>399.6</v>
      </c>
      <c r="K142" s="41">
        <v>399.6</v>
      </c>
    </row>
    <row r="143" spans="1:11" ht="15.75">
      <c r="A143" s="39" t="s">
        <v>83</v>
      </c>
      <c r="B143" s="39" t="s">
        <v>48</v>
      </c>
      <c r="C143" s="40" t="s">
        <v>745</v>
      </c>
      <c r="D143" s="41">
        <v>889.2</v>
      </c>
      <c r="E143" s="41">
        <v>889.2</v>
      </c>
      <c r="F143" s="41">
        <v>889.2</v>
      </c>
      <c r="G143" s="41">
        <v>889.2</v>
      </c>
      <c r="H143" s="41">
        <v>889.2</v>
      </c>
      <c r="I143" s="41">
        <v>889.2</v>
      </c>
      <c r="J143" s="41">
        <v>889.2</v>
      </c>
      <c r="K143" s="41">
        <v>889.2</v>
      </c>
    </row>
    <row r="144" spans="1:11" ht="15.75">
      <c r="A144" s="39" t="s">
        <v>83</v>
      </c>
      <c r="B144" s="39" t="s">
        <v>48</v>
      </c>
      <c r="C144" s="40" t="s">
        <v>746</v>
      </c>
      <c r="D144" s="41">
        <v>1392.3</v>
      </c>
      <c r="E144" s="41">
        <v>1392.3</v>
      </c>
      <c r="F144" s="41">
        <v>1392.3</v>
      </c>
      <c r="G144" s="41">
        <v>1392.3</v>
      </c>
      <c r="H144" s="41">
        <v>1392.3</v>
      </c>
      <c r="I144" s="41">
        <v>1392.3</v>
      </c>
      <c r="J144" s="41">
        <v>1392.3</v>
      </c>
      <c r="K144" s="41">
        <v>1392.3</v>
      </c>
    </row>
    <row r="145" spans="1:11" ht="15.75">
      <c r="A145" s="39" t="s">
        <v>91</v>
      </c>
      <c r="B145" s="39" t="s">
        <v>48</v>
      </c>
      <c r="C145" s="40" t="s">
        <v>750</v>
      </c>
      <c r="D145" s="41">
        <v>2229.3000000000002</v>
      </c>
      <c r="E145" s="41">
        <v>2229.3000000000002</v>
      </c>
      <c r="F145" s="41">
        <v>2229.3000000000002</v>
      </c>
      <c r="G145" s="41">
        <v>2229.3000000000002</v>
      </c>
      <c r="H145" s="41">
        <v>2229.3000000000002</v>
      </c>
      <c r="I145" s="41">
        <v>2229.3000000000002</v>
      </c>
      <c r="J145" s="41">
        <v>2229.3000000000002</v>
      </c>
      <c r="K145" s="41">
        <v>2229.3000000000002</v>
      </c>
    </row>
    <row r="146" spans="1:11" ht="15.75">
      <c r="A146" s="39" t="s">
        <v>66</v>
      </c>
      <c r="B146" s="39" t="s">
        <v>48</v>
      </c>
      <c r="C146" s="40" t="s">
        <v>751</v>
      </c>
      <c r="D146" s="41">
        <v>179.1</v>
      </c>
      <c r="E146" s="41">
        <v>179.1</v>
      </c>
      <c r="F146" s="41">
        <v>179.1</v>
      </c>
      <c r="G146" s="41">
        <v>179.1</v>
      </c>
      <c r="H146" s="41">
        <v>179.1</v>
      </c>
      <c r="I146" s="41">
        <v>179.1</v>
      </c>
      <c r="J146" s="41">
        <v>179.1</v>
      </c>
      <c r="K146" s="41">
        <v>179.1</v>
      </c>
    </row>
    <row r="147" spans="1:11" ht="15.75">
      <c r="A147" s="39" t="s">
        <v>45</v>
      </c>
      <c r="B147" s="39" t="s">
        <v>48</v>
      </c>
      <c r="C147" s="40" t="s">
        <v>758</v>
      </c>
      <c r="D147" s="41">
        <v>329.4</v>
      </c>
      <c r="E147" s="41">
        <v>329.4</v>
      </c>
      <c r="F147" s="41">
        <v>329.4</v>
      </c>
      <c r="G147" s="41">
        <v>329.4</v>
      </c>
      <c r="H147" s="41">
        <v>329.4</v>
      </c>
      <c r="I147" s="41">
        <v>329.4</v>
      </c>
      <c r="J147" s="41">
        <v>329.4</v>
      </c>
      <c r="K147" s="41">
        <v>329.4</v>
      </c>
    </row>
    <row r="148" spans="1:11" ht="15.75">
      <c r="A148" s="39" t="s">
        <v>83</v>
      </c>
      <c r="B148" s="39" t="s">
        <v>48</v>
      </c>
      <c r="C148" s="40" t="s">
        <v>759</v>
      </c>
      <c r="D148" s="41">
        <v>999</v>
      </c>
      <c r="E148" s="41">
        <v>999</v>
      </c>
      <c r="F148" s="41">
        <v>999</v>
      </c>
      <c r="G148" s="41">
        <v>999</v>
      </c>
      <c r="H148" s="41">
        <v>999</v>
      </c>
      <c r="I148" s="41">
        <v>999</v>
      </c>
      <c r="J148" s="41">
        <v>999</v>
      </c>
      <c r="K148" s="41">
        <v>999</v>
      </c>
    </row>
    <row r="149" spans="1:11" ht="15.75">
      <c r="A149" s="39" t="s">
        <v>66</v>
      </c>
      <c r="B149" s="39" t="s">
        <v>48</v>
      </c>
      <c r="C149" s="40" t="s">
        <v>763</v>
      </c>
      <c r="D149" s="41">
        <v>299.7</v>
      </c>
      <c r="E149" s="41">
        <v>299.7</v>
      </c>
      <c r="F149" s="41">
        <v>299.7</v>
      </c>
      <c r="G149" s="41">
        <v>299.7</v>
      </c>
      <c r="H149" s="41">
        <v>299.7</v>
      </c>
      <c r="I149" s="41">
        <v>299.7</v>
      </c>
      <c r="J149" s="41">
        <v>299.7</v>
      </c>
      <c r="K149" s="41">
        <v>299.7</v>
      </c>
    </row>
    <row r="150" spans="1:11" ht="15.75">
      <c r="A150" s="39" t="s">
        <v>45</v>
      </c>
      <c r="B150" s="39" t="s">
        <v>48</v>
      </c>
      <c r="C150" s="40" t="s">
        <v>765</v>
      </c>
      <c r="D150" s="41">
        <v>379.8</v>
      </c>
      <c r="E150" s="41">
        <v>379.8</v>
      </c>
      <c r="F150" s="41">
        <v>379.8</v>
      </c>
      <c r="G150" s="41">
        <v>379.8</v>
      </c>
      <c r="H150" s="41">
        <v>379.8</v>
      </c>
      <c r="I150" s="41">
        <v>379.8</v>
      </c>
      <c r="J150" s="41">
        <v>379.8</v>
      </c>
      <c r="K150" s="41">
        <v>379.8</v>
      </c>
    </row>
    <row r="151" spans="1:11" ht="15.75">
      <c r="A151" s="39" t="s">
        <v>83</v>
      </c>
      <c r="B151" s="39" t="s">
        <v>48</v>
      </c>
      <c r="C151" s="40" t="s">
        <v>769</v>
      </c>
      <c r="D151" s="41">
        <v>709.2</v>
      </c>
      <c r="E151" s="41">
        <v>709.2</v>
      </c>
      <c r="F151" s="41">
        <v>709.2</v>
      </c>
      <c r="G151" s="41">
        <v>709.2</v>
      </c>
      <c r="H151" s="41">
        <v>709.2</v>
      </c>
      <c r="I151" s="41">
        <v>709.2</v>
      </c>
      <c r="J151" s="41">
        <v>709.2</v>
      </c>
      <c r="K151" s="41">
        <v>709.2</v>
      </c>
    </row>
    <row r="152" spans="1:11" ht="15.75">
      <c r="A152" s="39" t="s">
        <v>45</v>
      </c>
      <c r="B152" s="39" t="s">
        <v>48</v>
      </c>
      <c r="C152" s="40" t="s">
        <v>772</v>
      </c>
      <c r="D152" s="41">
        <v>499.5</v>
      </c>
      <c r="E152" s="41">
        <v>499.5</v>
      </c>
      <c r="F152" s="41">
        <v>499.5</v>
      </c>
      <c r="G152" s="41">
        <v>499.5</v>
      </c>
      <c r="H152" s="41">
        <v>499.5</v>
      </c>
      <c r="I152" s="41">
        <v>499.5</v>
      </c>
      <c r="J152" s="41">
        <v>499.5</v>
      </c>
      <c r="K152" s="41">
        <v>499.5</v>
      </c>
    </row>
    <row r="153" spans="1:11" ht="15.75">
      <c r="A153" s="39" t="s">
        <v>91</v>
      </c>
      <c r="B153" s="39" t="s">
        <v>48</v>
      </c>
      <c r="C153" s="40" t="s">
        <v>773</v>
      </c>
      <c r="D153" s="41">
        <v>1299.5999999999999</v>
      </c>
      <c r="E153" s="41">
        <v>1299.5999999999999</v>
      </c>
      <c r="F153" s="41">
        <v>1299.5999999999999</v>
      </c>
      <c r="G153" s="41">
        <v>1299.5999999999999</v>
      </c>
      <c r="H153" s="41">
        <v>1299.5999999999999</v>
      </c>
      <c r="I153" s="41">
        <v>1299.5999999999999</v>
      </c>
      <c r="J153" s="41">
        <v>1299.5999999999999</v>
      </c>
      <c r="K153" s="41">
        <v>1299.5999999999999</v>
      </c>
    </row>
    <row r="154" spans="1:11" ht="15.75">
      <c r="A154" s="39" t="s">
        <v>45</v>
      </c>
      <c r="B154" s="39" t="s">
        <v>48</v>
      </c>
      <c r="C154" s="40" t="s">
        <v>774</v>
      </c>
      <c r="D154" s="41">
        <v>529.20000000000005</v>
      </c>
      <c r="E154" s="41">
        <v>529.20000000000005</v>
      </c>
      <c r="F154" s="41">
        <v>529.20000000000005</v>
      </c>
      <c r="G154" s="41">
        <v>529.20000000000005</v>
      </c>
      <c r="H154" s="41">
        <v>529.20000000000005</v>
      </c>
      <c r="I154" s="41">
        <v>529.20000000000005</v>
      </c>
      <c r="J154" s="41">
        <v>529.20000000000005</v>
      </c>
      <c r="K154" s="41">
        <v>529.20000000000005</v>
      </c>
    </row>
    <row r="155" spans="1:11" ht="15.75">
      <c r="A155" s="39" t="s">
        <v>66</v>
      </c>
      <c r="B155" s="39" t="s">
        <v>48</v>
      </c>
      <c r="C155" s="40" t="s">
        <v>775</v>
      </c>
      <c r="D155" s="41">
        <v>259.2</v>
      </c>
      <c r="E155" s="41">
        <v>259.2</v>
      </c>
      <c r="F155" s="41">
        <v>259.2</v>
      </c>
      <c r="G155" s="41">
        <v>259.2</v>
      </c>
      <c r="H155" s="41">
        <v>259.2</v>
      </c>
      <c r="I155" s="41">
        <v>259.2</v>
      </c>
      <c r="J155" s="41">
        <v>259.2</v>
      </c>
      <c r="K155" s="41">
        <v>259.2</v>
      </c>
    </row>
    <row r="156" spans="1:11" ht="15.75">
      <c r="A156" s="39" t="s">
        <v>45</v>
      </c>
      <c r="B156" s="39" t="s">
        <v>48</v>
      </c>
      <c r="C156" s="40" t="s">
        <v>776</v>
      </c>
      <c r="D156" s="41">
        <v>329.4</v>
      </c>
      <c r="E156" s="41">
        <v>329.4</v>
      </c>
      <c r="F156" s="41">
        <v>329.4</v>
      </c>
      <c r="G156" s="41">
        <v>329.4</v>
      </c>
      <c r="H156" s="41">
        <v>329.4</v>
      </c>
      <c r="I156" s="41">
        <v>329.4</v>
      </c>
      <c r="J156" s="41">
        <v>329.4</v>
      </c>
      <c r="K156" s="41">
        <v>329.4</v>
      </c>
    </row>
    <row r="157" spans="1:11" ht="15.75">
      <c r="A157" s="39" t="s">
        <v>91</v>
      </c>
      <c r="B157" s="39" t="s">
        <v>48</v>
      </c>
      <c r="C157" s="40" t="s">
        <v>777</v>
      </c>
      <c r="D157" s="41">
        <v>1409.4</v>
      </c>
      <c r="E157" s="41">
        <v>1409.4</v>
      </c>
      <c r="F157" s="41">
        <v>1409.4</v>
      </c>
      <c r="G157" s="41">
        <v>1409.4</v>
      </c>
      <c r="H157" s="41">
        <v>1409.4</v>
      </c>
      <c r="I157" s="41">
        <v>1409.4</v>
      </c>
      <c r="J157" s="41">
        <v>1409.4</v>
      </c>
      <c r="K157" s="41">
        <v>1409.4</v>
      </c>
    </row>
    <row r="158" spans="1:11" ht="15.75">
      <c r="A158" s="39" t="s">
        <v>91</v>
      </c>
      <c r="B158" s="39" t="s">
        <v>48</v>
      </c>
      <c r="C158" s="40" t="s">
        <v>778</v>
      </c>
      <c r="D158" s="41">
        <v>3249</v>
      </c>
      <c r="E158" s="41">
        <v>3249</v>
      </c>
      <c r="F158" s="41">
        <v>3249</v>
      </c>
      <c r="G158" s="41">
        <v>3249</v>
      </c>
      <c r="H158" s="41">
        <v>3249</v>
      </c>
      <c r="I158" s="41">
        <v>3249</v>
      </c>
      <c r="J158" s="41">
        <v>3249</v>
      </c>
      <c r="K158" s="41">
        <v>3249</v>
      </c>
    </row>
    <row r="159" spans="1:11" ht="15.75">
      <c r="A159" s="39" t="s">
        <v>91</v>
      </c>
      <c r="B159" s="39" t="s">
        <v>48</v>
      </c>
      <c r="C159" s="40" t="s">
        <v>779</v>
      </c>
      <c r="D159" s="41">
        <v>2169</v>
      </c>
      <c r="E159" s="41">
        <v>2169</v>
      </c>
      <c r="F159" s="41">
        <v>2169</v>
      </c>
      <c r="G159" s="41">
        <v>2169</v>
      </c>
      <c r="H159" s="41">
        <v>2169</v>
      </c>
      <c r="I159" s="41">
        <v>2169</v>
      </c>
      <c r="J159" s="41">
        <v>2169</v>
      </c>
      <c r="K159" s="41">
        <v>2169</v>
      </c>
    </row>
    <row r="160" spans="1:11" ht="15.75">
      <c r="A160" s="39" t="s">
        <v>45</v>
      </c>
      <c r="B160" s="39" t="s">
        <v>48</v>
      </c>
      <c r="C160" s="40" t="s">
        <v>780</v>
      </c>
      <c r="D160" s="41">
        <v>349.2</v>
      </c>
      <c r="E160" s="41">
        <v>349.2</v>
      </c>
      <c r="F160" s="41">
        <v>349.2</v>
      </c>
      <c r="G160" s="41">
        <v>349.2</v>
      </c>
      <c r="H160" s="41">
        <v>349.2</v>
      </c>
      <c r="I160" s="41">
        <v>349.2</v>
      </c>
      <c r="J160" s="41">
        <v>349.2</v>
      </c>
      <c r="K160" s="41">
        <v>349.2</v>
      </c>
    </row>
    <row r="161" spans="1:11" ht="15.75">
      <c r="A161" s="39" t="s">
        <v>91</v>
      </c>
      <c r="B161" s="39" t="s">
        <v>48</v>
      </c>
      <c r="C161" s="40" t="s">
        <v>781</v>
      </c>
      <c r="D161" s="41">
        <v>3499.2</v>
      </c>
      <c r="E161" s="41">
        <v>3499.2</v>
      </c>
      <c r="F161" s="41">
        <v>3499.2</v>
      </c>
      <c r="G161" s="41">
        <v>3499.2</v>
      </c>
      <c r="H161" s="41">
        <v>3499.2</v>
      </c>
      <c r="I161" s="41">
        <v>3499.2</v>
      </c>
      <c r="J161" s="41">
        <v>3499.2</v>
      </c>
      <c r="K161" s="41">
        <v>3499.2</v>
      </c>
    </row>
    <row r="162" spans="1:11" ht="15.75">
      <c r="A162" s="39" t="s">
        <v>91</v>
      </c>
      <c r="B162" s="39" t="s">
        <v>48</v>
      </c>
      <c r="C162" s="40" t="s">
        <v>782</v>
      </c>
      <c r="D162" s="41">
        <v>2999.7</v>
      </c>
      <c r="E162" s="41">
        <v>2999.7</v>
      </c>
      <c r="F162" s="41">
        <v>2999.7</v>
      </c>
      <c r="G162" s="41">
        <v>2999.7</v>
      </c>
      <c r="H162" s="41">
        <v>2999.7</v>
      </c>
      <c r="I162" s="41">
        <v>2999.7</v>
      </c>
      <c r="J162" s="41">
        <v>2999.7</v>
      </c>
      <c r="K162" s="41">
        <v>2999.7</v>
      </c>
    </row>
    <row r="163" spans="1:11" ht="15.75">
      <c r="A163" s="39" t="s">
        <v>91</v>
      </c>
      <c r="B163" s="39" t="s">
        <v>48</v>
      </c>
      <c r="C163" s="40" t="s">
        <v>783</v>
      </c>
      <c r="D163" s="41">
        <v>959.4</v>
      </c>
      <c r="E163" s="41">
        <v>959.4</v>
      </c>
      <c r="F163" s="41">
        <v>959.4</v>
      </c>
      <c r="G163" s="41">
        <v>959.4</v>
      </c>
      <c r="H163" s="41">
        <v>959.4</v>
      </c>
      <c r="I163" s="41">
        <v>959.4</v>
      </c>
      <c r="J163" s="41">
        <v>959.4</v>
      </c>
      <c r="K163" s="41">
        <v>959.4</v>
      </c>
    </row>
    <row r="164" spans="1:11" ht="15.75">
      <c r="A164" s="39" t="s">
        <v>91</v>
      </c>
      <c r="B164" s="39" t="s">
        <v>48</v>
      </c>
      <c r="C164" s="40" t="s">
        <v>784</v>
      </c>
      <c r="D164" s="41">
        <v>1048.5</v>
      </c>
      <c r="E164" s="41">
        <v>1048.5</v>
      </c>
      <c r="F164" s="41">
        <v>1048.5</v>
      </c>
      <c r="G164" s="41">
        <v>1048.5</v>
      </c>
      <c r="H164" s="41">
        <v>1048.5</v>
      </c>
      <c r="I164" s="41">
        <v>1048.5</v>
      </c>
      <c r="J164" s="41">
        <v>1048.5</v>
      </c>
      <c r="K164" s="41">
        <v>1048.5</v>
      </c>
    </row>
    <row r="165" spans="1:11" ht="15.75">
      <c r="A165" s="39" t="s">
        <v>45</v>
      </c>
      <c r="B165" s="39" t="s">
        <v>48</v>
      </c>
      <c r="C165" s="40" t="s">
        <v>785</v>
      </c>
      <c r="D165" s="41">
        <v>279</v>
      </c>
      <c r="E165" s="41">
        <v>279</v>
      </c>
      <c r="F165" s="41">
        <v>279</v>
      </c>
      <c r="G165" s="41">
        <v>279</v>
      </c>
      <c r="H165" s="41">
        <v>279</v>
      </c>
      <c r="I165" s="41">
        <v>279</v>
      </c>
      <c r="J165" s="41">
        <v>279</v>
      </c>
      <c r="K165" s="41">
        <v>279</v>
      </c>
    </row>
    <row r="166" spans="1:11" ht="15.75">
      <c r="A166" s="39" t="s">
        <v>66</v>
      </c>
      <c r="B166" s="39" t="s">
        <v>48</v>
      </c>
      <c r="C166" s="40" t="s">
        <v>786</v>
      </c>
      <c r="D166" s="41">
        <v>299.7</v>
      </c>
      <c r="E166" s="41">
        <v>299.7</v>
      </c>
      <c r="F166" s="41">
        <v>299.7</v>
      </c>
      <c r="G166" s="41">
        <v>299.7</v>
      </c>
      <c r="H166" s="41">
        <v>299.7</v>
      </c>
      <c r="I166" s="41">
        <v>299.7</v>
      </c>
      <c r="J166" s="41">
        <v>299.7</v>
      </c>
      <c r="K166" s="41">
        <v>299.7</v>
      </c>
    </row>
    <row r="167" spans="1:11" ht="15.75">
      <c r="A167" s="39" t="s">
        <v>91</v>
      </c>
      <c r="B167" s="39" t="s">
        <v>48</v>
      </c>
      <c r="C167" s="40" t="s">
        <v>787</v>
      </c>
      <c r="D167" s="41">
        <v>1279.8</v>
      </c>
      <c r="E167" s="41">
        <v>1279.8</v>
      </c>
      <c r="F167" s="41">
        <v>1279.8</v>
      </c>
      <c r="G167" s="41">
        <v>1279.8</v>
      </c>
      <c r="H167" s="41">
        <v>1279.8</v>
      </c>
      <c r="I167" s="41">
        <v>1279.8</v>
      </c>
      <c r="J167" s="41">
        <v>1279.8</v>
      </c>
      <c r="K167" s="41">
        <v>1279.8</v>
      </c>
    </row>
    <row r="168" spans="1:11" ht="15.75">
      <c r="A168" s="39" t="s">
        <v>45</v>
      </c>
      <c r="B168" s="39" t="s">
        <v>48</v>
      </c>
      <c r="C168" s="40" t="s">
        <v>788</v>
      </c>
      <c r="D168" s="41">
        <v>499.5</v>
      </c>
      <c r="E168" s="41">
        <v>499.5</v>
      </c>
      <c r="F168" s="41">
        <v>499.5</v>
      </c>
      <c r="G168" s="41">
        <v>499.5</v>
      </c>
      <c r="H168" s="41">
        <v>499.5</v>
      </c>
      <c r="I168" s="41">
        <v>499.5</v>
      </c>
      <c r="J168" s="41">
        <v>499.5</v>
      </c>
      <c r="K168" s="41">
        <v>499.5</v>
      </c>
    </row>
    <row r="169" spans="1:11" ht="15.75">
      <c r="A169" s="39" t="s">
        <v>91</v>
      </c>
      <c r="B169" s="39" t="s">
        <v>48</v>
      </c>
      <c r="C169" s="40" t="s">
        <v>789</v>
      </c>
      <c r="D169" s="41">
        <v>799.2</v>
      </c>
      <c r="E169" s="41">
        <v>799.2</v>
      </c>
      <c r="F169" s="41">
        <v>799.2</v>
      </c>
      <c r="G169" s="41">
        <v>799.2</v>
      </c>
      <c r="H169" s="41">
        <v>799.2</v>
      </c>
      <c r="I169" s="41">
        <v>799.2</v>
      </c>
      <c r="J169" s="41">
        <v>799.2</v>
      </c>
      <c r="K169" s="41">
        <v>799.2</v>
      </c>
    </row>
    <row r="170" spans="1:11" ht="15.75">
      <c r="A170" s="39" t="s">
        <v>91</v>
      </c>
      <c r="B170" s="42" t="s">
        <v>941</v>
      </c>
      <c r="C170" s="40" t="s">
        <v>790</v>
      </c>
      <c r="D170" s="41">
        <v>499.5</v>
      </c>
      <c r="E170" s="41">
        <v>499.5</v>
      </c>
      <c r="F170" s="41">
        <v>499.5</v>
      </c>
      <c r="G170" s="41">
        <v>499.5</v>
      </c>
      <c r="H170" s="41">
        <v>499.5</v>
      </c>
      <c r="I170" s="41">
        <v>499.5</v>
      </c>
      <c r="J170" s="41">
        <v>499.5</v>
      </c>
      <c r="K170" s="41">
        <v>499.5</v>
      </c>
    </row>
    <row r="171" spans="1:11" ht="15.75">
      <c r="A171" s="39" t="s">
        <v>91</v>
      </c>
      <c r="B171" s="42" t="s">
        <v>941</v>
      </c>
      <c r="C171" s="40" t="s">
        <v>791</v>
      </c>
      <c r="D171" s="41">
        <v>899.1</v>
      </c>
      <c r="E171" s="41">
        <v>899.1</v>
      </c>
      <c r="F171" s="41">
        <v>899.1</v>
      </c>
      <c r="G171" s="41">
        <v>899.1</v>
      </c>
      <c r="H171" s="41">
        <v>899.1</v>
      </c>
      <c r="I171" s="41">
        <v>899.1</v>
      </c>
      <c r="J171" s="41">
        <v>899.1</v>
      </c>
      <c r="K171" s="41">
        <v>899.1</v>
      </c>
    </row>
    <row r="172" spans="1:11" ht="15.75">
      <c r="A172" s="39" t="s">
        <v>83</v>
      </c>
      <c r="B172" s="42" t="s">
        <v>941</v>
      </c>
      <c r="C172" s="40" t="s">
        <v>792</v>
      </c>
      <c r="D172" s="41">
        <v>499.5</v>
      </c>
      <c r="E172" s="41">
        <v>499.5</v>
      </c>
      <c r="F172" s="41">
        <v>499.5</v>
      </c>
      <c r="G172" s="41">
        <v>499.5</v>
      </c>
      <c r="H172" s="41">
        <v>499.5</v>
      </c>
      <c r="I172" s="41">
        <v>499.5</v>
      </c>
      <c r="J172" s="41">
        <v>499.5</v>
      </c>
      <c r="K172" s="41">
        <v>499.5</v>
      </c>
    </row>
    <row r="173" spans="1:11" ht="15.75">
      <c r="A173" s="39" t="s">
        <v>83</v>
      </c>
      <c r="B173" s="39" t="s">
        <v>48</v>
      </c>
      <c r="C173" s="40" t="s">
        <v>793</v>
      </c>
      <c r="D173" s="41">
        <v>1199.7</v>
      </c>
      <c r="E173" s="41">
        <v>1199.7</v>
      </c>
      <c r="F173" s="41">
        <v>1199.7</v>
      </c>
      <c r="G173" s="41">
        <v>1199.7</v>
      </c>
      <c r="H173" s="41">
        <v>1199.7</v>
      </c>
      <c r="I173" s="41">
        <v>1199.7</v>
      </c>
      <c r="J173" s="41">
        <v>1199.7</v>
      </c>
      <c r="K173" s="41">
        <v>1199.7</v>
      </c>
    </row>
    <row r="174" spans="1:11" ht="15.75">
      <c r="A174" s="39" t="s">
        <v>91</v>
      </c>
      <c r="B174" s="42" t="s">
        <v>649</v>
      </c>
      <c r="C174" s="40" t="s">
        <v>794</v>
      </c>
      <c r="D174" s="41">
        <v>3029.4</v>
      </c>
      <c r="E174" s="41">
        <v>3029.4</v>
      </c>
      <c r="F174" s="41">
        <v>3029.4</v>
      </c>
      <c r="G174" s="41">
        <v>3029.4</v>
      </c>
      <c r="H174" s="41">
        <v>3029.4</v>
      </c>
      <c r="I174" s="41">
        <v>3029.4</v>
      </c>
      <c r="J174" s="41">
        <v>3029.4</v>
      </c>
      <c r="K174" s="41">
        <v>3029.4</v>
      </c>
    </row>
    <row r="175" spans="1:11" ht="15.75">
      <c r="A175" s="39" t="s">
        <v>83</v>
      </c>
      <c r="B175" s="39" t="s">
        <v>48</v>
      </c>
      <c r="C175" s="40" t="s">
        <v>795</v>
      </c>
      <c r="D175" s="41">
        <v>1019.7</v>
      </c>
      <c r="E175" s="41">
        <v>1019.7</v>
      </c>
      <c r="F175" s="41">
        <v>1019.7</v>
      </c>
      <c r="G175" s="41">
        <v>1019.7</v>
      </c>
      <c r="H175" s="41">
        <v>1019.7</v>
      </c>
      <c r="I175" s="41">
        <v>1019.7</v>
      </c>
      <c r="J175" s="41">
        <v>1019.7</v>
      </c>
      <c r="K175" s="41">
        <v>1019.7</v>
      </c>
    </row>
    <row r="176" spans="1:11" ht="15.75">
      <c r="A176" s="39" t="s">
        <v>91</v>
      </c>
      <c r="B176" s="39" t="s">
        <v>48</v>
      </c>
      <c r="C176" s="40" t="s">
        <v>796</v>
      </c>
      <c r="D176" s="41">
        <v>999</v>
      </c>
      <c r="E176" s="41">
        <v>999</v>
      </c>
      <c r="F176" s="41">
        <v>999</v>
      </c>
      <c r="G176" s="41">
        <v>999</v>
      </c>
      <c r="H176" s="41">
        <v>999</v>
      </c>
      <c r="I176" s="41">
        <v>999</v>
      </c>
      <c r="J176" s="41">
        <v>999</v>
      </c>
      <c r="K176" s="41">
        <v>999</v>
      </c>
    </row>
    <row r="177" spans="1:11" ht="15.75">
      <c r="A177" s="39" t="s">
        <v>91</v>
      </c>
      <c r="B177" s="39" t="s">
        <v>48</v>
      </c>
      <c r="C177" s="40" t="s">
        <v>800</v>
      </c>
      <c r="D177" s="41">
        <v>3099.6</v>
      </c>
      <c r="E177" s="41">
        <v>3099.6</v>
      </c>
      <c r="F177" s="41">
        <v>3099.6</v>
      </c>
      <c r="G177" s="41">
        <v>3099.6</v>
      </c>
      <c r="H177" s="41">
        <v>3099.6</v>
      </c>
      <c r="I177" s="41">
        <v>3099.6</v>
      </c>
      <c r="J177" s="41">
        <v>3099.6</v>
      </c>
      <c r="K177" s="41">
        <v>3099.6</v>
      </c>
    </row>
    <row r="178" spans="1:11" ht="15.75">
      <c r="A178" s="39" t="s">
        <v>83</v>
      </c>
      <c r="B178" s="39" t="s">
        <v>48</v>
      </c>
      <c r="C178" s="40" t="s">
        <v>801</v>
      </c>
      <c r="D178" s="41">
        <v>639</v>
      </c>
      <c r="E178" s="41">
        <v>639</v>
      </c>
      <c r="F178" s="41">
        <v>639</v>
      </c>
      <c r="G178" s="41">
        <v>639</v>
      </c>
      <c r="H178" s="41">
        <v>639</v>
      </c>
      <c r="I178" s="41">
        <v>639</v>
      </c>
      <c r="J178" s="41">
        <v>639</v>
      </c>
      <c r="K178" s="41">
        <v>639</v>
      </c>
    </row>
    <row r="179" spans="1:11" ht="15.75">
      <c r="A179" s="39" t="s">
        <v>45</v>
      </c>
      <c r="B179" s="39" t="s">
        <v>48</v>
      </c>
      <c r="C179" s="40" t="s">
        <v>802</v>
      </c>
      <c r="D179" s="41">
        <v>339.3</v>
      </c>
      <c r="E179" s="41">
        <v>339.3</v>
      </c>
      <c r="F179" s="41">
        <v>339.3</v>
      </c>
      <c r="G179" s="41">
        <v>339.3</v>
      </c>
      <c r="H179" s="41">
        <v>339.3</v>
      </c>
      <c r="I179" s="41">
        <v>339.3</v>
      </c>
      <c r="J179" s="41">
        <v>339.3</v>
      </c>
      <c r="K179" s="41">
        <v>339.3</v>
      </c>
    </row>
    <row r="180" spans="1:11" ht="15.75">
      <c r="A180" s="39" t="s">
        <v>45</v>
      </c>
      <c r="B180" s="39" t="s">
        <v>48</v>
      </c>
      <c r="C180" s="40" t="s">
        <v>803</v>
      </c>
      <c r="D180" s="41">
        <v>519.29999999999995</v>
      </c>
      <c r="E180" s="41">
        <v>519.29999999999995</v>
      </c>
      <c r="F180" s="41">
        <v>519.29999999999995</v>
      </c>
      <c r="G180" s="41">
        <v>519.29999999999995</v>
      </c>
      <c r="H180" s="41">
        <v>519.29999999999995</v>
      </c>
      <c r="I180" s="41">
        <v>519.29999999999995</v>
      </c>
      <c r="J180" s="41">
        <v>519.29999999999995</v>
      </c>
      <c r="K180" s="41">
        <v>519.29999999999995</v>
      </c>
    </row>
    <row r="181" spans="1:11" ht="15.75">
      <c r="A181" s="39" t="s">
        <v>45</v>
      </c>
      <c r="B181" s="39" t="s">
        <v>48</v>
      </c>
      <c r="C181" s="40" t="s">
        <v>804</v>
      </c>
      <c r="D181" s="41">
        <v>269.10000000000002</v>
      </c>
      <c r="E181" s="41">
        <v>269.10000000000002</v>
      </c>
      <c r="F181" s="41">
        <v>269.10000000000002</v>
      </c>
      <c r="G181" s="41">
        <v>269.10000000000002</v>
      </c>
      <c r="H181" s="41">
        <v>269.10000000000002</v>
      </c>
      <c r="I181" s="41">
        <v>269.10000000000002</v>
      </c>
      <c r="J181" s="41">
        <v>269.10000000000002</v>
      </c>
      <c r="K181" s="41">
        <v>269.10000000000002</v>
      </c>
    </row>
    <row r="182" spans="1:11" ht="15.75">
      <c r="A182" s="39" t="s">
        <v>83</v>
      </c>
      <c r="B182" s="39" t="s">
        <v>48</v>
      </c>
      <c r="C182" s="40" t="s">
        <v>805</v>
      </c>
      <c r="D182" s="41">
        <v>599.4</v>
      </c>
      <c r="E182" s="41">
        <v>599.4</v>
      </c>
      <c r="F182" s="41">
        <v>599.4</v>
      </c>
      <c r="G182" s="41">
        <v>599.4</v>
      </c>
      <c r="H182" s="41">
        <v>599.4</v>
      </c>
      <c r="I182" s="41">
        <v>599.4</v>
      </c>
      <c r="J182" s="41">
        <v>599.4</v>
      </c>
      <c r="K182" s="41">
        <v>599.4</v>
      </c>
    </row>
    <row r="183" spans="1:11" ht="15.75">
      <c r="A183" s="39" t="s">
        <v>45</v>
      </c>
      <c r="B183" s="39" t="s">
        <v>48</v>
      </c>
      <c r="C183" s="40" t="s">
        <v>806</v>
      </c>
      <c r="D183" s="41">
        <v>229.5</v>
      </c>
      <c r="E183" s="41">
        <v>229.5</v>
      </c>
      <c r="F183" s="41">
        <v>229.5</v>
      </c>
      <c r="G183" s="41">
        <v>229.5</v>
      </c>
      <c r="H183" s="41">
        <v>229.5</v>
      </c>
      <c r="I183" s="41">
        <v>229.5</v>
      </c>
      <c r="J183" s="41">
        <v>229.5</v>
      </c>
      <c r="K183" s="41">
        <v>229.5</v>
      </c>
    </row>
    <row r="184" spans="1:11" ht="15.75">
      <c r="A184" s="39" t="s">
        <v>45</v>
      </c>
      <c r="B184" s="39" t="s">
        <v>48</v>
      </c>
      <c r="C184" s="40" t="s">
        <v>807</v>
      </c>
      <c r="D184" s="41">
        <v>339.3</v>
      </c>
      <c r="E184" s="41">
        <v>339.3</v>
      </c>
      <c r="F184" s="41">
        <v>339.3</v>
      </c>
      <c r="G184" s="41">
        <v>339.3</v>
      </c>
      <c r="H184" s="41">
        <v>339.3</v>
      </c>
      <c r="I184" s="41">
        <v>339.3</v>
      </c>
      <c r="J184" s="41">
        <v>339.3</v>
      </c>
      <c r="K184" s="41">
        <v>339.3</v>
      </c>
    </row>
    <row r="185" spans="1:11" ht="15.75">
      <c r="A185" s="39" t="s">
        <v>91</v>
      </c>
      <c r="B185" s="39" t="s">
        <v>48</v>
      </c>
      <c r="C185" s="40" t="s">
        <v>808</v>
      </c>
      <c r="D185" s="41">
        <v>2149.1999999999998</v>
      </c>
      <c r="E185" s="41">
        <v>2149.1999999999998</v>
      </c>
      <c r="F185" s="41">
        <v>2149.1999999999998</v>
      </c>
      <c r="G185" s="41">
        <v>2149.1999999999998</v>
      </c>
      <c r="H185" s="41">
        <v>2149.1999999999998</v>
      </c>
      <c r="I185" s="41">
        <v>2149.1999999999998</v>
      </c>
      <c r="J185" s="41">
        <v>2149.1999999999998</v>
      </c>
      <c r="K185" s="41">
        <v>2149.1999999999998</v>
      </c>
    </row>
    <row r="186" spans="1:11" ht="15.75">
      <c r="A186" s="39" t="s">
        <v>91</v>
      </c>
      <c r="B186" s="39" t="s">
        <v>48</v>
      </c>
      <c r="C186" s="40" t="s">
        <v>809</v>
      </c>
      <c r="D186" s="41">
        <v>2248.1999999999998</v>
      </c>
      <c r="E186" s="41">
        <v>2248.1999999999998</v>
      </c>
      <c r="F186" s="41">
        <v>2248.1999999999998</v>
      </c>
      <c r="G186" s="41">
        <v>2248.1999999999998</v>
      </c>
      <c r="H186" s="41">
        <v>2248.1999999999998</v>
      </c>
      <c r="I186" s="41">
        <v>2248.1999999999998</v>
      </c>
      <c r="J186" s="41">
        <v>2248.1999999999998</v>
      </c>
      <c r="K186" s="41">
        <v>2248.1999999999998</v>
      </c>
    </row>
    <row r="187" spans="1:11" ht="15.75">
      <c r="A187" s="39" t="s">
        <v>45</v>
      </c>
      <c r="B187" s="39" t="s">
        <v>48</v>
      </c>
      <c r="C187" s="40" t="s">
        <v>810</v>
      </c>
      <c r="D187" s="41">
        <v>569.70000000000005</v>
      </c>
      <c r="E187" s="41">
        <v>569.70000000000005</v>
      </c>
      <c r="F187" s="41">
        <v>569.70000000000005</v>
      </c>
      <c r="G187" s="41">
        <v>569.70000000000005</v>
      </c>
      <c r="H187" s="41">
        <v>569.70000000000005</v>
      </c>
      <c r="I187" s="41">
        <v>569.70000000000005</v>
      </c>
      <c r="J187" s="41">
        <v>569.70000000000005</v>
      </c>
      <c r="K187" s="41">
        <v>569.70000000000005</v>
      </c>
    </row>
    <row r="188" spans="1:11" ht="15.75">
      <c r="A188" s="39" t="s">
        <v>45</v>
      </c>
      <c r="B188" s="39" t="s">
        <v>48</v>
      </c>
      <c r="C188" s="40" t="s">
        <v>811</v>
      </c>
      <c r="D188" s="41">
        <v>349.2</v>
      </c>
      <c r="E188" s="41">
        <v>349.2</v>
      </c>
      <c r="F188" s="41">
        <v>349.2</v>
      </c>
      <c r="G188" s="41">
        <v>349.2</v>
      </c>
      <c r="H188" s="41">
        <v>349.2</v>
      </c>
      <c r="I188" s="41">
        <v>349.2</v>
      </c>
      <c r="J188" s="41">
        <v>349.2</v>
      </c>
      <c r="K188" s="41">
        <v>349.2</v>
      </c>
    </row>
    <row r="189" spans="1:11" ht="15.75">
      <c r="A189" s="39" t="s">
        <v>83</v>
      </c>
      <c r="B189" s="39" t="s">
        <v>48</v>
      </c>
      <c r="C189" s="40" t="s">
        <v>812</v>
      </c>
      <c r="D189" s="41">
        <v>609.29999999999995</v>
      </c>
      <c r="E189" s="41">
        <v>609.29999999999995</v>
      </c>
      <c r="F189" s="41">
        <v>609.29999999999995</v>
      </c>
      <c r="G189" s="41">
        <v>609.29999999999995</v>
      </c>
      <c r="H189" s="41">
        <v>609.29999999999995</v>
      </c>
      <c r="I189" s="41">
        <v>609.29999999999995</v>
      </c>
      <c r="J189" s="41">
        <v>609.29999999999995</v>
      </c>
      <c r="K189" s="41">
        <v>609.29999999999995</v>
      </c>
    </row>
    <row r="190" spans="1:11" ht="15.75">
      <c r="A190" s="39" t="s">
        <v>91</v>
      </c>
      <c r="B190" s="39" t="s">
        <v>48</v>
      </c>
      <c r="C190" s="40" t="s">
        <v>813</v>
      </c>
      <c r="D190" s="41">
        <v>2649.6</v>
      </c>
      <c r="E190" s="41">
        <v>2649.6</v>
      </c>
      <c r="F190" s="41">
        <v>2649.6</v>
      </c>
      <c r="G190" s="41">
        <v>2649.6</v>
      </c>
      <c r="H190" s="41">
        <v>2649.6</v>
      </c>
      <c r="I190" s="41">
        <v>2649.6</v>
      </c>
      <c r="J190" s="41">
        <v>2649.6</v>
      </c>
      <c r="K190" s="41">
        <v>2649.6</v>
      </c>
    </row>
    <row r="191" spans="1:11" ht="15.75">
      <c r="A191" s="39" t="s">
        <v>91</v>
      </c>
      <c r="B191" s="39" t="s">
        <v>48</v>
      </c>
      <c r="C191" s="40" t="s">
        <v>814</v>
      </c>
      <c r="D191" s="41">
        <v>2748.6</v>
      </c>
      <c r="E191" s="41">
        <v>2748.6</v>
      </c>
      <c r="F191" s="41">
        <v>2748.6</v>
      </c>
      <c r="G191" s="41">
        <v>2748.6</v>
      </c>
      <c r="H191" s="41">
        <v>2748.6</v>
      </c>
      <c r="I191" s="41">
        <v>2748.6</v>
      </c>
      <c r="J191" s="41">
        <v>2748.6</v>
      </c>
      <c r="K191" s="41">
        <v>2748.6</v>
      </c>
    </row>
    <row r="192" spans="1:11" ht="15.75">
      <c r="A192" s="39" t="s">
        <v>91</v>
      </c>
      <c r="B192" s="39" t="s">
        <v>48</v>
      </c>
      <c r="C192" s="40" t="s">
        <v>815</v>
      </c>
      <c r="D192" s="41">
        <v>2369.6999999999998</v>
      </c>
      <c r="E192" s="41">
        <v>2369.6999999999998</v>
      </c>
      <c r="F192" s="41">
        <v>2369.6999999999998</v>
      </c>
      <c r="G192" s="41">
        <v>2369.6999999999998</v>
      </c>
      <c r="H192" s="41">
        <v>2369.6999999999998</v>
      </c>
      <c r="I192" s="41">
        <v>2369.6999999999998</v>
      </c>
      <c r="J192" s="41">
        <v>2369.6999999999998</v>
      </c>
      <c r="K192" s="41">
        <v>2369.6999999999998</v>
      </c>
    </row>
    <row r="193" spans="1:11" ht="15.75">
      <c r="A193" s="39" t="s">
        <v>91</v>
      </c>
      <c r="B193" s="39" t="s">
        <v>48</v>
      </c>
      <c r="C193" s="40" t="s">
        <v>816</v>
      </c>
      <c r="D193" s="41">
        <v>2468.6999999999998</v>
      </c>
      <c r="E193" s="41">
        <v>2468.6999999999998</v>
      </c>
      <c r="F193" s="41">
        <v>2468.6999999999998</v>
      </c>
      <c r="G193" s="41">
        <v>2468.6999999999998</v>
      </c>
      <c r="H193" s="41">
        <v>2468.6999999999998</v>
      </c>
      <c r="I193" s="41">
        <v>2468.6999999999998</v>
      </c>
      <c r="J193" s="41">
        <v>2468.6999999999998</v>
      </c>
      <c r="K193" s="41">
        <v>2468.6999999999998</v>
      </c>
    </row>
    <row r="194" spans="1:11" ht="15.75">
      <c r="A194" s="39" t="s">
        <v>83</v>
      </c>
      <c r="B194" s="39" t="s">
        <v>48</v>
      </c>
      <c r="C194" s="40" t="s">
        <v>817</v>
      </c>
      <c r="D194" s="41">
        <v>819</v>
      </c>
      <c r="E194" s="41">
        <v>819</v>
      </c>
      <c r="F194" s="41">
        <v>819</v>
      </c>
      <c r="G194" s="41">
        <v>819</v>
      </c>
      <c r="H194" s="41">
        <v>819</v>
      </c>
      <c r="I194" s="41">
        <v>819</v>
      </c>
      <c r="J194" s="41">
        <v>819</v>
      </c>
      <c r="K194" s="41">
        <v>819</v>
      </c>
    </row>
    <row r="195" spans="1:11" ht="15.75">
      <c r="A195" s="39" t="s">
        <v>91</v>
      </c>
      <c r="B195" s="42" t="s">
        <v>649</v>
      </c>
      <c r="C195" s="40" t="s">
        <v>818</v>
      </c>
      <c r="D195" s="41">
        <v>2999.7</v>
      </c>
      <c r="E195" s="41">
        <v>2999.7</v>
      </c>
      <c r="F195" s="41">
        <v>2999.7</v>
      </c>
      <c r="G195" s="41">
        <v>2999.7</v>
      </c>
      <c r="H195" s="41">
        <v>2999.7</v>
      </c>
      <c r="I195" s="41">
        <v>2999.7</v>
      </c>
      <c r="J195" s="41">
        <v>2999.7</v>
      </c>
      <c r="K195" s="41">
        <v>2999.7</v>
      </c>
    </row>
    <row r="196" spans="1:11" ht="15.75">
      <c r="A196" s="39" t="s">
        <v>66</v>
      </c>
      <c r="B196" s="39" t="s">
        <v>48</v>
      </c>
      <c r="C196" s="40" t="s">
        <v>819</v>
      </c>
      <c r="D196" s="41">
        <v>359.1</v>
      </c>
      <c r="E196" s="41">
        <v>359.1</v>
      </c>
      <c r="F196" s="41">
        <v>359.1</v>
      </c>
      <c r="G196" s="41">
        <v>359.1</v>
      </c>
      <c r="H196" s="41">
        <v>359.1</v>
      </c>
      <c r="I196" s="41">
        <v>359.1</v>
      </c>
      <c r="J196" s="41">
        <v>359.1</v>
      </c>
      <c r="K196" s="41">
        <v>359.1</v>
      </c>
    </row>
    <row r="197" spans="1:11" ht="15.75">
      <c r="A197" s="39" t="s">
        <v>66</v>
      </c>
      <c r="B197" s="39" t="s">
        <v>48</v>
      </c>
      <c r="C197" s="40" t="s">
        <v>820</v>
      </c>
      <c r="D197" s="41">
        <v>279</v>
      </c>
      <c r="E197" s="41">
        <v>279</v>
      </c>
      <c r="F197" s="41">
        <v>279</v>
      </c>
      <c r="G197" s="41">
        <v>279</v>
      </c>
      <c r="H197" s="41">
        <v>279</v>
      </c>
      <c r="I197" s="41">
        <v>279</v>
      </c>
      <c r="J197" s="41">
        <v>279</v>
      </c>
      <c r="K197" s="41">
        <v>279</v>
      </c>
    </row>
    <row r="198" spans="1:11" ht="15.75">
      <c r="A198" s="39" t="s">
        <v>45</v>
      </c>
      <c r="B198" s="39" t="s">
        <v>48</v>
      </c>
      <c r="C198" s="40" t="s">
        <v>821</v>
      </c>
      <c r="D198" s="41">
        <v>379.8</v>
      </c>
      <c r="E198" s="41">
        <v>379.8</v>
      </c>
      <c r="F198" s="41">
        <v>379.8</v>
      </c>
      <c r="G198" s="41">
        <v>379.8</v>
      </c>
      <c r="H198" s="41">
        <v>379.8</v>
      </c>
      <c r="I198" s="41">
        <v>379.8</v>
      </c>
      <c r="J198" s="41">
        <v>379.8</v>
      </c>
      <c r="K198" s="41">
        <v>379.8</v>
      </c>
    </row>
    <row r="199" spans="1:11" ht="15.75">
      <c r="A199" s="39" t="s">
        <v>45</v>
      </c>
      <c r="B199" s="39" t="s">
        <v>48</v>
      </c>
      <c r="C199" s="40" t="s">
        <v>822</v>
      </c>
      <c r="D199" s="41">
        <v>499.5</v>
      </c>
      <c r="E199" s="41">
        <v>499.5</v>
      </c>
      <c r="F199" s="41">
        <v>499.5</v>
      </c>
      <c r="G199" s="41">
        <v>499.5</v>
      </c>
      <c r="H199" s="41">
        <v>499.5</v>
      </c>
      <c r="I199" s="41">
        <v>499.5</v>
      </c>
      <c r="J199" s="41">
        <v>499.5</v>
      </c>
      <c r="K199" s="41">
        <v>499.5</v>
      </c>
    </row>
    <row r="200" spans="1:11" ht="15.75">
      <c r="A200" s="39" t="s">
        <v>45</v>
      </c>
      <c r="B200" s="39" t="s">
        <v>48</v>
      </c>
      <c r="C200" s="40" t="s">
        <v>823</v>
      </c>
      <c r="D200" s="41">
        <v>409.5</v>
      </c>
      <c r="E200" s="41">
        <v>409.5</v>
      </c>
      <c r="F200" s="41">
        <v>409.5</v>
      </c>
      <c r="G200" s="41">
        <v>409.5</v>
      </c>
      <c r="H200" s="41">
        <v>409.5</v>
      </c>
      <c r="I200" s="41">
        <v>409.5</v>
      </c>
      <c r="J200" s="41">
        <v>409.5</v>
      </c>
      <c r="K200" s="41">
        <v>409.5</v>
      </c>
    </row>
    <row r="201" spans="1:11" ht="15.75">
      <c r="A201" s="39" t="s">
        <v>45</v>
      </c>
      <c r="B201" s="39" t="s">
        <v>48</v>
      </c>
      <c r="C201" s="40" t="s">
        <v>824</v>
      </c>
      <c r="D201" s="41">
        <v>679.5</v>
      </c>
      <c r="E201" s="41">
        <v>679.5</v>
      </c>
      <c r="F201" s="41">
        <v>679.5</v>
      </c>
      <c r="G201" s="41">
        <v>679.5</v>
      </c>
      <c r="H201" s="41">
        <v>679.5</v>
      </c>
      <c r="I201" s="41">
        <v>679.5</v>
      </c>
      <c r="J201" s="41">
        <v>679.5</v>
      </c>
      <c r="K201" s="41">
        <v>679.5</v>
      </c>
    </row>
    <row r="202" spans="1:11" ht="15.75">
      <c r="A202" s="39" t="s">
        <v>45</v>
      </c>
      <c r="B202" s="39" t="s">
        <v>48</v>
      </c>
      <c r="C202" s="40" t="s">
        <v>825</v>
      </c>
      <c r="D202" s="41">
        <v>399.6</v>
      </c>
      <c r="E202" s="41">
        <v>399.6</v>
      </c>
      <c r="F202" s="41">
        <v>399.6</v>
      </c>
      <c r="G202" s="41">
        <v>399.6</v>
      </c>
      <c r="H202" s="41">
        <v>399.6</v>
      </c>
      <c r="I202" s="41">
        <v>399.6</v>
      </c>
      <c r="J202" s="41">
        <v>399.6</v>
      </c>
      <c r="K202" s="41">
        <v>399.6</v>
      </c>
    </row>
    <row r="203" spans="1:11" ht="15.75">
      <c r="A203" s="39" t="s">
        <v>91</v>
      </c>
      <c r="B203" s="39" t="s">
        <v>48</v>
      </c>
      <c r="C203" s="40" t="s">
        <v>826</v>
      </c>
      <c r="D203" s="41">
        <v>2388.6</v>
      </c>
      <c r="E203" s="41">
        <v>2388.6</v>
      </c>
      <c r="F203" s="41">
        <v>2388.6</v>
      </c>
      <c r="G203" s="41">
        <v>2388.6</v>
      </c>
      <c r="H203" s="41">
        <v>2388.6</v>
      </c>
      <c r="I203" s="41">
        <v>2388.6</v>
      </c>
      <c r="J203" s="41">
        <v>2388.6</v>
      </c>
      <c r="K203" s="41">
        <v>2388.6</v>
      </c>
    </row>
    <row r="204" spans="1:11" ht="15.75">
      <c r="A204" s="39" t="s">
        <v>91</v>
      </c>
      <c r="B204" s="39" t="s">
        <v>48</v>
      </c>
      <c r="C204" s="40" t="s">
        <v>827</v>
      </c>
      <c r="D204" s="41">
        <v>2499.3000000000002</v>
      </c>
      <c r="E204" s="41">
        <v>2499.3000000000002</v>
      </c>
      <c r="F204" s="41">
        <v>2499.3000000000002</v>
      </c>
      <c r="G204" s="41">
        <v>2499.3000000000002</v>
      </c>
      <c r="H204" s="41">
        <v>2499.3000000000002</v>
      </c>
      <c r="I204" s="41">
        <v>2499.3000000000002</v>
      </c>
      <c r="J204" s="41">
        <v>2499.3000000000002</v>
      </c>
      <c r="K204" s="41">
        <v>2499.3000000000002</v>
      </c>
    </row>
    <row r="205" spans="1:11" ht="15.75">
      <c r="A205" s="39" t="s">
        <v>91</v>
      </c>
      <c r="B205" s="39" t="s">
        <v>48</v>
      </c>
      <c r="C205" s="40" t="s">
        <v>828</v>
      </c>
      <c r="D205" s="41">
        <v>2999.7</v>
      </c>
      <c r="E205" s="41">
        <v>2999.7</v>
      </c>
      <c r="F205" s="41">
        <v>2999.7</v>
      </c>
      <c r="G205" s="41">
        <v>2999.7</v>
      </c>
      <c r="H205" s="41">
        <v>2999.7</v>
      </c>
      <c r="I205" s="41">
        <v>2999.7</v>
      </c>
      <c r="J205" s="41">
        <v>2999.7</v>
      </c>
      <c r="K205" s="41">
        <v>2999.7</v>
      </c>
    </row>
    <row r="206" spans="1:11" ht="15.75">
      <c r="A206" s="39" t="s">
        <v>91</v>
      </c>
      <c r="B206" s="39" t="s">
        <v>48</v>
      </c>
      <c r="C206" s="40" t="s">
        <v>829</v>
      </c>
      <c r="D206" s="41">
        <v>3019.5</v>
      </c>
      <c r="E206" s="41">
        <v>3019.5</v>
      </c>
      <c r="F206" s="41">
        <v>3019.5</v>
      </c>
      <c r="G206" s="41">
        <v>3019.5</v>
      </c>
      <c r="H206" s="41">
        <v>3019.5</v>
      </c>
      <c r="I206" s="41">
        <v>3019.5</v>
      </c>
      <c r="J206" s="41">
        <v>3019.5</v>
      </c>
      <c r="K206" s="41">
        <v>3019.5</v>
      </c>
    </row>
    <row r="207" spans="1:11" ht="15.75">
      <c r="A207" s="39" t="s">
        <v>91</v>
      </c>
      <c r="B207" s="39" t="s">
        <v>48</v>
      </c>
      <c r="C207" s="40" t="s">
        <v>830</v>
      </c>
      <c r="D207" s="41">
        <v>3009.6</v>
      </c>
      <c r="E207" s="41">
        <v>3009.6</v>
      </c>
      <c r="F207" s="41">
        <v>3009.6</v>
      </c>
      <c r="G207" s="41">
        <v>3009.6</v>
      </c>
      <c r="H207" s="41">
        <v>3009.6</v>
      </c>
      <c r="I207" s="41">
        <v>3009.6</v>
      </c>
      <c r="J207" s="41">
        <v>3009.6</v>
      </c>
      <c r="K207" s="41">
        <v>3009.6</v>
      </c>
    </row>
    <row r="208" spans="1:11" ht="15.75">
      <c r="A208" s="39" t="s">
        <v>91</v>
      </c>
      <c r="B208" s="39" t="s">
        <v>48</v>
      </c>
      <c r="C208" s="40" t="s">
        <v>831</v>
      </c>
      <c r="D208" s="41">
        <v>3039.3</v>
      </c>
      <c r="E208" s="41">
        <v>3039.3</v>
      </c>
      <c r="F208" s="41">
        <v>3039.3</v>
      </c>
      <c r="G208" s="41">
        <v>3039.3</v>
      </c>
      <c r="H208" s="41">
        <v>3039.3</v>
      </c>
      <c r="I208" s="41">
        <v>3039.3</v>
      </c>
      <c r="J208" s="41">
        <v>3039.3</v>
      </c>
      <c r="K208" s="41">
        <v>3039.3</v>
      </c>
    </row>
    <row r="209" spans="1:11" ht="15.75">
      <c r="A209" s="39" t="s">
        <v>91</v>
      </c>
      <c r="B209" s="39" t="s">
        <v>48</v>
      </c>
      <c r="C209" s="40" t="s">
        <v>832</v>
      </c>
      <c r="D209" s="41">
        <v>3089.7</v>
      </c>
      <c r="E209" s="41">
        <v>3089.7</v>
      </c>
      <c r="F209" s="41">
        <v>3089.7</v>
      </c>
      <c r="G209" s="41">
        <v>3089.7</v>
      </c>
      <c r="H209" s="41">
        <v>3089.7</v>
      </c>
      <c r="I209" s="41">
        <v>3089.7</v>
      </c>
      <c r="J209" s="41">
        <v>3089.7</v>
      </c>
      <c r="K209" s="41">
        <v>3089.7</v>
      </c>
    </row>
    <row r="210" spans="1:11" ht="15.75">
      <c r="A210" s="39" t="s">
        <v>91</v>
      </c>
      <c r="B210" s="39" t="s">
        <v>48</v>
      </c>
      <c r="C210" s="40" t="s">
        <v>833</v>
      </c>
      <c r="D210" s="41">
        <v>3349.8</v>
      </c>
      <c r="E210" s="41">
        <v>3349.8</v>
      </c>
      <c r="F210" s="41">
        <v>3349.8</v>
      </c>
      <c r="G210" s="41">
        <v>3349.8</v>
      </c>
      <c r="H210" s="41">
        <v>3349.8</v>
      </c>
      <c r="I210" s="41">
        <v>3349.8</v>
      </c>
      <c r="J210" s="41">
        <v>3349.8</v>
      </c>
      <c r="K210" s="41">
        <v>3349.8</v>
      </c>
    </row>
    <row r="211" spans="1:11" ht="15.75">
      <c r="A211" s="39" t="s">
        <v>91</v>
      </c>
      <c r="B211" s="39" t="s">
        <v>48</v>
      </c>
      <c r="C211" s="40" t="s">
        <v>834</v>
      </c>
      <c r="D211" s="41">
        <v>5689.8</v>
      </c>
      <c r="E211" s="41">
        <v>5689.8</v>
      </c>
      <c r="F211" s="41">
        <v>5689.8</v>
      </c>
      <c r="G211" s="41">
        <v>5689.8</v>
      </c>
      <c r="H211" s="41">
        <v>5689.8</v>
      </c>
      <c r="I211" s="41">
        <v>5689.8</v>
      </c>
      <c r="J211" s="41">
        <v>5689.8</v>
      </c>
      <c r="K211" s="41">
        <v>5689.8</v>
      </c>
    </row>
    <row r="212" spans="1:11" ht="15.75">
      <c r="A212" s="39" t="s">
        <v>835</v>
      </c>
      <c r="B212" s="39" t="s">
        <v>48</v>
      </c>
      <c r="C212" s="40" t="s">
        <v>836</v>
      </c>
      <c r="D212" s="41">
        <v>1929.6</v>
      </c>
      <c r="E212" s="41">
        <v>1929.6</v>
      </c>
      <c r="F212" s="41">
        <v>1929.6</v>
      </c>
      <c r="G212" s="41">
        <v>1929.6</v>
      </c>
      <c r="H212" s="41">
        <v>1929.6</v>
      </c>
      <c r="I212" s="41">
        <v>1929.6</v>
      </c>
      <c r="J212" s="41">
        <v>1929.6</v>
      </c>
      <c r="K212" s="41">
        <v>1929.6</v>
      </c>
    </row>
    <row r="213" spans="1:11" ht="15.75">
      <c r="A213" s="39" t="s">
        <v>83</v>
      </c>
      <c r="B213" s="39" t="s">
        <v>48</v>
      </c>
      <c r="C213" s="40" t="s">
        <v>837</v>
      </c>
      <c r="D213" s="41">
        <v>999</v>
      </c>
      <c r="E213" s="41">
        <v>999</v>
      </c>
      <c r="F213" s="41">
        <v>999</v>
      </c>
      <c r="G213" s="41">
        <v>999</v>
      </c>
      <c r="H213" s="41">
        <v>999</v>
      </c>
      <c r="I213" s="41">
        <v>999</v>
      </c>
      <c r="J213" s="41">
        <v>999</v>
      </c>
      <c r="K213" s="41">
        <v>999</v>
      </c>
    </row>
    <row r="214" spans="1:11" ht="15.75">
      <c r="A214" s="39" t="s">
        <v>91</v>
      </c>
      <c r="B214" s="39" t="s">
        <v>48</v>
      </c>
      <c r="C214" s="40" t="s">
        <v>838</v>
      </c>
      <c r="D214" s="41">
        <v>3899.7</v>
      </c>
      <c r="E214" s="41">
        <v>3899.7</v>
      </c>
      <c r="F214" s="41">
        <v>3899.7</v>
      </c>
      <c r="G214" s="41">
        <v>3899.7</v>
      </c>
      <c r="H214" s="41">
        <v>3899.7</v>
      </c>
      <c r="I214" s="41">
        <v>3899.7</v>
      </c>
      <c r="J214" s="41">
        <v>3899.7</v>
      </c>
      <c r="K214" s="41">
        <v>3899.7</v>
      </c>
    </row>
    <row r="215" spans="1:11" ht="15.75">
      <c r="A215" s="39" t="s">
        <v>83</v>
      </c>
      <c r="B215" s="39" t="s">
        <v>48</v>
      </c>
      <c r="C215" s="40" t="s">
        <v>293</v>
      </c>
      <c r="D215" s="41">
        <v>1109.7</v>
      </c>
      <c r="E215" s="41">
        <v>1109.7</v>
      </c>
      <c r="F215" s="41">
        <v>1109.7</v>
      </c>
      <c r="G215" s="41">
        <v>1109.7</v>
      </c>
      <c r="H215" s="41">
        <v>1109.7</v>
      </c>
      <c r="I215" s="41">
        <v>1109.7</v>
      </c>
      <c r="J215" s="41">
        <v>1109.7</v>
      </c>
      <c r="K215" s="41">
        <v>1109.7</v>
      </c>
    </row>
    <row r="216" spans="1:11" ht="15.75">
      <c r="A216" s="39" t="s">
        <v>83</v>
      </c>
      <c r="B216" s="45" t="s">
        <v>1014</v>
      </c>
      <c r="C216" s="40" t="s">
        <v>839</v>
      </c>
      <c r="D216" s="41">
        <v>549</v>
      </c>
      <c r="E216" s="41">
        <v>549</v>
      </c>
      <c r="F216" s="41">
        <v>549</v>
      </c>
      <c r="G216" s="41">
        <v>549</v>
      </c>
      <c r="H216" s="41">
        <v>549</v>
      </c>
      <c r="I216" s="41">
        <v>549</v>
      </c>
      <c r="J216" s="41">
        <v>549</v>
      </c>
      <c r="K216" s="41">
        <v>549</v>
      </c>
    </row>
    <row r="217" spans="1:11" ht="15.75">
      <c r="A217" s="39" t="s">
        <v>83</v>
      </c>
      <c r="B217" s="45" t="s">
        <v>1014</v>
      </c>
      <c r="C217" s="40" t="s">
        <v>840</v>
      </c>
      <c r="D217" s="41">
        <v>389.7</v>
      </c>
      <c r="E217" s="41">
        <v>389.7</v>
      </c>
      <c r="F217" s="41">
        <v>389.7</v>
      </c>
      <c r="G217" s="41">
        <v>389.7</v>
      </c>
      <c r="H217" s="41">
        <v>389.7</v>
      </c>
      <c r="I217" s="41">
        <v>389.7</v>
      </c>
      <c r="J217" s="41">
        <v>389.7</v>
      </c>
      <c r="K217" s="41">
        <v>389.7</v>
      </c>
    </row>
    <row r="218" spans="1:11" ht="15.75">
      <c r="A218" s="39" t="s">
        <v>45</v>
      </c>
      <c r="B218" s="39" t="s">
        <v>48</v>
      </c>
      <c r="C218" s="40" t="s">
        <v>841</v>
      </c>
      <c r="D218" s="41">
        <v>129.6</v>
      </c>
      <c r="E218" s="41">
        <v>129.6</v>
      </c>
      <c r="F218" s="41">
        <v>129.6</v>
      </c>
      <c r="G218" s="41">
        <v>129.6</v>
      </c>
      <c r="H218" s="41">
        <v>129.6</v>
      </c>
      <c r="I218" s="41">
        <v>129.6</v>
      </c>
      <c r="J218" s="41">
        <v>129.6</v>
      </c>
      <c r="K218" s="41">
        <v>129.6</v>
      </c>
    </row>
    <row r="219" spans="1:11" ht="15.75">
      <c r="A219" s="39" t="s">
        <v>45</v>
      </c>
      <c r="B219" s="39" t="s">
        <v>48</v>
      </c>
      <c r="C219" s="40" t="s">
        <v>842</v>
      </c>
      <c r="D219" s="41">
        <v>1059.3</v>
      </c>
      <c r="E219" s="41">
        <v>1059.3</v>
      </c>
      <c r="F219" s="41">
        <v>1059.3</v>
      </c>
      <c r="G219" s="41">
        <v>1059.3</v>
      </c>
      <c r="H219" s="41">
        <v>1059.3</v>
      </c>
      <c r="I219" s="41">
        <v>1059.3</v>
      </c>
      <c r="J219" s="41">
        <v>1059.3</v>
      </c>
      <c r="K219" s="41">
        <v>1059.3</v>
      </c>
    </row>
    <row r="220" spans="1:11" ht="15.75">
      <c r="A220" s="39" t="s">
        <v>83</v>
      </c>
      <c r="B220" s="39" t="s">
        <v>48</v>
      </c>
      <c r="C220" s="40" t="s">
        <v>843</v>
      </c>
      <c r="D220" s="41">
        <v>699.3</v>
      </c>
      <c r="E220" s="41">
        <v>699.3</v>
      </c>
      <c r="F220" s="41">
        <v>699.3</v>
      </c>
      <c r="G220" s="41">
        <v>699.3</v>
      </c>
      <c r="H220" s="41">
        <v>699.3</v>
      </c>
      <c r="I220" s="41">
        <v>699.3</v>
      </c>
      <c r="J220" s="41">
        <v>699.3</v>
      </c>
      <c r="K220" s="41">
        <v>699.3</v>
      </c>
    </row>
    <row r="221" spans="1:11" ht="15.75">
      <c r="A221" s="39" t="s">
        <v>83</v>
      </c>
      <c r="B221" s="39" t="s">
        <v>48</v>
      </c>
      <c r="C221" s="40" t="s">
        <v>844</v>
      </c>
      <c r="D221" s="41">
        <v>699.3</v>
      </c>
      <c r="E221" s="41">
        <v>699.3</v>
      </c>
      <c r="F221" s="41">
        <v>699.3</v>
      </c>
      <c r="G221" s="41">
        <v>699.3</v>
      </c>
      <c r="H221" s="41">
        <v>699.3</v>
      </c>
      <c r="I221" s="41">
        <v>699.3</v>
      </c>
      <c r="J221" s="41">
        <v>699.3</v>
      </c>
      <c r="K221" s="41">
        <v>699.3</v>
      </c>
    </row>
    <row r="222" spans="1:11" ht="15.75">
      <c r="A222" s="39" t="s">
        <v>83</v>
      </c>
      <c r="B222" s="39" t="s">
        <v>48</v>
      </c>
      <c r="C222" s="40" t="s">
        <v>845</v>
      </c>
      <c r="D222" s="41">
        <v>699.3</v>
      </c>
      <c r="E222" s="41">
        <v>699.3</v>
      </c>
      <c r="F222" s="41">
        <v>699.3</v>
      </c>
      <c r="G222" s="41">
        <v>699.3</v>
      </c>
      <c r="H222" s="41">
        <v>699.3</v>
      </c>
      <c r="I222" s="41">
        <v>699.3</v>
      </c>
      <c r="J222" s="41">
        <v>699.3</v>
      </c>
      <c r="K222" s="41">
        <v>699.3</v>
      </c>
    </row>
    <row r="223" spans="1:11" ht="15.75">
      <c r="A223" s="39" t="s">
        <v>91</v>
      </c>
      <c r="B223" s="39" t="s">
        <v>48</v>
      </c>
      <c r="C223" s="40" t="s">
        <v>846</v>
      </c>
      <c r="D223" s="41">
        <v>2599.1999999999998</v>
      </c>
      <c r="E223" s="41">
        <v>2599.1999999999998</v>
      </c>
      <c r="F223" s="41">
        <v>2599.1999999999998</v>
      </c>
      <c r="G223" s="41">
        <v>2599.1999999999998</v>
      </c>
      <c r="H223" s="41">
        <v>2599.1999999999998</v>
      </c>
      <c r="I223" s="41">
        <v>2599.1999999999998</v>
      </c>
      <c r="J223" s="41">
        <v>2599.1999999999998</v>
      </c>
      <c r="K223" s="41">
        <v>2599.1999999999998</v>
      </c>
    </row>
    <row r="224" spans="1:11" ht="15.75">
      <c r="A224" s="39" t="s">
        <v>91</v>
      </c>
      <c r="B224" s="39" t="s">
        <v>48</v>
      </c>
      <c r="C224" s="40" t="s">
        <v>847</v>
      </c>
      <c r="D224" s="41">
        <v>1459.8</v>
      </c>
      <c r="E224" s="41">
        <v>1459.8</v>
      </c>
      <c r="F224" s="41">
        <v>1459.8</v>
      </c>
      <c r="G224" s="41">
        <v>1459.8</v>
      </c>
      <c r="H224" s="41">
        <v>1459.8</v>
      </c>
      <c r="I224" s="41">
        <v>1459.8</v>
      </c>
      <c r="J224" s="41">
        <v>1459.8</v>
      </c>
      <c r="K224" s="41">
        <v>1459.8</v>
      </c>
    </row>
    <row r="225" spans="1:11" ht="15.75">
      <c r="A225" s="39" t="s">
        <v>83</v>
      </c>
      <c r="B225" s="39" t="s">
        <v>48</v>
      </c>
      <c r="C225" s="40" t="s">
        <v>848</v>
      </c>
      <c r="D225" s="41">
        <v>459</v>
      </c>
      <c r="E225" s="41">
        <v>459</v>
      </c>
      <c r="F225" s="41">
        <v>459</v>
      </c>
      <c r="G225" s="41">
        <v>459</v>
      </c>
      <c r="H225" s="41">
        <v>459</v>
      </c>
      <c r="I225" s="41">
        <v>459</v>
      </c>
      <c r="J225" s="41">
        <v>459</v>
      </c>
      <c r="K225" s="41">
        <v>459</v>
      </c>
    </row>
    <row r="226" spans="1:11" ht="15.75">
      <c r="A226" s="39" t="s">
        <v>91</v>
      </c>
      <c r="B226" s="45" t="s">
        <v>1014</v>
      </c>
      <c r="C226" s="40" t="s">
        <v>849</v>
      </c>
      <c r="D226" s="41">
        <v>359.1</v>
      </c>
      <c r="E226" s="41">
        <v>359.1</v>
      </c>
      <c r="F226" s="41">
        <v>359.1</v>
      </c>
      <c r="G226" s="41">
        <v>359.1</v>
      </c>
      <c r="H226" s="41">
        <v>359.1</v>
      </c>
      <c r="I226" s="41">
        <v>359.1</v>
      </c>
      <c r="J226" s="41">
        <v>359.1</v>
      </c>
      <c r="K226" s="41">
        <v>359.1</v>
      </c>
    </row>
    <row r="227" spans="1:11" ht="15.75">
      <c r="A227" s="39" t="s">
        <v>45</v>
      </c>
      <c r="B227" s="45" t="s">
        <v>1014</v>
      </c>
      <c r="C227" s="40" t="s">
        <v>850</v>
      </c>
      <c r="D227" s="41">
        <v>549</v>
      </c>
      <c r="E227" s="41">
        <v>549</v>
      </c>
      <c r="F227" s="41">
        <v>549</v>
      </c>
      <c r="G227" s="41">
        <v>549</v>
      </c>
      <c r="H227" s="41">
        <v>549</v>
      </c>
      <c r="I227" s="41">
        <v>549</v>
      </c>
      <c r="J227" s="41">
        <v>549</v>
      </c>
      <c r="K227" s="41">
        <v>549</v>
      </c>
    </row>
    <row r="228" spans="1:11" ht="15.75">
      <c r="A228" s="39" t="s">
        <v>91</v>
      </c>
      <c r="B228" s="39" t="s">
        <v>48</v>
      </c>
      <c r="C228" s="40" t="s">
        <v>851</v>
      </c>
      <c r="D228" s="41">
        <v>1959.3</v>
      </c>
      <c r="E228" s="41">
        <v>1959.3</v>
      </c>
      <c r="F228" s="41">
        <v>1959.3</v>
      </c>
      <c r="G228" s="41">
        <v>1959.3</v>
      </c>
      <c r="H228" s="41">
        <v>1959.3</v>
      </c>
      <c r="I228" s="41">
        <v>1959.3</v>
      </c>
      <c r="J228" s="41">
        <v>1959.3</v>
      </c>
      <c r="K228" s="41">
        <v>1959.3</v>
      </c>
    </row>
    <row r="229" spans="1:11" ht="15.75">
      <c r="A229" s="39" t="s">
        <v>45</v>
      </c>
      <c r="B229" s="39" t="s">
        <v>48</v>
      </c>
      <c r="C229" s="40" t="s">
        <v>852</v>
      </c>
      <c r="D229" s="41">
        <v>589.5</v>
      </c>
      <c r="E229" s="41">
        <v>589.5</v>
      </c>
      <c r="F229" s="41">
        <v>589.5</v>
      </c>
      <c r="G229" s="41">
        <v>589.5</v>
      </c>
      <c r="H229" s="41">
        <v>589.5</v>
      </c>
      <c r="I229" s="41">
        <v>589.5</v>
      </c>
      <c r="J229" s="41">
        <v>589.5</v>
      </c>
      <c r="K229" s="41">
        <v>589.5</v>
      </c>
    </row>
    <row r="230" spans="1:11" ht="15.75">
      <c r="A230" s="39" t="s">
        <v>45</v>
      </c>
      <c r="B230" s="39" t="s">
        <v>48</v>
      </c>
      <c r="C230" s="40" t="s">
        <v>853</v>
      </c>
      <c r="D230" s="41">
        <v>959.4</v>
      </c>
      <c r="E230" s="41">
        <v>959.4</v>
      </c>
      <c r="F230" s="41">
        <v>959.4</v>
      </c>
      <c r="G230" s="41">
        <v>959.4</v>
      </c>
      <c r="H230" s="41">
        <v>959.4</v>
      </c>
      <c r="I230" s="41">
        <v>959.4</v>
      </c>
      <c r="J230" s="41">
        <v>959.4</v>
      </c>
      <c r="K230" s="41">
        <v>959.4</v>
      </c>
    </row>
    <row r="231" spans="1:11" ht="15.75">
      <c r="A231" s="39" t="s">
        <v>91</v>
      </c>
      <c r="B231" s="39" t="s">
        <v>48</v>
      </c>
      <c r="C231" s="40" t="s">
        <v>854</v>
      </c>
      <c r="D231" s="41">
        <v>1999.8</v>
      </c>
      <c r="E231" s="41">
        <v>1999.8</v>
      </c>
      <c r="F231" s="41">
        <v>1999.8</v>
      </c>
      <c r="G231" s="41">
        <v>1999.8</v>
      </c>
      <c r="H231" s="41">
        <v>1999.8</v>
      </c>
      <c r="I231" s="41">
        <v>1999.8</v>
      </c>
      <c r="J231" s="41">
        <v>1999.8</v>
      </c>
      <c r="K231" s="41">
        <v>1999.8</v>
      </c>
    </row>
    <row r="232" spans="1:11" ht="15.75">
      <c r="A232" s="39" t="s">
        <v>835</v>
      </c>
      <c r="B232" s="39" t="s">
        <v>48</v>
      </c>
      <c r="C232" s="40" t="s">
        <v>855</v>
      </c>
      <c r="D232" s="41">
        <v>2029.5</v>
      </c>
      <c r="E232" s="41">
        <v>2029.5</v>
      </c>
      <c r="F232" s="41">
        <v>2029.5</v>
      </c>
      <c r="G232" s="41">
        <v>2029.5</v>
      </c>
      <c r="H232" s="41">
        <v>2029.5</v>
      </c>
      <c r="I232" s="41">
        <v>2029.5</v>
      </c>
      <c r="J232" s="41">
        <v>2029.5</v>
      </c>
      <c r="K232" s="41">
        <v>2029.5</v>
      </c>
    </row>
    <row r="233" spans="1:11" ht="15.75">
      <c r="A233" s="39" t="s">
        <v>91</v>
      </c>
      <c r="B233" s="39" t="s">
        <v>48</v>
      </c>
      <c r="C233" s="40" t="s">
        <v>856</v>
      </c>
      <c r="D233" s="41">
        <v>2359.8000000000002</v>
      </c>
      <c r="E233" s="41">
        <v>2359.8000000000002</v>
      </c>
      <c r="F233" s="41">
        <v>2359.8000000000002</v>
      </c>
      <c r="G233" s="41">
        <v>2359.8000000000002</v>
      </c>
      <c r="H233" s="41">
        <v>2359.8000000000002</v>
      </c>
      <c r="I233" s="41">
        <v>2359.8000000000002</v>
      </c>
      <c r="J233" s="41">
        <v>2359.8000000000002</v>
      </c>
      <c r="K233" s="41">
        <v>2359.8000000000002</v>
      </c>
    </row>
    <row r="234" spans="1:11" ht="15.75">
      <c r="A234" s="39" t="s">
        <v>91</v>
      </c>
      <c r="B234" s="39" t="s">
        <v>48</v>
      </c>
      <c r="C234" s="40" t="s">
        <v>857</v>
      </c>
      <c r="D234" s="41">
        <v>5499</v>
      </c>
      <c r="E234" s="41">
        <v>5499</v>
      </c>
      <c r="F234" s="41">
        <v>5499</v>
      </c>
      <c r="G234" s="41">
        <v>5499</v>
      </c>
      <c r="H234" s="41">
        <v>5499</v>
      </c>
      <c r="I234" s="41">
        <v>5499</v>
      </c>
      <c r="J234" s="41">
        <v>5499</v>
      </c>
      <c r="K234" s="41">
        <v>5499</v>
      </c>
    </row>
    <row r="235" spans="1:11" ht="15.75">
      <c r="A235" s="39" t="s">
        <v>91</v>
      </c>
      <c r="B235" s="39" t="s">
        <v>48</v>
      </c>
      <c r="C235" s="40" t="s">
        <v>858</v>
      </c>
      <c r="D235" s="41">
        <v>7319.7</v>
      </c>
      <c r="E235" s="41">
        <v>7319.7</v>
      </c>
      <c r="F235" s="41">
        <v>7319.7</v>
      </c>
      <c r="G235" s="41">
        <v>7319.7</v>
      </c>
      <c r="H235" s="41">
        <v>7319.7</v>
      </c>
      <c r="I235" s="41">
        <v>7319.7</v>
      </c>
      <c r="J235" s="41">
        <v>7319.7</v>
      </c>
      <c r="K235" s="41">
        <v>7319.7</v>
      </c>
    </row>
    <row r="236" spans="1:11" ht="15.75">
      <c r="A236" s="39" t="s">
        <v>66</v>
      </c>
      <c r="B236" s="39" t="s">
        <v>48</v>
      </c>
      <c r="C236" s="40" t="s">
        <v>859</v>
      </c>
      <c r="D236" s="41">
        <v>349.2</v>
      </c>
      <c r="E236" s="41">
        <v>349.2</v>
      </c>
      <c r="F236" s="41">
        <v>349.2</v>
      </c>
      <c r="G236" s="41">
        <v>349.2</v>
      </c>
      <c r="H236" s="41">
        <v>349.2</v>
      </c>
      <c r="I236" s="41">
        <v>349.2</v>
      </c>
      <c r="J236" s="41">
        <v>349.2</v>
      </c>
      <c r="K236" s="41">
        <v>349.2</v>
      </c>
    </row>
    <row r="237" spans="1:11" ht="15.75">
      <c r="A237" s="39" t="s">
        <v>91</v>
      </c>
      <c r="B237" s="39" t="s">
        <v>48</v>
      </c>
      <c r="C237" s="40" t="s">
        <v>860</v>
      </c>
      <c r="D237" s="41">
        <v>4349.7</v>
      </c>
      <c r="E237" s="41">
        <v>4349.7</v>
      </c>
      <c r="F237" s="41">
        <v>4349.7</v>
      </c>
      <c r="G237" s="41">
        <v>4349.7</v>
      </c>
      <c r="H237" s="41">
        <v>4349.7</v>
      </c>
      <c r="I237" s="41">
        <v>4349.7</v>
      </c>
      <c r="J237" s="41">
        <v>4349.7</v>
      </c>
      <c r="K237" s="41">
        <v>4349.7</v>
      </c>
    </row>
    <row r="238" spans="1:11" ht="15.75">
      <c r="A238" s="39" t="s">
        <v>91</v>
      </c>
      <c r="B238" s="39" t="s">
        <v>48</v>
      </c>
      <c r="C238" s="40" t="s">
        <v>861</v>
      </c>
      <c r="D238" s="41">
        <v>5869.8</v>
      </c>
      <c r="E238" s="41">
        <v>5869.8</v>
      </c>
      <c r="F238" s="41">
        <v>5869.8</v>
      </c>
      <c r="G238" s="41">
        <v>5869.8</v>
      </c>
      <c r="H238" s="41">
        <v>5869.8</v>
      </c>
      <c r="I238" s="41">
        <v>5869.8</v>
      </c>
      <c r="J238" s="41">
        <v>5869.8</v>
      </c>
      <c r="K238" s="41">
        <v>5869.8</v>
      </c>
    </row>
    <row r="239" spans="1:11" ht="15.75">
      <c r="A239" s="39" t="s">
        <v>91</v>
      </c>
      <c r="B239" s="39" t="s">
        <v>48</v>
      </c>
      <c r="C239" s="40" t="s">
        <v>862</v>
      </c>
      <c r="D239" s="41">
        <v>3149.1</v>
      </c>
      <c r="E239" s="41">
        <v>3149.1</v>
      </c>
      <c r="F239" s="41">
        <v>3149.1</v>
      </c>
      <c r="G239" s="41">
        <v>3149.1</v>
      </c>
      <c r="H239" s="41">
        <v>3149.1</v>
      </c>
      <c r="I239" s="41">
        <v>3149.1</v>
      </c>
      <c r="J239" s="41">
        <v>3149.1</v>
      </c>
      <c r="K239" s="41">
        <v>3149.1</v>
      </c>
    </row>
    <row r="240" spans="1:11" ht="15.75">
      <c r="A240" s="39" t="s">
        <v>91</v>
      </c>
      <c r="B240" s="39" t="s">
        <v>48</v>
      </c>
      <c r="C240" s="40" t="s">
        <v>863</v>
      </c>
      <c r="D240" s="41">
        <v>5369.4</v>
      </c>
      <c r="E240" s="41">
        <v>5369.4</v>
      </c>
      <c r="F240" s="41">
        <v>5369.4</v>
      </c>
      <c r="G240" s="41">
        <v>5369.4</v>
      </c>
      <c r="H240" s="41">
        <v>5369.4</v>
      </c>
      <c r="I240" s="41">
        <v>5369.4</v>
      </c>
      <c r="J240" s="41">
        <v>5369.4</v>
      </c>
      <c r="K240" s="41">
        <v>5369.4</v>
      </c>
    </row>
    <row r="241" spans="1:11" ht="15.75">
      <c r="A241" s="39" t="s">
        <v>91</v>
      </c>
      <c r="B241" s="39" t="s">
        <v>48</v>
      </c>
      <c r="C241" s="40" t="s">
        <v>864</v>
      </c>
      <c r="D241" s="41">
        <v>5789.7</v>
      </c>
      <c r="E241" s="41">
        <v>5789.7</v>
      </c>
      <c r="F241" s="41">
        <v>5789.7</v>
      </c>
      <c r="G241" s="41">
        <v>5789.7</v>
      </c>
      <c r="H241" s="41">
        <v>5789.7</v>
      </c>
      <c r="I241" s="41">
        <v>5789.7</v>
      </c>
      <c r="J241" s="41">
        <v>5789.7</v>
      </c>
      <c r="K241" s="41">
        <v>5789.7</v>
      </c>
    </row>
    <row r="242" spans="1:11" ht="15.75">
      <c r="A242" s="39" t="s">
        <v>91</v>
      </c>
      <c r="B242" s="39" t="s">
        <v>48</v>
      </c>
      <c r="C242" s="40" t="s">
        <v>866</v>
      </c>
      <c r="D242" s="41">
        <v>6219</v>
      </c>
      <c r="E242" s="41">
        <v>6219</v>
      </c>
      <c r="F242" s="41">
        <v>6219</v>
      </c>
      <c r="G242" s="41">
        <v>6219</v>
      </c>
      <c r="H242" s="41">
        <v>6219</v>
      </c>
      <c r="I242" s="41">
        <v>6219</v>
      </c>
      <c r="J242" s="41">
        <v>6219</v>
      </c>
      <c r="K242" s="41">
        <v>6219</v>
      </c>
    </row>
    <row r="243" spans="1:11" ht="15.75">
      <c r="A243" s="39" t="s">
        <v>83</v>
      </c>
      <c r="B243" s="39" t="s">
        <v>48</v>
      </c>
      <c r="C243" s="40" t="s">
        <v>868</v>
      </c>
      <c r="D243" s="41">
        <v>1799.1</v>
      </c>
      <c r="E243" s="41">
        <v>1799.1</v>
      </c>
      <c r="F243" s="41">
        <v>1799.1</v>
      </c>
      <c r="G243" s="41">
        <v>1799.1</v>
      </c>
      <c r="H243" s="41">
        <v>1799.1</v>
      </c>
      <c r="I243" s="41">
        <v>1799.1</v>
      </c>
      <c r="J243" s="41">
        <v>1799.1</v>
      </c>
      <c r="K243" s="41">
        <v>1799.1</v>
      </c>
    </row>
    <row r="244" spans="1:11" ht="15.75">
      <c r="A244" s="39" t="s">
        <v>45</v>
      </c>
      <c r="B244" s="39" t="s">
        <v>48</v>
      </c>
      <c r="C244" s="40" t="s">
        <v>865</v>
      </c>
      <c r="D244" s="41">
        <v>749.7</v>
      </c>
      <c r="E244" s="41">
        <v>749.7</v>
      </c>
      <c r="F244" s="41">
        <v>749.7</v>
      </c>
      <c r="G244" s="41">
        <v>749.7</v>
      </c>
      <c r="H244" s="41">
        <v>749.7</v>
      </c>
      <c r="I244" s="41">
        <v>749.7</v>
      </c>
      <c r="J244" s="41">
        <v>749.7</v>
      </c>
      <c r="K244" s="41">
        <v>749.7</v>
      </c>
    </row>
    <row r="245" spans="1:11" ht="15.75">
      <c r="A245" s="39" t="s">
        <v>45</v>
      </c>
      <c r="B245" s="39" t="s">
        <v>48</v>
      </c>
      <c r="C245" s="40" t="s">
        <v>867</v>
      </c>
      <c r="D245" s="41">
        <v>999</v>
      </c>
      <c r="E245" s="41">
        <v>999</v>
      </c>
      <c r="F245" s="41">
        <v>999</v>
      </c>
      <c r="G245" s="41">
        <v>999</v>
      </c>
      <c r="H245" s="41">
        <v>999</v>
      </c>
      <c r="I245" s="41">
        <v>999</v>
      </c>
      <c r="J245" s="41">
        <v>999</v>
      </c>
      <c r="K245" s="41">
        <v>999</v>
      </c>
    </row>
    <row r="246" spans="1:11" ht="15.75">
      <c r="A246" s="39" t="s">
        <v>83</v>
      </c>
      <c r="B246" s="39" t="s">
        <v>48</v>
      </c>
      <c r="C246" s="40" t="s">
        <v>869</v>
      </c>
      <c r="D246" s="41">
        <v>1169.0999999999999</v>
      </c>
      <c r="E246" s="41">
        <v>1169.0999999999999</v>
      </c>
      <c r="F246" s="41">
        <v>1169.0999999999999</v>
      </c>
      <c r="G246" s="41">
        <v>1169.0999999999999</v>
      </c>
      <c r="H246" s="41">
        <v>1169.0999999999999</v>
      </c>
      <c r="I246" s="41">
        <v>1169.0999999999999</v>
      </c>
      <c r="J246" s="41">
        <v>1169.0999999999999</v>
      </c>
      <c r="K246" s="41">
        <v>1169.0999999999999</v>
      </c>
    </row>
    <row r="247" spans="1:11" ht="15.75">
      <c r="A247" s="39" t="s">
        <v>91</v>
      </c>
      <c r="B247" s="39" t="s">
        <v>48</v>
      </c>
      <c r="C247" s="40" t="s">
        <v>870</v>
      </c>
      <c r="D247" s="41">
        <v>2929.5</v>
      </c>
      <c r="E247" s="41">
        <v>2929.5</v>
      </c>
      <c r="F247" s="41">
        <v>2929.5</v>
      </c>
      <c r="G247" s="41">
        <v>2929.5</v>
      </c>
      <c r="H247" s="41">
        <v>2929.5</v>
      </c>
      <c r="I247" s="41">
        <v>2929.5</v>
      </c>
      <c r="J247" s="41">
        <v>2929.5</v>
      </c>
      <c r="K247" s="41">
        <v>2929.5</v>
      </c>
    </row>
    <row r="248" spans="1:11" ht="15.75">
      <c r="A248" s="39" t="s">
        <v>45</v>
      </c>
      <c r="B248" s="45" t="s">
        <v>1014</v>
      </c>
      <c r="C248" s="40" t="s">
        <v>871</v>
      </c>
      <c r="D248" s="41">
        <v>349.2</v>
      </c>
      <c r="E248" s="41">
        <v>349.2</v>
      </c>
      <c r="F248" s="41">
        <v>349.2</v>
      </c>
      <c r="G248" s="41">
        <v>349.2</v>
      </c>
      <c r="H248" s="41">
        <v>349.2</v>
      </c>
      <c r="I248" s="41">
        <v>349.2</v>
      </c>
      <c r="J248" s="41">
        <v>349.2</v>
      </c>
      <c r="K248" s="41">
        <v>349.2</v>
      </c>
    </row>
    <row r="249" spans="1:11" ht="15.75">
      <c r="A249" s="39" t="s">
        <v>83</v>
      </c>
      <c r="B249" s="39" t="s">
        <v>48</v>
      </c>
      <c r="C249" s="40" t="s">
        <v>872</v>
      </c>
      <c r="D249" s="41">
        <v>1589.4</v>
      </c>
      <c r="E249" s="41">
        <v>1589.4</v>
      </c>
      <c r="F249" s="41">
        <v>1589.4</v>
      </c>
      <c r="G249" s="41">
        <v>1589.4</v>
      </c>
      <c r="H249" s="41">
        <v>1589.4</v>
      </c>
      <c r="I249" s="41">
        <v>1589.4</v>
      </c>
      <c r="J249" s="41">
        <v>1589.4</v>
      </c>
      <c r="K249" s="41">
        <v>1589.4</v>
      </c>
    </row>
    <row r="250" spans="1:11" ht="15.75">
      <c r="A250" s="39" t="s">
        <v>211</v>
      </c>
      <c r="B250" s="39" t="s">
        <v>48</v>
      </c>
      <c r="C250" s="40" t="s">
        <v>407</v>
      </c>
      <c r="D250" s="41">
        <v>289.8</v>
      </c>
      <c r="E250" s="41">
        <v>289.8</v>
      </c>
      <c r="F250" s="41">
        <v>289.8</v>
      </c>
      <c r="G250" s="41">
        <v>289.8</v>
      </c>
      <c r="H250" s="41">
        <v>289.8</v>
      </c>
      <c r="I250" s="41">
        <v>289.8</v>
      </c>
      <c r="J250" s="41">
        <v>289.8</v>
      </c>
      <c r="K250" s="41">
        <v>289.8</v>
      </c>
    </row>
    <row r="251" spans="1:11" ht="15.75">
      <c r="A251" s="39" t="s">
        <v>91</v>
      </c>
      <c r="B251" s="39" t="s">
        <v>48</v>
      </c>
      <c r="C251" s="40" t="s">
        <v>873</v>
      </c>
      <c r="D251" s="41">
        <v>4978.8</v>
      </c>
      <c r="E251" s="41">
        <v>4978.8</v>
      </c>
      <c r="F251" s="41">
        <v>4978.8</v>
      </c>
      <c r="G251" s="41">
        <v>4978.8</v>
      </c>
      <c r="H251" s="41">
        <v>4978.8</v>
      </c>
      <c r="I251" s="41">
        <v>4978.8</v>
      </c>
      <c r="J251" s="41">
        <v>4978.8</v>
      </c>
      <c r="K251" s="41">
        <v>4978.8</v>
      </c>
    </row>
    <row r="252" spans="1:11" ht="15.75">
      <c r="A252" s="39" t="s">
        <v>91</v>
      </c>
      <c r="B252" s="39" t="s">
        <v>48</v>
      </c>
      <c r="C252" s="40" t="s">
        <v>874</v>
      </c>
      <c r="D252" s="41">
        <v>1799.1</v>
      </c>
      <c r="E252" s="41">
        <v>1799.1</v>
      </c>
      <c r="F252" s="41">
        <v>1799.1</v>
      </c>
      <c r="G252" s="41">
        <v>1799.1</v>
      </c>
      <c r="H252" s="41">
        <v>1799.1</v>
      </c>
      <c r="I252" s="41">
        <v>1799.1</v>
      </c>
      <c r="J252" s="41">
        <v>1799.1</v>
      </c>
      <c r="K252" s="41">
        <v>1799.1</v>
      </c>
    </row>
    <row r="253" spans="1:11" ht="15.75">
      <c r="A253" s="39" t="s">
        <v>45</v>
      </c>
      <c r="B253" s="39" t="s">
        <v>48</v>
      </c>
      <c r="C253" s="40" t="s">
        <v>875</v>
      </c>
      <c r="D253" s="41">
        <v>1019.7</v>
      </c>
      <c r="E253" s="41">
        <v>1019.7</v>
      </c>
      <c r="F253" s="41">
        <v>1019.7</v>
      </c>
      <c r="G253" s="41">
        <v>1019.7</v>
      </c>
      <c r="H253" s="41">
        <v>1019.7</v>
      </c>
      <c r="I253" s="41">
        <v>1019.7</v>
      </c>
      <c r="J253" s="41">
        <v>1019.7</v>
      </c>
      <c r="K253" s="41">
        <v>1019.7</v>
      </c>
    </row>
    <row r="254" spans="1:11" ht="15.75">
      <c r="A254" s="39" t="s">
        <v>83</v>
      </c>
      <c r="B254" s="39" t="s">
        <v>48</v>
      </c>
      <c r="C254" s="40" t="s">
        <v>876</v>
      </c>
      <c r="D254" s="41">
        <v>1209.5999999999999</v>
      </c>
      <c r="E254" s="41">
        <v>1209.5999999999999</v>
      </c>
      <c r="F254" s="41">
        <v>1209.5999999999999</v>
      </c>
      <c r="G254" s="41">
        <v>1209.5999999999999</v>
      </c>
      <c r="H254" s="41">
        <v>1209.5999999999999</v>
      </c>
      <c r="I254" s="41">
        <v>1209.5999999999999</v>
      </c>
      <c r="J254" s="41">
        <v>1209.5999999999999</v>
      </c>
      <c r="K254" s="41">
        <v>1209.5999999999999</v>
      </c>
    </row>
    <row r="255" spans="1:11" ht="15.75">
      <c r="A255" s="39" t="s">
        <v>45</v>
      </c>
      <c r="B255" s="39" t="s">
        <v>48</v>
      </c>
      <c r="C255" s="40" t="s">
        <v>877</v>
      </c>
      <c r="D255" s="41">
        <v>769.5</v>
      </c>
      <c r="E255" s="41">
        <v>769.5</v>
      </c>
      <c r="F255" s="41">
        <v>769.5</v>
      </c>
      <c r="G255" s="41">
        <v>769.5</v>
      </c>
      <c r="H255" s="41">
        <v>769.5</v>
      </c>
      <c r="I255" s="41">
        <v>769.5</v>
      </c>
      <c r="J255" s="41">
        <v>769.5</v>
      </c>
      <c r="K255" s="41">
        <v>769.5</v>
      </c>
    </row>
    <row r="256" spans="1:11" ht="15.75">
      <c r="A256" s="39" t="s">
        <v>45</v>
      </c>
      <c r="B256" s="39" t="s">
        <v>48</v>
      </c>
      <c r="C256" s="40" t="s">
        <v>878</v>
      </c>
      <c r="D256" s="41">
        <v>769.5</v>
      </c>
      <c r="E256" s="41">
        <v>769.5</v>
      </c>
      <c r="F256" s="41">
        <v>769.5</v>
      </c>
      <c r="G256" s="41">
        <v>769.5</v>
      </c>
      <c r="H256" s="41">
        <v>769.5</v>
      </c>
      <c r="I256" s="41">
        <v>769.5</v>
      </c>
      <c r="J256" s="41">
        <v>769.5</v>
      </c>
      <c r="K256" s="41">
        <v>769.5</v>
      </c>
    </row>
    <row r="257" spans="1:11" ht="15.75">
      <c r="A257" s="39" t="s">
        <v>45</v>
      </c>
      <c r="B257" s="39" t="s">
        <v>48</v>
      </c>
      <c r="C257" s="40" t="s">
        <v>879</v>
      </c>
      <c r="D257" s="41">
        <v>729</v>
      </c>
      <c r="E257" s="41">
        <v>729</v>
      </c>
      <c r="F257" s="41">
        <v>729</v>
      </c>
      <c r="G257" s="41">
        <v>729</v>
      </c>
      <c r="H257" s="41">
        <v>729</v>
      </c>
      <c r="I257" s="41">
        <v>729</v>
      </c>
      <c r="J257" s="41">
        <v>729</v>
      </c>
      <c r="K257" s="41">
        <v>729</v>
      </c>
    </row>
    <row r="258" spans="1:11" ht="15.75">
      <c r="A258" s="39" t="s">
        <v>45</v>
      </c>
      <c r="B258" s="39" t="s">
        <v>48</v>
      </c>
      <c r="C258" s="40" t="s">
        <v>880</v>
      </c>
      <c r="D258" s="41">
        <v>729</v>
      </c>
      <c r="E258" s="41">
        <v>729</v>
      </c>
      <c r="F258" s="41">
        <v>729</v>
      </c>
      <c r="G258" s="41">
        <v>729</v>
      </c>
      <c r="H258" s="41">
        <v>729</v>
      </c>
      <c r="I258" s="41">
        <v>729</v>
      </c>
      <c r="J258" s="41">
        <v>729</v>
      </c>
      <c r="K258" s="41">
        <v>729</v>
      </c>
    </row>
    <row r="259" spans="1:11" ht="15.75">
      <c r="A259" s="39" t="s">
        <v>45</v>
      </c>
      <c r="B259" s="39" t="s">
        <v>48</v>
      </c>
      <c r="C259" s="40" t="s">
        <v>881</v>
      </c>
      <c r="D259" s="41">
        <v>729</v>
      </c>
      <c r="E259" s="41">
        <v>729</v>
      </c>
      <c r="F259" s="41">
        <v>729</v>
      </c>
      <c r="G259" s="41">
        <v>729</v>
      </c>
      <c r="H259" s="41">
        <v>729</v>
      </c>
      <c r="I259" s="41">
        <v>729</v>
      </c>
      <c r="J259" s="41">
        <v>729</v>
      </c>
      <c r="K259" s="41">
        <v>729</v>
      </c>
    </row>
    <row r="260" spans="1:11" ht="15.75">
      <c r="A260" s="39" t="s">
        <v>45</v>
      </c>
      <c r="B260" s="39" t="s">
        <v>48</v>
      </c>
      <c r="C260" s="40" t="s">
        <v>882</v>
      </c>
      <c r="D260" s="41">
        <v>659.7</v>
      </c>
      <c r="E260" s="41">
        <v>659.7</v>
      </c>
      <c r="F260" s="41">
        <v>659.7</v>
      </c>
      <c r="G260" s="41">
        <v>659.7</v>
      </c>
      <c r="H260" s="41">
        <v>659.7</v>
      </c>
      <c r="I260" s="41">
        <v>659.7</v>
      </c>
      <c r="J260" s="41">
        <v>659.7</v>
      </c>
      <c r="K260" s="41">
        <v>659.7</v>
      </c>
    </row>
    <row r="261" spans="1:11" ht="15.75">
      <c r="A261" s="39" t="s">
        <v>83</v>
      </c>
      <c r="B261" s="39" t="s">
        <v>48</v>
      </c>
      <c r="C261" s="40" t="s">
        <v>883</v>
      </c>
      <c r="D261" s="41">
        <v>909</v>
      </c>
      <c r="E261" s="41">
        <v>909</v>
      </c>
      <c r="F261" s="41">
        <v>909</v>
      </c>
      <c r="G261" s="41">
        <v>909</v>
      </c>
      <c r="H261" s="41">
        <v>909</v>
      </c>
      <c r="I261" s="41">
        <v>909</v>
      </c>
      <c r="J261" s="41">
        <v>909</v>
      </c>
      <c r="K261" s="41">
        <v>909</v>
      </c>
    </row>
    <row r="262" spans="1:11" ht="15.75">
      <c r="A262" s="39" t="s">
        <v>45</v>
      </c>
      <c r="B262" s="39" t="s">
        <v>48</v>
      </c>
      <c r="C262" s="40" t="s">
        <v>884</v>
      </c>
      <c r="D262" s="41">
        <v>659.7</v>
      </c>
      <c r="E262" s="41">
        <v>659.7</v>
      </c>
      <c r="F262" s="41">
        <v>659.7</v>
      </c>
      <c r="G262" s="41">
        <v>659.7</v>
      </c>
      <c r="H262" s="41">
        <v>659.7</v>
      </c>
      <c r="I262" s="41">
        <v>659.7</v>
      </c>
      <c r="J262" s="41">
        <v>659.7</v>
      </c>
      <c r="K262" s="41">
        <v>659.7</v>
      </c>
    </row>
    <row r="263" spans="1:11" ht="15.75">
      <c r="A263" s="39" t="s">
        <v>91</v>
      </c>
      <c r="B263" s="39" t="s">
        <v>48</v>
      </c>
      <c r="C263" s="40" t="s">
        <v>885</v>
      </c>
      <c r="D263" s="41">
        <v>1789.2</v>
      </c>
      <c r="E263" s="41">
        <v>1789.2</v>
      </c>
      <c r="F263" s="41">
        <v>1789.2</v>
      </c>
      <c r="G263" s="41">
        <v>1789.2</v>
      </c>
      <c r="H263" s="41">
        <v>1789.2</v>
      </c>
      <c r="I263" s="41">
        <v>1789.2</v>
      </c>
      <c r="J263" s="41">
        <v>1789.2</v>
      </c>
      <c r="K263" s="41">
        <v>1789.2</v>
      </c>
    </row>
    <row r="264" spans="1:11" ht="15.75">
      <c r="A264" s="39" t="s">
        <v>91</v>
      </c>
      <c r="B264" s="39" t="s">
        <v>48</v>
      </c>
      <c r="C264" s="40" t="s">
        <v>886</v>
      </c>
      <c r="D264" s="41">
        <v>4019.4</v>
      </c>
      <c r="E264" s="41">
        <v>4019.4</v>
      </c>
      <c r="F264" s="41">
        <v>4019.4</v>
      </c>
      <c r="G264" s="41">
        <v>4019.4</v>
      </c>
      <c r="H264" s="41">
        <v>4019.4</v>
      </c>
      <c r="I264" s="41">
        <v>4019.4</v>
      </c>
      <c r="J264" s="41">
        <v>4019.4</v>
      </c>
      <c r="K264" s="41">
        <v>4019.4</v>
      </c>
    </row>
    <row r="265" spans="1:11" ht="15.75">
      <c r="A265" s="39" t="s">
        <v>45</v>
      </c>
      <c r="B265" s="39" t="s">
        <v>48</v>
      </c>
      <c r="C265" s="40" t="s">
        <v>887</v>
      </c>
      <c r="D265" s="41">
        <v>719.1</v>
      </c>
      <c r="E265" s="41">
        <v>719.1</v>
      </c>
      <c r="F265" s="41">
        <v>719.1</v>
      </c>
      <c r="G265" s="41">
        <v>719.1</v>
      </c>
      <c r="H265" s="41">
        <v>719.1</v>
      </c>
      <c r="I265" s="41">
        <v>719.1</v>
      </c>
      <c r="J265" s="41">
        <v>719.1</v>
      </c>
      <c r="K265" s="41">
        <v>719.1</v>
      </c>
    </row>
    <row r="266" spans="1:11" ht="15.75">
      <c r="A266" s="39" t="s">
        <v>45</v>
      </c>
      <c r="B266" s="39" t="s">
        <v>48</v>
      </c>
      <c r="C266" s="40" t="s">
        <v>888</v>
      </c>
      <c r="D266" s="41">
        <v>719.1</v>
      </c>
      <c r="E266" s="41">
        <v>719.1</v>
      </c>
      <c r="F266" s="41">
        <v>719.1</v>
      </c>
      <c r="G266" s="41">
        <v>719.1</v>
      </c>
      <c r="H266" s="41">
        <v>719.1</v>
      </c>
      <c r="I266" s="41">
        <v>719.1</v>
      </c>
      <c r="J266" s="41">
        <v>719.1</v>
      </c>
      <c r="K266" s="41">
        <v>719.1</v>
      </c>
    </row>
    <row r="267" spans="1:11" ht="15.75">
      <c r="A267" s="39" t="s">
        <v>45</v>
      </c>
      <c r="B267" s="39" t="s">
        <v>48</v>
      </c>
      <c r="C267" s="40" t="s">
        <v>889</v>
      </c>
      <c r="D267" s="41">
        <v>719.1</v>
      </c>
      <c r="E267" s="41">
        <v>719.1</v>
      </c>
      <c r="F267" s="41">
        <v>719.1</v>
      </c>
      <c r="G267" s="41">
        <v>719.1</v>
      </c>
      <c r="H267" s="41">
        <v>719.1</v>
      </c>
      <c r="I267" s="41">
        <v>719.1</v>
      </c>
      <c r="J267" s="41">
        <v>719.1</v>
      </c>
      <c r="K267" s="41">
        <v>719.1</v>
      </c>
    </row>
    <row r="268" spans="1:11" ht="15.75">
      <c r="A268" s="39" t="s">
        <v>83</v>
      </c>
      <c r="B268" s="39" t="s">
        <v>48</v>
      </c>
      <c r="C268" s="40" t="s">
        <v>890</v>
      </c>
      <c r="D268" s="41">
        <v>1019.7</v>
      </c>
      <c r="E268" s="41">
        <v>1019.7</v>
      </c>
      <c r="F268" s="41">
        <v>1019.7</v>
      </c>
      <c r="G268" s="41">
        <v>1019.7</v>
      </c>
      <c r="H268" s="41">
        <v>1019.7</v>
      </c>
      <c r="I268" s="41">
        <v>1019.7</v>
      </c>
      <c r="J268" s="41">
        <v>1019.7</v>
      </c>
      <c r="K268" s="41">
        <v>1019.7</v>
      </c>
    </row>
    <row r="269" spans="1:11" ht="15.75">
      <c r="A269" s="39" t="s">
        <v>45</v>
      </c>
      <c r="B269" s="39" t="s">
        <v>48</v>
      </c>
      <c r="C269" s="40" t="s">
        <v>891</v>
      </c>
      <c r="D269" s="41">
        <v>729</v>
      </c>
      <c r="E269" s="41">
        <v>729</v>
      </c>
      <c r="F269" s="41">
        <v>729</v>
      </c>
      <c r="G269" s="41">
        <v>729</v>
      </c>
      <c r="H269" s="41">
        <v>729</v>
      </c>
      <c r="I269" s="41">
        <v>729</v>
      </c>
      <c r="J269" s="41">
        <v>729</v>
      </c>
      <c r="K269" s="41">
        <v>729</v>
      </c>
    </row>
    <row r="270" spans="1:11" ht="15.75">
      <c r="A270" s="39" t="s">
        <v>45</v>
      </c>
      <c r="B270" s="39" t="s">
        <v>48</v>
      </c>
      <c r="C270" s="40" t="s">
        <v>892</v>
      </c>
      <c r="D270" s="41">
        <v>769.5</v>
      </c>
      <c r="E270" s="41">
        <v>769.5</v>
      </c>
      <c r="F270" s="41">
        <v>769.5</v>
      </c>
      <c r="G270" s="41">
        <v>769.5</v>
      </c>
      <c r="H270" s="41">
        <v>769.5</v>
      </c>
      <c r="I270" s="41">
        <v>769.5</v>
      </c>
      <c r="J270" s="41">
        <v>769.5</v>
      </c>
      <c r="K270" s="41">
        <v>769.5</v>
      </c>
    </row>
    <row r="271" spans="1:11" ht="15.75">
      <c r="A271" s="39" t="s">
        <v>83</v>
      </c>
      <c r="B271" s="39" t="s">
        <v>48</v>
      </c>
      <c r="C271" s="40" t="s">
        <v>893</v>
      </c>
      <c r="D271" s="41">
        <v>1299.5999999999999</v>
      </c>
      <c r="E271" s="41">
        <v>1299.5999999999999</v>
      </c>
      <c r="F271" s="41">
        <v>1299.5999999999999</v>
      </c>
      <c r="G271" s="41">
        <v>1299.5999999999999</v>
      </c>
      <c r="H271" s="41">
        <v>1299.5999999999999</v>
      </c>
      <c r="I271" s="41">
        <v>1299.5999999999999</v>
      </c>
      <c r="J271" s="41">
        <v>1299.5999999999999</v>
      </c>
      <c r="K271" s="41">
        <v>1299.5999999999999</v>
      </c>
    </row>
    <row r="272" spans="1:11" ht="15.75">
      <c r="A272" s="39" t="s">
        <v>83</v>
      </c>
      <c r="B272" s="39" t="s">
        <v>48</v>
      </c>
      <c r="C272" s="40" t="s">
        <v>894</v>
      </c>
      <c r="D272" s="41">
        <v>929.7</v>
      </c>
      <c r="E272" s="41">
        <v>929.7</v>
      </c>
      <c r="F272" s="41">
        <v>929.7</v>
      </c>
      <c r="G272" s="41">
        <v>929.7</v>
      </c>
      <c r="H272" s="41">
        <v>929.7</v>
      </c>
      <c r="I272" s="41">
        <v>929.7</v>
      </c>
      <c r="J272" s="41">
        <v>929.7</v>
      </c>
      <c r="K272" s="41">
        <v>929.7</v>
      </c>
    </row>
    <row r="273" spans="1:11" ht="15.75">
      <c r="A273" s="39" t="s">
        <v>45</v>
      </c>
      <c r="B273" s="39" t="s">
        <v>48</v>
      </c>
      <c r="C273" s="40" t="s">
        <v>895</v>
      </c>
      <c r="D273" s="41">
        <v>569.70000000000005</v>
      </c>
      <c r="E273" s="41">
        <v>569.70000000000005</v>
      </c>
      <c r="F273" s="41">
        <v>569.70000000000005</v>
      </c>
      <c r="G273" s="41">
        <v>569.70000000000005</v>
      </c>
      <c r="H273" s="41">
        <v>569.70000000000005</v>
      </c>
      <c r="I273" s="41">
        <v>569.70000000000005</v>
      </c>
      <c r="J273" s="41">
        <v>569.70000000000005</v>
      </c>
      <c r="K273" s="41">
        <v>569.70000000000005</v>
      </c>
    </row>
    <row r="274" spans="1:11" ht="15.75">
      <c r="A274" s="39" t="s">
        <v>45</v>
      </c>
      <c r="B274" s="39" t="s">
        <v>48</v>
      </c>
      <c r="C274" s="40" t="s">
        <v>896</v>
      </c>
      <c r="D274" s="41">
        <v>769.5</v>
      </c>
      <c r="E274" s="41">
        <v>769.5</v>
      </c>
      <c r="F274" s="41">
        <v>769.5</v>
      </c>
      <c r="G274" s="41">
        <v>769.5</v>
      </c>
      <c r="H274" s="41">
        <v>769.5</v>
      </c>
      <c r="I274" s="41">
        <v>769.5</v>
      </c>
      <c r="J274" s="41">
        <v>769.5</v>
      </c>
      <c r="K274" s="41">
        <v>769.5</v>
      </c>
    </row>
    <row r="275" spans="1:11" ht="15.75">
      <c r="A275" s="39" t="s">
        <v>83</v>
      </c>
      <c r="B275" s="39" t="s">
        <v>48</v>
      </c>
      <c r="C275" s="40" t="s">
        <v>897</v>
      </c>
      <c r="D275" s="41">
        <v>2499.3000000000002</v>
      </c>
      <c r="E275" s="41">
        <v>2499.3000000000002</v>
      </c>
      <c r="F275" s="41">
        <v>2499.3000000000002</v>
      </c>
      <c r="G275" s="41">
        <v>2499.3000000000002</v>
      </c>
      <c r="H275" s="41">
        <v>2499.3000000000002</v>
      </c>
      <c r="I275" s="41">
        <v>2499.3000000000002</v>
      </c>
      <c r="J275" s="41">
        <v>2499.3000000000002</v>
      </c>
      <c r="K275" s="41">
        <v>2499.3000000000002</v>
      </c>
    </row>
    <row r="276" spans="1:11" ht="15.75">
      <c r="A276" s="39" t="s">
        <v>45</v>
      </c>
      <c r="B276" s="45" t="s">
        <v>1014</v>
      </c>
      <c r="C276" s="40" t="s">
        <v>898</v>
      </c>
      <c r="D276" s="41">
        <v>319.5</v>
      </c>
      <c r="E276" s="41">
        <v>319.5</v>
      </c>
      <c r="F276" s="41">
        <v>319.5</v>
      </c>
      <c r="G276" s="41">
        <v>319.5</v>
      </c>
      <c r="H276" s="41">
        <v>319.5</v>
      </c>
      <c r="I276" s="41">
        <v>319.5</v>
      </c>
      <c r="J276" s="41">
        <v>319.5</v>
      </c>
      <c r="K276" s="41">
        <v>319.5</v>
      </c>
    </row>
    <row r="277" spans="1:11" ht="15.75">
      <c r="A277" s="39" t="s">
        <v>91</v>
      </c>
      <c r="B277" s="39" t="s">
        <v>48</v>
      </c>
      <c r="C277" s="40" t="s">
        <v>899</v>
      </c>
      <c r="D277" s="41">
        <v>4799.7</v>
      </c>
      <c r="E277" s="41">
        <v>4799.7</v>
      </c>
      <c r="F277" s="41">
        <v>4799.7</v>
      </c>
      <c r="G277" s="41">
        <v>4799.7</v>
      </c>
      <c r="H277" s="41">
        <v>4799.7</v>
      </c>
      <c r="I277" s="41">
        <v>4799.7</v>
      </c>
      <c r="J277" s="41">
        <v>4799.7</v>
      </c>
      <c r="K277" s="41">
        <v>4799.7</v>
      </c>
    </row>
    <row r="278" spans="1:11" ht="15.75">
      <c r="A278" s="39" t="s">
        <v>83</v>
      </c>
      <c r="B278" s="39" t="s">
        <v>48</v>
      </c>
      <c r="C278" s="40" t="s">
        <v>900</v>
      </c>
      <c r="D278" s="41">
        <v>1099.8</v>
      </c>
      <c r="E278" s="41">
        <v>1099.8</v>
      </c>
      <c r="F278" s="41">
        <v>1099.8</v>
      </c>
      <c r="G278" s="41">
        <v>1099.8</v>
      </c>
      <c r="H278" s="41">
        <v>1099.8</v>
      </c>
      <c r="I278" s="41">
        <v>1099.8</v>
      </c>
      <c r="J278" s="41">
        <v>1099.8</v>
      </c>
      <c r="K278" s="41">
        <v>1099.8</v>
      </c>
    </row>
    <row r="279" spans="1:11" ht="15.75">
      <c r="A279" s="39" t="s">
        <v>91</v>
      </c>
      <c r="B279" s="39" t="s">
        <v>48</v>
      </c>
      <c r="C279" s="40" t="s">
        <v>901</v>
      </c>
      <c r="D279" s="41">
        <v>3339</v>
      </c>
      <c r="E279" s="41">
        <v>3339</v>
      </c>
      <c r="F279" s="41">
        <v>3339</v>
      </c>
      <c r="G279" s="41">
        <v>3339</v>
      </c>
      <c r="H279" s="41">
        <v>3339</v>
      </c>
      <c r="I279" s="41">
        <v>3339</v>
      </c>
      <c r="J279" s="41">
        <v>3339</v>
      </c>
      <c r="K279" s="41">
        <v>3339</v>
      </c>
    </row>
    <row r="280" spans="1:11" ht="15.75">
      <c r="A280" s="39" t="s">
        <v>83</v>
      </c>
      <c r="B280" s="39" t="s">
        <v>48</v>
      </c>
      <c r="C280" s="40" t="s">
        <v>902</v>
      </c>
      <c r="D280" s="41">
        <v>2999.7</v>
      </c>
      <c r="E280" s="41">
        <v>2999.7</v>
      </c>
      <c r="F280" s="41">
        <v>2999.7</v>
      </c>
      <c r="G280" s="41">
        <v>2999.7</v>
      </c>
      <c r="H280" s="41">
        <v>2999.7</v>
      </c>
      <c r="I280" s="41">
        <v>2999.7</v>
      </c>
      <c r="J280" s="41">
        <v>2999.7</v>
      </c>
      <c r="K280" s="41">
        <v>2999.7</v>
      </c>
    </row>
    <row r="281" spans="1:11" ht="15.75">
      <c r="A281" s="39" t="s">
        <v>91</v>
      </c>
      <c r="B281" s="39" t="s">
        <v>48</v>
      </c>
      <c r="C281" s="40" t="s">
        <v>903</v>
      </c>
      <c r="D281" s="41">
        <v>2699.1</v>
      </c>
      <c r="E281" s="41">
        <v>2699.1</v>
      </c>
      <c r="F281" s="41">
        <v>2699.1</v>
      </c>
      <c r="G281" s="41">
        <v>2699.1</v>
      </c>
      <c r="H281" s="41">
        <v>2699.1</v>
      </c>
      <c r="I281" s="41">
        <v>2699.1</v>
      </c>
      <c r="J281" s="41">
        <v>2699.1</v>
      </c>
      <c r="K281" s="41">
        <v>2699.1</v>
      </c>
    </row>
    <row r="282" spans="1:11" ht="15.75">
      <c r="A282" s="39" t="s">
        <v>211</v>
      </c>
      <c r="B282" s="39" t="s">
        <v>48</v>
      </c>
      <c r="C282" s="40" t="s">
        <v>904</v>
      </c>
      <c r="D282" s="41">
        <v>399.6</v>
      </c>
      <c r="E282" s="41">
        <v>399.6</v>
      </c>
      <c r="F282" s="41">
        <v>399.6</v>
      </c>
      <c r="G282" s="41">
        <v>399.6</v>
      </c>
      <c r="H282" s="41">
        <v>399.6</v>
      </c>
      <c r="I282" s="41">
        <v>399.6</v>
      </c>
      <c r="J282" s="41">
        <v>399.6</v>
      </c>
      <c r="K282" s="41">
        <v>399.6</v>
      </c>
    </row>
    <row r="283" spans="1:11" ht="15.75">
      <c r="A283" s="39" t="s">
        <v>45</v>
      </c>
      <c r="B283" s="39" t="s">
        <v>48</v>
      </c>
      <c r="C283" s="40" t="s">
        <v>905</v>
      </c>
      <c r="D283" s="41">
        <v>949.5</v>
      </c>
      <c r="E283" s="41">
        <v>949.5</v>
      </c>
      <c r="F283" s="41">
        <v>949.5</v>
      </c>
      <c r="G283" s="41">
        <v>949.5</v>
      </c>
      <c r="H283" s="41">
        <v>949.5</v>
      </c>
      <c r="I283" s="41">
        <v>949.5</v>
      </c>
      <c r="J283" s="41">
        <v>949.5</v>
      </c>
      <c r="K283" s="41">
        <v>949.5</v>
      </c>
    </row>
    <row r="284" spans="1:11" ht="15.75">
      <c r="A284" s="39" t="s">
        <v>45</v>
      </c>
      <c r="B284" s="39" t="s">
        <v>48</v>
      </c>
      <c r="C284" s="40" t="s">
        <v>906</v>
      </c>
      <c r="D284" s="41">
        <v>729</v>
      </c>
      <c r="E284" s="41">
        <v>729</v>
      </c>
      <c r="F284" s="41">
        <v>729</v>
      </c>
      <c r="G284" s="41">
        <v>729</v>
      </c>
      <c r="H284" s="41">
        <v>729</v>
      </c>
      <c r="I284" s="41">
        <v>729</v>
      </c>
      <c r="J284" s="41">
        <v>729</v>
      </c>
      <c r="K284" s="41">
        <v>729</v>
      </c>
    </row>
    <row r="285" spans="1:11" ht="15.75">
      <c r="A285" s="39" t="s">
        <v>91</v>
      </c>
      <c r="B285" s="39" t="s">
        <v>48</v>
      </c>
      <c r="C285" s="40" t="s">
        <v>907</v>
      </c>
      <c r="D285" s="41">
        <v>1499.4</v>
      </c>
      <c r="E285" s="41">
        <v>1499.4</v>
      </c>
      <c r="F285" s="41">
        <v>1499.4</v>
      </c>
      <c r="G285" s="41">
        <v>1499.4</v>
      </c>
      <c r="H285" s="41">
        <v>1499.4</v>
      </c>
      <c r="I285" s="41">
        <v>1499.4</v>
      </c>
      <c r="J285" s="41">
        <v>1499.4</v>
      </c>
      <c r="K285" s="41">
        <v>1499.4</v>
      </c>
    </row>
    <row r="286" spans="1:11" ht="15.75">
      <c r="A286" s="39" t="s">
        <v>91</v>
      </c>
      <c r="B286" s="39" t="s">
        <v>48</v>
      </c>
      <c r="C286" s="40" t="s">
        <v>908</v>
      </c>
      <c r="D286" s="41">
        <v>4299.3</v>
      </c>
      <c r="E286" s="41">
        <v>4299.3</v>
      </c>
      <c r="F286" s="41">
        <v>4299.3</v>
      </c>
      <c r="G286" s="41">
        <v>4299.3</v>
      </c>
      <c r="H286" s="41">
        <v>4299.3</v>
      </c>
      <c r="I286" s="41">
        <v>4299.3</v>
      </c>
      <c r="J286" s="41">
        <v>4299.3</v>
      </c>
      <c r="K286" s="41">
        <v>4299.3</v>
      </c>
    </row>
    <row r="287" spans="1:11" ht="15.75">
      <c r="A287" s="39" t="s">
        <v>66</v>
      </c>
      <c r="B287" s="39" t="s">
        <v>48</v>
      </c>
      <c r="C287" s="40" t="s">
        <v>909</v>
      </c>
      <c r="D287" s="41">
        <v>369</v>
      </c>
      <c r="E287" s="41">
        <v>369</v>
      </c>
      <c r="F287" s="41">
        <v>369</v>
      </c>
      <c r="G287" s="41">
        <v>369</v>
      </c>
      <c r="H287" s="41">
        <v>369</v>
      </c>
      <c r="I287" s="41">
        <v>369</v>
      </c>
      <c r="J287" s="41">
        <v>369</v>
      </c>
      <c r="K287" s="41">
        <v>369</v>
      </c>
    </row>
    <row r="288" spans="1:11" ht="15.75">
      <c r="A288" s="39" t="s">
        <v>66</v>
      </c>
      <c r="B288" s="39" t="s">
        <v>48</v>
      </c>
      <c r="C288" s="40" t="s">
        <v>339</v>
      </c>
      <c r="D288" s="41">
        <v>499.5</v>
      </c>
      <c r="E288" s="41">
        <v>499.5</v>
      </c>
      <c r="F288" s="41">
        <v>499.5</v>
      </c>
      <c r="G288" s="41">
        <v>499.5</v>
      </c>
      <c r="H288" s="41">
        <v>499.5</v>
      </c>
      <c r="I288" s="41">
        <v>499.5</v>
      </c>
      <c r="J288" s="41">
        <v>499.5</v>
      </c>
      <c r="K288" s="41">
        <v>499.5</v>
      </c>
    </row>
    <row r="289" spans="1:11" ht="15.75">
      <c r="A289" s="39" t="s">
        <v>45</v>
      </c>
      <c r="B289" s="39" t="s">
        <v>48</v>
      </c>
      <c r="C289" s="40" t="s">
        <v>910</v>
      </c>
      <c r="D289" s="41">
        <v>699.3</v>
      </c>
      <c r="E289" s="41">
        <v>699.3</v>
      </c>
      <c r="F289" s="41">
        <v>699.3</v>
      </c>
      <c r="G289" s="41">
        <v>699.3</v>
      </c>
      <c r="H289" s="41">
        <v>699.3</v>
      </c>
      <c r="I289" s="41">
        <v>699.3</v>
      </c>
      <c r="J289" s="41">
        <v>699.3</v>
      </c>
      <c r="K289" s="41">
        <v>699.3</v>
      </c>
    </row>
    <row r="290" spans="1:11" ht="15.75">
      <c r="A290" s="39" t="s">
        <v>45</v>
      </c>
      <c r="B290" s="39" t="s">
        <v>48</v>
      </c>
      <c r="C290" s="40" t="s">
        <v>911</v>
      </c>
      <c r="D290" s="41">
        <v>489.6</v>
      </c>
      <c r="E290" s="41">
        <v>489.6</v>
      </c>
      <c r="F290" s="41">
        <v>489.6</v>
      </c>
      <c r="G290" s="41">
        <v>489.6</v>
      </c>
      <c r="H290" s="41">
        <v>489.6</v>
      </c>
      <c r="I290" s="41">
        <v>489.6</v>
      </c>
      <c r="J290" s="41">
        <v>489.6</v>
      </c>
      <c r="K290" s="41">
        <v>489.6</v>
      </c>
    </row>
    <row r="291" spans="1:11" ht="15.75">
      <c r="A291" s="39" t="s">
        <v>83</v>
      </c>
      <c r="B291" s="39" t="s">
        <v>48</v>
      </c>
      <c r="C291" s="40" t="s">
        <v>912</v>
      </c>
      <c r="D291" s="41">
        <v>789.3</v>
      </c>
      <c r="E291" s="41">
        <v>789.3</v>
      </c>
      <c r="F291" s="41">
        <v>789.3</v>
      </c>
      <c r="G291" s="41">
        <v>789.3</v>
      </c>
      <c r="H291" s="41">
        <v>789.3</v>
      </c>
      <c r="I291" s="41">
        <v>789.3</v>
      </c>
      <c r="J291" s="41">
        <v>789.3</v>
      </c>
      <c r="K291" s="41">
        <v>789.3</v>
      </c>
    </row>
    <row r="292" spans="1:11" ht="15.75">
      <c r="A292" s="39" t="s">
        <v>91</v>
      </c>
      <c r="B292" s="39" t="s">
        <v>48</v>
      </c>
      <c r="C292" s="40" t="s">
        <v>913</v>
      </c>
      <c r="D292" s="41">
        <v>2199.6</v>
      </c>
      <c r="E292" s="41">
        <v>2199.6</v>
      </c>
      <c r="F292" s="41">
        <v>2199.6</v>
      </c>
      <c r="G292" s="41">
        <v>2199.6</v>
      </c>
      <c r="H292" s="41">
        <v>2199.6</v>
      </c>
      <c r="I292" s="41">
        <v>2199.6</v>
      </c>
      <c r="J292" s="41">
        <v>2199.6</v>
      </c>
      <c r="K292" s="41">
        <v>2199.6</v>
      </c>
    </row>
    <row r="293" spans="1:11" ht="15.75">
      <c r="A293" s="39" t="s">
        <v>91</v>
      </c>
      <c r="B293" s="39" t="s">
        <v>48</v>
      </c>
      <c r="C293" s="40" t="s">
        <v>914</v>
      </c>
      <c r="D293" s="41">
        <v>2589.3000000000002</v>
      </c>
      <c r="E293" s="41">
        <v>2589.3000000000002</v>
      </c>
      <c r="F293" s="41">
        <v>2589.3000000000002</v>
      </c>
      <c r="G293" s="41">
        <v>2589.3000000000002</v>
      </c>
      <c r="H293" s="41">
        <v>2589.3000000000002</v>
      </c>
      <c r="I293" s="41">
        <v>2589.3000000000002</v>
      </c>
      <c r="J293" s="41">
        <v>2589.3000000000002</v>
      </c>
      <c r="K293" s="41">
        <v>2589.3000000000002</v>
      </c>
    </row>
    <row r="294" spans="1:11" ht="15.75">
      <c r="A294" s="39" t="s">
        <v>91</v>
      </c>
      <c r="B294" s="39" t="s">
        <v>48</v>
      </c>
      <c r="C294" s="40" t="s">
        <v>915</v>
      </c>
      <c r="D294" s="41">
        <v>2229.3000000000002</v>
      </c>
      <c r="E294" s="41">
        <v>2229.3000000000002</v>
      </c>
      <c r="F294" s="41">
        <v>2229.3000000000002</v>
      </c>
      <c r="G294" s="41">
        <v>2229.3000000000002</v>
      </c>
      <c r="H294" s="41">
        <v>2229.3000000000002</v>
      </c>
      <c r="I294" s="41">
        <v>2229.3000000000002</v>
      </c>
      <c r="J294" s="41">
        <v>2229.3000000000002</v>
      </c>
      <c r="K294" s="41">
        <v>2229.3000000000002</v>
      </c>
    </row>
    <row r="295" spans="1:11" ht="15.75">
      <c r="A295" s="39" t="s">
        <v>91</v>
      </c>
      <c r="B295" s="39" t="s">
        <v>48</v>
      </c>
      <c r="C295" s="40" t="s">
        <v>916</v>
      </c>
      <c r="D295" s="41">
        <v>4759.2</v>
      </c>
      <c r="E295" s="41">
        <v>4759.2</v>
      </c>
      <c r="F295" s="41">
        <v>4759.2</v>
      </c>
      <c r="G295" s="41">
        <v>4759.2</v>
      </c>
      <c r="H295" s="41">
        <v>4759.2</v>
      </c>
      <c r="I295" s="41">
        <v>4759.2</v>
      </c>
      <c r="J295" s="41">
        <v>4759.2</v>
      </c>
      <c r="K295" s="41">
        <v>4759.2</v>
      </c>
    </row>
    <row r="296" spans="1:11" ht="15.75">
      <c r="A296" s="39" t="s">
        <v>45</v>
      </c>
      <c r="B296" s="39" t="s">
        <v>48</v>
      </c>
      <c r="C296" s="40" t="s">
        <v>917</v>
      </c>
      <c r="D296" s="41">
        <v>929.7</v>
      </c>
      <c r="E296" s="41">
        <v>929.7</v>
      </c>
      <c r="F296" s="41">
        <v>929.7</v>
      </c>
      <c r="G296" s="41">
        <v>929.7</v>
      </c>
      <c r="H296" s="41">
        <v>929.7</v>
      </c>
      <c r="I296" s="41">
        <v>929.7</v>
      </c>
      <c r="J296" s="41">
        <v>929.7</v>
      </c>
      <c r="K296" s="41">
        <v>929.7</v>
      </c>
    </row>
    <row r="297" spans="1:11" ht="15.75">
      <c r="A297" s="39" t="s">
        <v>45</v>
      </c>
      <c r="B297" s="39" t="s">
        <v>48</v>
      </c>
      <c r="C297" s="40" t="s">
        <v>918</v>
      </c>
      <c r="D297" s="41">
        <v>799.2</v>
      </c>
      <c r="E297" s="41">
        <v>799.2</v>
      </c>
      <c r="F297" s="41">
        <v>799.2</v>
      </c>
      <c r="G297" s="41">
        <v>799.2</v>
      </c>
      <c r="H297" s="41">
        <v>799.2</v>
      </c>
      <c r="I297" s="41">
        <v>799.2</v>
      </c>
      <c r="J297" s="41">
        <v>799.2</v>
      </c>
      <c r="K297" s="41">
        <v>799.2</v>
      </c>
    </row>
    <row r="298" spans="1:11" ht="15.75">
      <c r="A298" s="39" t="s">
        <v>45</v>
      </c>
      <c r="B298" s="39" t="s">
        <v>48</v>
      </c>
      <c r="C298" s="40" t="s">
        <v>524</v>
      </c>
      <c r="D298" s="41">
        <v>1179</v>
      </c>
      <c r="E298" s="41">
        <v>1179</v>
      </c>
      <c r="F298" s="41">
        <v>1179</v>
      </c>
      <c r="G298" s="41">
        <v>1179</v>
      </c>
      <c r="H298" s="41">
        <v>1179</v>
      </c>
      <c r="I298" s="41">
        <v>1179</v>
      </c>
      <c r="J298" s="41">
        <v>1179</v>
      </c>
      <c r="K298" s="41">
        <v>1179</v>
      </c>
    </row>
    <row r="299" spans="1:11" ht="15.75">
      <c r="A299" s="39" t="s">
        <v>91</v>
      </c>
      <c r="B299" s="39" t="s">
        <v>48</v>
      </c>
      <c r="C299" s="40" t="s">
        <v>919</v>
      </c>
      <c r="D299" s="41">
        <v>1909.8</v>
      </c>
      <c r="E299" s="41">
        <v>1909.8</v>
      </c>
      <c r="F299" s="41">
        <v>1909.8</v>
      </c>
      <c r="G299" s="41">
        <v>1909.8</v>
      </c>
      <c r="H299" s="41">
        <v>1909.8</v>
      </c>
      <c r="I299" s="41">
        <v>1909.8</v>
      </c>
      <c r="J299" s="41">
        <v>1909.8</v>
      </c>
      <c r="K299" s="41">
        <v>1909.8</v>
      </c>
    </row>
    <row r="300" spans="1:11" ht="15.75">
      <c r="A300" s="39" t="s">
        <v>91</v>
      </c>
      <c r="B300" s="39" t="s">
        <v>48</v>
      </c>
      <c r="C300" s="40" t="s">
        <v>920</v>
      </c>
      <c r="D300" s="41">
        <v>2520.9</v>
      </c>
      <c r="E300" s="41">
        <v>2520.9</v>
      </c>
      <c r="F300" s="41">
        <v>2520.9</v>
      </c>
      <c r="G300" s="41">
        <v>2520.9</v>
      </c>
      <c r="H300" s="41">
        <v>2520.9</v>
      </c>
      <c r="I300" s="41">
        <v>2520.9</v>
      </c>
      <c r="J300" s="41">
        <v>2520.9</v>
      </c>
      <c r="K300" s="41">
        <v>2520.9</v>
      </c>
    </row>
    <row r="301" spans="1:11" ht="15.75">
      <c r="A301" s="39" t="s">
        <v>91</v>
      </c>
      <c r="B301" s="39" t="s">
        <v>48</v>
      </c>
      <c r="C301" s="40" t="s">
        <v>921</v>
      </c>
      <c r="D301" s="41">
        <v>2412.9</v>
      </c>
      <c r="E301" s="41">
        <v>2412.9</v>
      </c>
      <c r="F301" s="41">
        <v>2412.9</v>
      </c>
      <c r="G301" s="41">
        <v>2412.9</v>
      </c>
      <c r="H301" s="41">
        <v>2412.9</v>
      </c>
      <c r="I301" s="41">
        <v>2412.9</v>
      </c>
      <c r="J301" s="41">
        <v>2412.9</v>
      </c>
      <c r="K301" s="41">
        <v>2412.9</v>
      </c>
    </row>
    <row r="302" spans="1:11" ht="15.75">
      <c r="A302" s="39" t="s">
        <v>91</v>
      </c>
      <c r="B302" s="39" t="s">
        <v>48</v>
      </c>
      <c r="C302" s="40" t="s">
        <v>922</v>
      </c>
      <c r="D302" s="41">
        <v>3608.1</v>
      </c>
      <c r="E302" s="41">
        <v>3608.1</v>
      </c>
      <c r="F302" s="41">
        <v>3608.1</v>
      </c>
      <c r="G302" s="41">
        <v>3608.1</v>
      </c>
      <c r="H302" s="41">
        <v>3608.1</v>
      </c>
      <c r="I302" s="41">
        <v>3608.1</v>
      </c>
      <c r="J302" s="41">
        <v>3608.1</v>
      </c>
      <c r="K302" s="41">
        <v>3608.1</v>
      </c>
    </row>
    <row r="303" spans="1:11" ht="15.75">
      <c r="A303" s="39" t="s">
        <v>91</v>
      </c>
      <c r="B303" s="39" t="s">
        <v>48</v>
      </c>
      <c r="C303" s="40" t="s">
        <v>923</v>
      </c>
      <c r="D303" s="41">
        <v>4949.1000000000004</v>
      </c>
      <c r="E303" s="41">
        <v>4949.1000000000004</v>
      </c>
      <c r="F303" s="41">
        <v>4949.1000000000004</v>
      </c>
      <c r="G303" s="41">
        <v>4949.1000000000004</v>
      </c>
      <c r="H303" s="41">
        <v>4949.1000000000004</v>
      </c>
      <c r="I303" s="41">
        <v>4949.1000000000004</v>
      </c>
      <c r="J303" s="41">
        <v>4949.1000000000004</v>
      </c>
      <c r="K303" s="41">
        <v>4949.1000000000004</v>
      </c>
    </row>
    <row r="304" spans="1:11" ht="15.75">
      <c r="A304" s="39" t="s">
        <v>45</v>
      </c>
      <c r="B304" s="39" t="s">
        <v>48</v>
      </c>
      <c r="C304" s="40" t="s">
        <v>924</v>
      </c>
      <c r="D304" s="41">
        <v>899.1</v>
      </c>
      <c r="E304" s="41">
        <v>899.1</v>
      </c>
      <c r="F304" s="41">
        <v>899.1</v>
      </c>
      <c r="G304" s="41">
        <v>899.1</v>
      </c>
      <c r="H304" s="41">
        <v>899.1</v>
      </c>
      <c r="I304" s="41">
        <v>899.1</v>
      </c>
      <c r="J304" s="41">
        <v>899.1</v>
      </c>
      <c r="K304" s="41">
        <v>899.1</v>
      </c>
    </row>
    <row r="305" spans="1:11" ht="15.75">
      <c r="A305" s="39" t="s">
        <v>91</v>
      </c>
      <c r="B305" s="39" t="s">
        <v>48</v>
      </c>
      <c r="C305" s="40" t="s">
        <v>535</v>
      </c>
      <c r="D305" s="41">
        <v>2219.4</v>
      </c>
      <c r="E305" s="41">
        <v>2219.4</v>
      </c>
      <c r="F305" s="41">
        <v>2219.4</v>
      </c>
      <c r="G305" s="41">
        <v>2219.4</v>
      </c>
      <c r="H305" s="41">
        <v>2219.4</v>
      </c>
      <c r="I305" s="41">
        <v>2219.4</v>
      </c>
      <c r="J305" s="41">
        <v>2219.4</v>
      </c>
      <c r="K305" s="41">
        <v>2219.4</v>
      </c>
    </row>
    <row r="306" spans="1:11" ht="15.75">
      <c r="A306" s="39" t="s">
        <v>66</v>
      </c>
      <c r="B306" s="39" t="s">
        <v>48</v>
      </c>
      <c r="C306" s="40" t="s">
        <v>410</v>
      </c>
      <c r="D306" s="41">
        <v>139.5</v>
      </c>
      <c r="E306" s="41">
        <v>139.5</v>
      </c>
      <c r="F306" s="41">
        <v>139.5</v>
      </c>
      <c r="G306" s="41">
        <v>139.5</v>
      </c>
      <c r="H306" s="41">
        <v>139.5</v>
      </c>
      <c r="I306" s="41">
        <v>139.5</v>
      </c>
      <c r="J306" s="41">
        <v>139.5</v>
      </c>
      <c r="K306" s="41">
        <v>139.5</v>
      </c>
    </row>
    <row r="307" spans="1:11" ht="15.75">
      <c r="A307" s="39" t="s">
        <v>66</v>
      </c>
      <c r="B307" s="39" t="s">
        <v>48</v>
      </c>
      <c r="C307" s="40" t="s">
        <v>925</v>
      </c>
      <c r="D307" s="41">
        <v>179.1</v>
      </c>
      <c r="E307" s="41">
        <v>179.1</v>
      </c>
      <c r="F307" s="41">
        <v>179.1</v>
      </c>
      <c r="G307" s="41">
        <v>179.1</v>
      </c>
      <c r="H307" s="41">
        <v>179.1</v>
      </c>
      <c r="I307" s="41">
        <v>179.1</v>
      </c>
      <c r="J307" s="41">
        <v>179.1</v>
      </c>
      <c r="K307" s="41">
        <v>179.1</v>
      </c>
    </row>
    <row r="308" spans="1:11" ht="15.75">
      <c r="A308" s="39" t="s">
        <v>66</v>
      </c>
      <c r="B308" s="39" t="s">
        <v>48</v>
      </c>
      <c r="C308" s="40" t="s">
        <v>926</v>
      </c>
      <c r="D308" s="41">
        <v>149.4</v>
      </c>
      <c r="E308" s="41">
        <v>149.4</v>
      </c>
      <c r="F308" s="41">
        <v>149.4</v>
      </c>
      <c r="G308" s="41">
        <v>149.4</v>
      </c>
      <c r="H308" s="41">
        <v>149.4</v>
      </c>
      <c r="I308" s="41">
        <v>149.4</v>
      </c>
      <c r="J308" s="41">
        <v>149.4</v>
      </c>
      <c r="K308" s="41">
        <v>149.4</v>
      </c>
    </row>
    <row r="309" spans="1:11" ht="15.75">
      <c r="A309" s="39" t="s">
        <v>835</v>
      </c>
      <c r="B309" s="39" t="s">
        <v>48</v>
      </c>
      <c r="C309" s="40" t="s">
        <v>927</v>
      </c>
      <c r="D309" s="41">
        <v>129.6</v>
      </c>
      <c r="E309" s="41">
        <v>129.6</v>
      </c>
      <c r="F309" s="41">
        <v>129.6</v>
      </c>
      <c r="G309" s="41">
        <v>129.6</v>
      </c>
      <c r="H309" s="41">
        <v>129.6</v>
      </c>
      <c r="I309" s="41">
        <v>129.6</v>
      </c>
      <c r="J309" s="41">
        <v>129.6</v>
      </c>
      <c r="K309" s="41">
        <v>129.6</v>
      </c>
    </row>
    <row r="310" spans="1:11" ht="15.75">
      <c r="A310" s="39" t="s">
        <v>66</v>
      </c>
      <c r="B310" s="39" t="s">
        <v>48</v>
      </c>
      <c r="C310" s="40" t="s">
        <v>928</v>
      </c>
      <c r="D310" s="41">
        <v>359.1</v>
      </c>
      <c r="E310" s="41">
        <v>359.1</v>
      </c>
      <c r="F310" s="41">
        <v>359.1</v>
      </c>
      <c r="G310" s="41">
        <v>359.1</v>
      </c>
      <c r="H310" s="41">
        <v>359.1</v>
      </c>
      <c r="I310" s="41">
        <v>359.1</v>
      </c>
      <c r="J310" s="41">
        <v>359.1</v>
      </c>
      <c r="K310" s="41">
        <v>359.1</v>
      </c>
    </row>
    <row r="311" spans="1:11" ht="15.75">
      <c r="A311" s="39" t="s">
        <v>66</v>
      </c>
      <c r="B311" s="39" t="s">
        <v>48</v>
      </c>
      <c r="C311" s="40" t="s">
        <v>929</v>
      </c>
      <c r="D311" s="41">
        <v>129.6</v>
      </c>
      <c r="E311" s="41">
        <v>129.6</v>
      </c>
      <c r="F311" s="41">
        <v>129.6</v>
      </c>
      <c r="G311" s="41">
        <v>129.6</v>
      </c>
      <c r="H311" s="41">
        <v>129.6</v>
      </c>
      <c r="I311" s="41">
        <v>129.6</v>
      </c>
      <c r="J311" s="41">
        <v>129.6</v>
      </c>
      <c r="K311" s="41">
        <v>129.6</v>
      </c>
    </row>
    <row r="312" spans="1:11" ht="15.75">
      <c r="A312" s="39" t="s">
        <v>211</v>
      </c>
      <c r="B312" s="39" t="s">
        <v>48</v>
      </c>
      <c r="C312" s="40" t="s">
        <v>930</v>
      </c>
      <c r="D312" s="41">
        <v>299.7</v>
      </c>
      <c r="E312" s="41">
        <v>299.7</v>
      </c>
      <c r="F312" s="41">
        <v>299.7</v>
      </c>
      <c r="G312" s="41">
        <v>299.7</v>
      </c>
      <c r="H312" s="41">
        <v>299.7</v>
      </c>
      <c r="I312" s="41">
        <v>299.7</v>
      </c>
      <c r="J312" s="41">
        <v>299.7</v>
      </c>
      <c r="K312" s="41">
        <v>299.7</v>
      </c>
    </row>
    <row r="313" spans="1:11" ht="15.75">
      <c r="A313" s="39" t="s">
        <v>45</v>
      </c>
      <c r="B313" s="39" t="s">
        <v>48</v>
      </c>
      <c r="C313" s="40" t="s">
        <v>931</v>
      </c>
      <c r="D313" s="41">
        <v>219.6</v>
      </c>
      <c r="E313" s="41">
        <v>219.6</v>
      </c>
      <c r="F313" s="41">
        <v>219.6</v>
      </c>
      <c r="G313" s="41">
        <v>219.6</v>
      </c>
      <c r="H313" s="41">
        <v>219.6</v>
      </c>
      <c r="I313" s="41">
        <v>219.6</v>
      </c>
      <c r="J313" s="41">
        <v>219.6</v>
      </c>
      <c r="K313" s="41">
        <v>219.6</v>
      </c>
    </row>
    <row r="314" spans="1:11" ht="15.75">
      <c r="A314" s="39" t="s">
        <v>45</v>
      </c>
      <c r="B314" s="39" t="s">
        <v>48</v>
      </c>
      <c r="C314" s="40" t="s">
        <v>932</v>
      </c>
      <c r="D314" s="41">
        <v>199.8</v>
      </c>
      <c r="E314" s="41">
        <v>199.8</v>
      </c>
      <c r="F314" s="41">
        <v>199.8</v>
      </c>
      <c r="G314" s="41">
        <v>199.8</v>
      </c>
      <c r="H314" s="41">
        <v>199.8</v>
      </c>
      <c r="I314" s="41">
        <v>199.8</v>
      </c>
      <c r="J314" s="41">
        <v>199.8</v>
      </c>
      <c r="K314" s="41">
        <v>199.8</v>
      </c>
    </row>
    <row r="315" spans="1:11" ht="15.75">
      <c r="A315" s="39" t="s">
        <v>45</v>
      </c>
      <c r="B315" s="45" t="s">
        <v>1014</v>
      </c>
      <c r="C315" s="40" t="s">
        <v>933</v>
      </c>
      <c r="D315" s="41">
        <v>239.4</v>
      </c>
      <c r="E315" s="41">
        <v>239.4</v>
      </c>
      <c r="F315" s="41">
        <v>239.4</v>
      </c>
      <c r="G315" s="41">
        <v>239.4</v>
      </c>
      <c r="H315" s="41">
        <v>239.4</v>
      </c>
      <c r="I315" s="41">
        <v>239.4</v>
      </c>
      <c r="J315" s="41">
        <v>239.4</v>
      </c>
      <c r="K315" s="41">
        <v>239.4</v>
      </c>
    </row>
    <row r="316" spans="1:11" ht="15.75">
      <c r="A316" s="39" t="s">
        <v>45</v>
      </c>
      <c r="B316" s="45" t="s">
        <v>1014</v>
      </c>
      <c r="C316" s="40" t="s">
        <v>934</v>
      </c>
      <c r="D316" s="41">
        <v>329.4</v>
      </c>
      <c r="E316" s="41">
        <v>329.4</v>
      </c>
      <c r="F316" s="41">
        <v>329.4</v>
      </c>
      <c r="G316" s="41">
        <v>329.4</v>
      </c>
      <c r="H316" s="41">
        <v>329.4</v>
      </c>
      <c r="I316" s="41">
        <v>329.4</v>
      </c>
      <c r="J316" s="41">
        <v>329.4</v>
      </c>
      <c r="K316" s="41">
        <v>329.4</v>
      </c>
    </row>
    <row r="317" spans="1:11" ht="15.75">
      <c r="A317" s="39" t="s">
        <v>66</v>
      </c>
      <c r="B317" s="39" t="s">
        <v>48</v>
      </c>
      <c r="C317" s="40" t="s">
        <v>935</v>
      </c>
      <c r="D317" s="41">
        <v>399.6</v>
      </c>
      <c r="E317" s="41">
        <v>399.6</v>
      </c>
      <c r="F317" s="41">
        <v>399.6</v>
      </c>
      <c r="G317" s="41">
        <v>399.6</v>
      </c>
      <c r="H317" s="41">
        <v>399.6</v>
      </c>
      <c r="I317" s="41">
        <v>399.6</v>
      </c>
      <c r="J317" s="41">
        <v>399.6</v>
      </c>
      <c r="K317" s="41">
        <v>399.6</v>
      </c>
    </row>
    <row r="318" spans="1:11" ht="15.75">
      <c r="A318" s="39" t="s">
        <v>835</v>
      </c>
      <c r="B318" s="39" t="s">
        <v>48</v>
      </c>
      <c r="C318" s="40" t="s">
        <v>936</v>
      </c>
      <c r="D318" s="41">
        <v>239.4</v>
      </c>
      <c r="E318" s="41">
        <v>239.4</v>
      </c>
      <c r="F318" s="41">
        <v>239.4</v>
      </c>
      <c r="G318" s="41">
        <v>239.4</v>
      </c>
      <c r="H318" s="41">
        <v>239.4</v>
      </c>
      <c r="I318" s="41">
        <v>239.4</v>
      </c>
      <c r="J318" s="41">
        <v>239.4</v>
      </c>
      <c r="K318" s="41">
        <v>239.4</v>
      </c>
    </row>
    <row r="319" spans="1:11" ht="15.75">
      <c r="A319" s="39" t="s">
        <v>45</v>
      </c>
      <c r="B319" s="39" t="s">
        <v>48</v>
      </c>
      <c r="C319" s="40" t="s">
        <v>937</v>
      </c>
      <c r="D319" s="41">
        <v>469.8</v>
      </c>
      <c r="E319" s="41">
        <v>469.8</v>
      </c>
      <c r="F319" s="41">
        <v>469.8</v>
      </c>
      <c r="G319" s="41">
        <v>469.8</v>
      </c>
      <c r="H319" s="41">
        <v>469.8</v>
      </c>
      <c r="I319" s="41">
        <v>469.8</v>
      </c>
      <c r="J319" s="41">
        <v>469.8</v>
      </c>
      <c r="K319" s="41">
        <v>469.8</v>
      </c>
    </row>
    <row r="320" spans="1:11" ht="15.75">
      <c r="A320" s="39" t="s">
        <v>45</v>
      </c>
      <c r="B320" s="39" t="s">
        <v>48</v>
      </c>
      <c r="C320" s="40" t="s">
        <v>938</v>
      </c>
      <c r="D320" s="41">
        <v>399.6</v>
      </c>
      <c r="E320" s="41">
        <v>399.6</v>
      </c>
      <c r="F320" s="41">
        <v>399.6</v>
      </c>
      <c r="G320" s="41">
        <v>399.6</v>
      </c>
      <c r="H320" s="41">
        <v>399.6</v>
      </c>
      <c r="I320" s="41">
        <v>399.6</v>
      </c>
      <c r="J320" s="41">
        <v>399.6</v>
      </c>
      <c r="K320" s="41">
        <v>399.6</v>
      </c>
    </row>
    <row r="321" spans="1:11" ht="15.75">
      <c r="A321" s="39" t="s">
        <v>835</v>
      </c>
      <c r="B321" s="39" t="s">
        <v>48</v>
      </c>
      <c r="C321" s="40" t="s">
        <v>939</v>
      </c>
      <c r="D321" s="41">
        <v>399.6</v>
      </c>
      <c r="E321" s="41">
        <v>399.6</v>
      </c>
      <c r="F321" s="41">
        <v>399.6</v>
      </c>
      <c r="G321" s="41">
        <v>399.6</v>
      </c>
      <c r="H321" s="41">
        <v>399.6</v>
      </c>
      <c r="I321" s="41">
        <v>399.6</v>
      </c>
      <c r="J321" s="41">
        <v>399.6</v>
      </c>
      <c r="K321" s="41">
        <v>399.6</v>
      </c>
    </row>
    <row r="322" spans="1:11" ht="15.75">
      <c r="A322" s="39" t="s">
        <v>45</v>
      </c>
      <c r="B322" s="39" t="s">
        <v>48</v>
      </c>
      <c r="C322" s="40" t="s">
        <v>940</v>
      </c>
      <c r="D322" s="41">
        <v>399.6</v>
      </c>
      <c r="E322" s="41">
        <v>399.6</v>
      </c>
      <c r="F322" s="41">
        <v>399.6</v>
      </c>
      <c r="G322" s="41">
        <v>399.6</v>
      </c>
      <c r="H322" s="41">
        <v>399.6</v>
      </c>
      <c r="I322" s="41">
        <v>399.6</v>
      </c>
      <c r="J322" s="41">
        <v>399.6</v>
      </c>
      <c r="K322" s="41">
        <v>399.6</v>
      </c>
    </row>
    <row r="323" spans="1:11" ht="15.75">
      <c r="A323" s="39" t="s">
        <v>45</v>
      </c>
      <c r="B323" s="39" t="s">
        <v>48</v>
      </c>
      <c r="C323" s="40" t="s">
        <v>276</v>
      </c>
      <c r="D323" s="41">
        <v>289.8</v>
      </c>
      <c r="E323" s="41">
        <v>289.8</v>
      </c>
      <c r="F323" s="41">
        <v>289.8</v>
      </c>
      <c r="G323" s="41">
        <v>289.8</v>
      </c>
      <c r="H323" s="41">
        <v>289.8</v>
      </c>
      <c r="I323" s="41">
        <v>289.8</v>
      </c>
      <c r="J323" s="41">
        <v>289.8</v>
      </c>
      <c r="K323" s="41">
        <v>289.8</v>
      </c>
    </row>
    <row r="324" spans="1:11" ht="15.75">
      <c r="A324" s="39" t="s">
        <v>45</v>
      </c>
      <c r="B324" s="39" t="s">
        <v>48</v>
      </c>
      <c r="C324" s="40" t="s">
        <v>942</v>
      </c>
      <c r="D324" s="41">
        <v>559.79999999999995</v>
      </c>
      <c r="E324" s="41">
        <v>559.79999999999995</v>
      </c>
      <c r="F324" s="41">
        <v>559.79999999999995</v>
      </c>
      <c r="G324" s="41">
        <v>559.79999999999995</v>
      </c>
      <c r="H324" s="41">
        <v>559.79999999999995</v>
      </c>
      <c r="I324" s="41">
        <v>559.79999999999995</v>
      </c>
      <c r="J324" s="41">
        <v>559.79999999999995</v>
      </c>
      <c r="K324" s="41">
        <v>559.79999999999995</v>
      </c>
    </row>
    <row r="325" spans="1:11" ht="15.75">
      <c r="A325" s="39" t="s">
        <v>91</v>
      </c>
      <c r="B325" s="39" t="s">
        <v>48</v>
      </c>
      <c r="C325" s="40" t="s">
        <v>943</v>
      </c>
      <c r="D325" s="41">
        <v>479.7</v>
      </c>
      <c r="E325" s="41">
        <v>479.7</v>
      </c>
      <c r="F325" s="41">
        <v>479.7</v>
      </c>
      <c r="G325" s="41">
        <v>479.7</v>
      </c>
      <c r="H325" s="41">
        <v>479.7</v>
      </c>
      <c r="I325" s="41">
        <v>479.7</v>
      </c>
      <c r="J325" s="41">
        <v>479.7</v>
      </c>
      <c r="K325" s="41">
        <v>479.7</v>
      </c>
    </row>
    <row r="326" spans="1:11" ht="15.75">
      <c r="A326" s="39" t="s">
        <v>45</v>
      </c>
      <c r="B326" s="39" t="s">
        <v>48</v>
      </c>
      <c r="C326" s="40" t="s">
        <v>944</v>
      </c>
      <c r="D326" s="41">
        <v>659.7</v>
      </c>
      <c r="E326" s="41">
        <v>659.7</v>
      </c>
      <c r="F326" s="41">
        <v>659.7</v>
      </c>
      <c r="G326" s="41">
        <v>659.7</v>
      </c>
      <c r="H326" s="41">
        <v>659.7</v>
      </c>
      <c r="I326" s="41">
        <v>659.7</v>
      </c>
      <c r="J326" s="41">
        <v>659.7</v>
      </c>
      <c r="K326" s="41">
        <v>659.7</v>
      </c>
    </row>
    <row r="327" spans="1:11" ht="15.75">
      <c r="A327" s="39" t="s">
        <v>83</v>
      </c>
      <c r="B327" s="45" t="s">
        <v>1014</v>
      </c>
      <c r="C327" s="40" t="s">
        <v>945</v>
      </c>
      <c r="D327" s="41">
        <v>399.6</v>
      </c>
      <c r="E327" s="41">
        <v>399.6</v>
      </c>
      <c r="F327" s="41">
        <v>399.6</v>
      </c>
      <c r="G327" s="41">
        <v>399.6</v>
      </c>
      <c r="H327" s="41">
        <v>399.6</v>
      </c>
      <c r="I327" s="41">
        <v>399.6</v>
      </c>
      <c r="J327" s="41">
        <v>399.6</v>
      </c>
      <c r="K327" s="41">
        <v>399.6</v>
      </c>
    </row>
    <row r="328" spans="1:11" ht="15.75">
      <c r="A328" s="39" t="s">
        <v>45</v>
      </c>
      <c r="B328" s="39" t="s">
        <v>48</v>
      </c>
      <c r="C328" s="40" t="s">
        <v>946</v>
      </c>
      <c r="D328" s="41">
        <v>799.2</v>
      </c>
      <c r="E328" s="41">
        <v>799.2</v>
      </c>
      <c r="F328" s="41">
        <v>799.2</v>
      </c>
      <c r="G328" s="41">
        <v>799.2</v>
      </c>
      <c r="H328" s="41">
        <v>799.2</v>
      </c>
      <c r="I328" s="41">
        <v>799.2</v>
      </c>
      <c r="J328" s="41">
        <v>799.2</v>
      </c>
      <c r="K328" s="41">
        <v>799.2</v>
      </c>
    </row>
    <row r="329" spans="1:11" ht="15.75">
      <c r="A329" s="39" t="s">
        <v>45</v>
      </c>
      <c r="B329" s="39" t="s">
        <v>48</v>
      </c>
      <c r="C329" s="40" t="s">
        <v>359</v>
      </c>
      <c r="D329" s="41">
        <v>399.6</v>
      </c>
      <c r="E329" s="41">
        <v>399.6</v>
      </c>
      <c r="F329" s="41">
        <v>399.6</v>
      </c>
      <c r="G329" s="41">
        <v>399.6</v>
      </c>
      <c r="H329" s="41">
        <v>399.6</v>
      </c>
      <c r="I329" s="41">
        <v>399.6</v>
      </c>
      <c r="J329" s="41">
        <v>399.6</v>
      </c>
      <c r="K329" s="41">
        <v>399.6</v>
      </c>
    </row>
    <row r="330" spans="1:11" ht="15.75">
      <c r="A330" s="39" t="s">
        <v>45</v>
      </c>
      <c r="B330" s="39" t="s">
        <v>48</v>
      </c>
      <c r="C330" s="40" t="s">
        <v>947</v>
      </c>
      <c r="D330" s="41">
        <v>699.3</v>
      </c>
      <c r="E330" s="41">
        <v>699.3</v>
      </c>
      <c r="F330" s="41">
        <v>699.3</v>
      </c>
      <c r="G330" s="41">
        <v>699.3</v>
      </c>
      <c r="H330" s="41">
        <v>699.3</v>
      </c>
      <c r="I330" s="41">
        <v>699.3</v>
      </c>
      <c r="J330" s="41">
        <v>699.3</v>
      </c>
      <c r="K330" s="41">
        <v>699.3</v>
      </c>
    </row>
    <row r="331" spans="1:11" ht="15.75">
      <c r="A331" s="39" t="s">
        <v>45</v>
      </c>
      <c r="B331" s="39" t="s">
        <v>48</v>
      </c>
      <c r="C331" s="40" t="s">
        <v>948</v>
      </c>
      <c r="D331" s="41">
        <v>439.2</v>
      </c>
      <c r="E331" s="41">
        <v>439.2</v>
      </c>
      <c r="F331" s="41">
        <v>439.2</v>
      </c>
      <c r="G331" s="41">
        <v>439.2</v>
      </c>
      <c r="H331" s="41">
        <v>439.2</v>
      </c>
      <c r="I331" s="41">
        <v>439.2</v>
      </c>
      <c r="J331" s="41">
        <v>439.2</v>
      </c>
      <c r="K331" s="41">
        <v>439.2</v>
      </c>
    </row>
    <row r="332" spans="1:11" ht="15.75">
      <c r="A332" s="39" t="s">
        <v>83</v>
      </c>
      <c r="B332" s="39" t="s">
        <v>48</v>
      </c>
      <c r="C332" s="40" t="s">
        <v>949</v>
      </c>
      <c r="D332" s="41">
        <v>739.8</v>
      </c>
      <c r="E332" s="41">
        <v>739.8</v>
      </c>
      <c r="F332" s="41">
        <v>739.8</v>
      </c>
      <c r="G332" s="41">
        <v>739.8</v>
      </c>
      <c r="H332" s="41">
        <v>739.8</v>
      </c>
      <c r="I332" s="41">
        <v>739.8</v>
      </c>
      <c r="J332" s="41">
        <v>739.8</v>
      </c>
      <c r="K332" s="41">
        <v>739.8</v>
      </c>
    </row>
    <row r="333" spans="1:11" ht="15.75">
      <c r="A333" s="39" t="s">
        <v>45</v>
      </c>
      <c r="B333" s="39" t="s">
        <v>48</v>
      </c>
      <c r="C333" s="40" t="s">
        <v>950</v>
      </c>
      <c r="D333" s="41">
        <v>489.6</v>
      </c>
      <c r="E333" s="41">
        <v>489.6</v>
      </c>
      <c r="F333" s="41">
        <v>489.6</v>
      </c>
      <c r="G333" s="41">
        <v>489.6</v>
      </c>
      <c r="H333" s="41">
        <v>489.6</v>
      </c>
      <c r="I333" s="41">
        <v>489.6</v>
      </c>
      <c r="J333" s="41">
        <v>489.6</v>
      </c>
      <c r="K333" s="41">
        <v>489.6</v>
      </c>
    </row>
    <row r="334" spans="1:11" ht="15.75">
      <c r="A334" s="39" t="s">
        <v>91</v>
      </c>
      <c r="B334" s="39" t="s">
        <v>48</v>
      </c>
      <c r="C334" s="40" t="s">
        <v>951</v>
      </c>
      <c r="D334" s="41">
        <v>679.5</v>
      </c>
      <c r="E334" s="41">
        <v>679.5</v>
      </c>
      <c r="F334" s="41">
        <v>679.5</v>
      </c>
      <c r="G334" s="41">
        <v>679.5</v>
      </c>
      <c r="H334" s="41">
        <v>679.5</v>
      </c>
      <c r="I334" s="41">
        <v>679.5</v>
      </c>
      <c r="J334" s="41">
        <v>679.5</v>
      </c>
      <c r="K334" s="41">
        <v>679.5</v>
      </c>
    </row>
    <row r="335" spans="1:11" ht="15.75">
      <c r="A335" s="39" t="s">
        <v>45</v>
      </c>
      <c r="B335" s="39" t="s">
        <v>48</v>
      </c>
      <c r="C335" s="40" t="s">
        <v>952</v>
      </c>
      <c r="D335" s="41">
        <v>929.7</v>
      </c>
      <c r="E335" s="41">
        <v>929.7</v>
      </c>
      <c r="F335" s="41">
        <v>929.7</v>
      </c>
      <c r="G335" s="41">
        <v>929.7</v>
      </c>
      <c r="H335" s="41">
        <v>929.7</v>
      </c>
      <c r="I335" s="41">
        <v>929.7</v>
      </c>
      <c r="J335" s="41">
        <v>929.7</v>
      </c>
      <c r="K335" s="41">
        <v>929.7</v>
      </c>
    </row>
    <row r="336" spans="1:11" ht="15.75">
      <c r="A336" s="39" t="s">
        <v>45</v>
      </c>
      <c r="B336" s="39" t="s">
        <v>48</v>
      </c>
      <c r="C336" s="40" t="s">
        <v>953</v>
      </c>
      <c r="D336" s="41">
        <v>999</v>
      </c>
      <c r="E336" s="41">
        <v>999</v>
      </c>
      <c r="F336" s="41">
        <v>999</v>
      </c>
      <c r="G336" s="41">
        <v>999</v>
      </c>
      <c r="H336" s="41">
        <v>999</v>
      </c>
      <c r="I336" s="41">
        <v>999</v>
      </c>
      <c r="J336" s="41">
        <v>999</v>
      </c>
      <c r="K336" s="41">
        <v>999</v>
      </c>
    </row>
    <row r="337" spans="1:11" ht="15.75">
      <c r="A337" s="39" t="s">
        <v>45</v>
      </c>
      <c r="B337" s="39" t="s">
        <v>48</v>
      </c>
      <c r="C337" s="40" t="s">
        <v>954</v>
      </c>
      <c r="D337" s="41">
        <v>899.1</v>
      </c>
      <c r="E337" s="41">
        <v>899.1</v>
      </c>
      <c r="F337" s="41">
        <v>899.1</v>
      </c>
      <c r="G337" s="41">
        <v>899.1</v>
      </c>
      <c r="H337" s="41">
        <v>899.1</v>
      </c>
      <c r="I337" s="41">
        <v>899.1</v>
      </c>
      <c r="J337" s="41">
        <v>899.1</v>
      </c>
      <c r="K337" s="41">
        <v>899.1</v>
      </c>
    </row>
    <row r="338" spans="1:11" ht="15.75">
      <c r="A338" s="39" t="s">
        <v>83</v>
      </c>
      <c r="B338" s="39" t="s">
        <v>48</v>
      </c>
      <c r="C338" s="40" t="s">
        <v>955</v>
      </c>
      <c r="D338" s="41">
        <v>829.8</v>
      </c>
      <c r="E338" s="41">
        <v>829.8</v>
      </c>
      <c r="F338" s="41">
        <v>829.8</v>
      </c>
      <c r="G338" s="41">
        <v>829.8</v>
      </c>
      <c r="H338" s="41">
        <v>829.8</v>
      </c>
      <c r="I338" s="41">
        <v>829.8</v>
      </c>
      <c r="J338" s="41">
        <v>829.8</v>
      </c>
      <c r="K338" s="41">
        <v>829.8</v>
      </c>
    </row>
    <row r="339" spans="1:11" ht="15.75">
      <c r="A339" s="39" t="s">
        <v>83</v>
      </c>
      <c r="B339" s="39" t="s">
        <v>48</v>
      </c>
      <c r="C339" s="40" t="s">
        <v>956</v>
      </c>
      <c r="D339" s="41">
        <v>869.4</v>
      </c>
      <c r="E339" s="41">
        <v>869.4</v>
      </c>
      <c r="F339" s="41">
        <v>869.4</v>
      </c>
      <c r="G339" s="41">
        <v>869.4</v>
      </c>
      <c r="H339" s="41">
        <v>869.4</v>
      </c>
      <c r="I339" s="41">
        <v>869.4</v>
      </c>
      <c r="J339" s="41">
        <v>869.4</v>
      </c>
      <c r="K339" s="41">
        <v>869.4</v>
      </c>
    </row>
    <row r="340" spans="1:11" ht="15.75">
      <c r="A340" s="39" t="s">
        <v>83</v>
      </c>
      <c r="B340" s="39" t="s">
        <v>48</v>
      </c>
      <c r="C340" s="40" t="s">
        <v>957</v>
      </c>
      <c r="D340" s="41">
        <v>979.2</v>
      </c>
      <c r="E340" s="41">
        <v>979.2</v>
      </c>
      <c r="F340" s="41">
        <v>979.2</v>
      </c>
      <c r="G340" s="41">
        <v>979.2</v>
      </c>
      <c r="H340" s="41">
        <v>979.2</v>
      </c>
      <c r="I340" s="41">
        <v>979.2</v>
      </c>
      <c r="J340" s="41">
        <v>979.2</v>
      </c>
      <c r="K340" s="41">
        <v>979.2</v>
      </c>
    </row>
    <row r="341" spans="1:11" ht="15.75">
      <c r="A341" s="39" t="s">
        <v>83</v>
      </c>
      <c r="B341" s="39" t="s">
        <v>48</v>
      </c>
      <c r="C341" s="40" t="s">
        <v>958</v>
      </c>
      <c r="D341" s="41">
        <v>749.7</v>
      </c>
      <c r="E341" s="41">
        <v>749.7</v>
      </c>
      <c r="F341" s="41">
        <v>749.7</v>
      </c>
      <c r="G341" s="41">
        <v>749.7</v>
      </c>
      <c r="H341" s="41">
        <v>749.7</v>
      </c>
      <c r="I341" s="41">
        <v>749.7</v>
      </c>
      <c r="J341" s="41">
        <v>749.7</v>
      </c>
      <c r="K341" s="41">
        <v>749.7</v>
      </c>
    </row>
    <row r="342" spans="1:11" ht="15.75">
      <c r="A342" s="39" t="s">
        <v>83</v>
      </c>
      <c r="B342" s="39" t="s">
        <v>48</v>
      </c>
      <c r="C342" s="40" t="s">
        <v>959</v>
      </c>
      <c r="D342" s="41">
        <v>1349.1</v>
      </c>
      <c r="E342" s="41">
        <v>1349.1</v>
      </c>
      <c r="F342" s="41">
        <v>1349.1</v>
      </c>
      <c r="G342" s="41">
        <v>1349.1</v>
      </c>
      <c r="H342" s="41">
        <v>1349.1</v>
      </c>
      <c r="I342" s="41">
        <v>1349.1</v>
      </c>
      <c r="J342" s="41">
        <v>1349.1</v>
      </c>
      <c r="K342" s="41">
        <v>1349.1</v>
      </c>
    </row>
    <row r="343" spans="1:11" ht="15.75">
      <c r="A343" s="39" t="s">
        <v>83</v>
      </c>
      <c r="B343" s="39" t="s">
        <v>48</v>
      </c>
      <c r="C343" s="40" t="s">
        <v>960</v>
      </c>
      <c r="D343" s="41">
        <v>999</v>
      </c>
      <c r="E343" s="41">
        <v>999</v>
      </c>
      <c r="F343" s="41">
        <v>999</v>
      </c>
      <c r="G343" s="41">
        <v>999</v>
      </c>
      <c r="H343" s="41">
        <v>999</v>
      </c>
      <c r="I343" s="41">
        <v>999</v>
      </c>
      <c r="J343" s="41">
        <v>999</v>
      </c>
      <c r="K343" s="41">
        <v>999</v>
      </c>
    </row>
    <row r="344" spans="1:11" ht="15.75">
      <c r="A344" s="39" t="s">
        <v>83</v>
      </c>
      <c r="B344" s="39" t="s">
        <v>48</v>
      </c>
      <c r="C344" s="40" t="s">
        <v>374</v>
      </c>
      <c r="D344" s="41">
        <v>1059.3</v>
      </c>
      <c r="E344" s="41">
        <v>1059.3</v>
      </c>
      <c r="F344" s="41">
        <v>1059.3</v>
      </c>
      <c r="G344" s="41">
        <v>1059.3</v>
      </c>
      <c r="H344" s="41">
        <v>1059.3</v>
      </c>
      <c r="I344" s="41">
        <v>1059.3</v>
      </c>
      <c r="J344" s="41">
        <v>1059.3</v>
      </c>
      <c r="K344" s="41">
        <v>1059.3</v>
      </c>
    </row>
    <row r="345" spans="1:11" ht="15.75">
      <c r="A345" s="39" t="s">
        <v>83</v>
      </c>
      <c r="B345" s="39" t="s">
        <v>48</v>
      </c>
      <c r="C345" s="40" t="s">
        <v>961</v>
      </c>
      <c r="D345" s="41">
        <v>1399.5</v>
      </c>
      <c r="E345" s="41">
        <v>1399.5</v>
      </c>
      <c r="F345" s="41">
        <v>1399.5</v>
      </c>
      <c r="G345" s="41">
        <v>1399.5</v>
      </c>
      <c r="H345" s="41">
        <v>1399.5</v>
      </c>
      <c r="I345" s="41">
        <v>1399.5</v>
      </c>
      <c r="J345" s="41">
        <v>1399.5</v>
      </c>
      <c r="K345" s="41">
        <v>1399.5</v>
      </c>
    </row>
    <row r="346" spans="1:11" ht="15.75">
      <c r="A346" s="39" t="s">
        <v>83</v>
      </c>
      <c r="B346" s="39" t="s">
        <v>48</v>
      </c>
      <c r="C346" s="40" t="s">
        <v>310</v>
      </c>
      <c r="D346" s="41">
        <v>1249.2</v>
      </c>
      <c r="E346" s="41">
        <v>1249.2</v>
      </c>
      <c r="F346" s="41">
        <v>1249.2</v>
      </c>
      <c r="G346" s="41">
        <v>1249.2</v>
      </c>
      <c r="H346" s="41">
        <v>1249.2</v>
      </c>
      <c r="I346" s="41">
        <v>1249.2</v>
      </c>
      <c r="J346" s="41">
        <v>1249.2</v>
      </c>
      <c r="K346" s="41">
        <v>1249.2</v>
      </c>
    </row>
    <row r="347" spans="1:11" ht="15.75">
      <c r="A347" s="39" t="s">
        <v>83</v>
      </c>
      <c r="B347" s="39" t="s">
        <v>48</v>
      </c>
      <c r="C347" s="40" t="s">
        <v>962</v>
      </c>
      <c r="D347" s="41">
        <v>1309.5</v>
      </c>
      <c r="E347" s="41">
        <v>1309.5</v>
      </c>
      <c r="F347" s="41">
        <v>1309.5</v>
      </c>
      <c r="G347" s="41">
        <v>1309.5</v>
      </c>
      <c r="H347" s="41">
        <v>1309.5</v>
      </c>
      <c r="I347" s="41">
        <v>1309.5</v>
      </c>
      <c r="J347" s="41">
        <v>1309.5</v>
      </c>
      <c r="K347" s="41">
        <v>1309.5</v>
      </c>
    </row>
    <row r="348" spans="1:11" ht="15.75">
      <c r="A348" s="39" t="s">
        <v>91</v>
      </c>
      <c r="B348" s="39" t="s">
        <v>48</v>
      </c>
      <c r="C348" s="40" t="s">
        <v>963</v>
      </c>
      <c r="D348" s="41">
        <v>1269</v>
      </c>
      <c r="E348" s="41">
        <v>1269</v>
      </c>
      <c r="F348" s="41">
        <v>1269</v>
      </c>
      <c r="G348" s="41">
        <v>1269</v>
      </c>
      <c r="H348" s="41">
        <v>1269</v>
      </c>
      <c r="I348" s="41">
        <v>1269</v>
      </c>
      <c r="J348" s="41">
        <v>1269</v>
      </c>
      <c r="K348" s="41">
        <v>1269</v>
      </c>
    </row>
    <row r="349" spans="1:11" ht="15.75">
      <c r="A349" s="39" t="s">
        <v>91</v>
      </c>
      <c r="B349" s="39" t="s">
        <v>48</v>
      </c>
      <c r="C349" s="40" t="s">
        <v>964</v>
      </c>
      <c r="D349" s="41">
        <v>1629</v>
      </c>
      <c r="E349" s="41">
        <v>1629</v>
      </c>
      <c r="F349" s="41">
        <v>1629</v>
      </c>
      <c r="G349" s="41">
        <v>1629</v>
      </c>
      <c r="H349" s="41">
        <v>1629</v>
      </c>
      <c r="I349" s="41">
        <v>1629</v>
      </c>
      <c r="J349" s="41">
        <v>1629</v>
      </c>
      <c r="K349" s="41">
        <v>1629</v>
      </c>
    </row>
    <row r="350" spans="1:11" ht="15.75">
      <c r="A350" s="39" t="s">
        <v>91</v>
      </c>
      <c r="B350" s="39" t="s">
        <v>48</v>
      </c>
      <c r="C350" s="40" t="s">
        <v>965</v>
      </c>
      <c r="D350" s="41">
        <v>1899</v>
      </c>
      <c r="E350" s="41">
        <v>1899</v>
      </c>
      <c r="F350" s="41">
        <v>1899</v>
      </c>
      <c r="G350" s="41">
        <v>1899</v>
      </c>
      <c r="H350" s="41">
        <v>1899</v>
      </c>
      <c r="I350" s="41">
        <v>1899</v>
      </c>
      <c r="J350" s="41">
        <v>1899</v>
      </c>
      <c r="K350" s="41">
        <v>1899</v>
      </c>
    </row>
    <row r="351" spans="1:11" ht="15.75">
      <c r="A351" s="39" t="s">
        <v>835</v>
      </c>
      <c r="B351" s="39" t="s">
        <v>48</v>
      </c>
      <c r="C351" s="40" t="s">
        <v>966</v>
      </c>
      <c r="D351" s="41">
        <v>1969.2</v>
      </c>
      <c r="E351" s="41">
        <v>1969.2</v>
      </c>
      <c r="F351" s="41">
        <v>1969.2</v>
      </c>
      <c r="G351" s="41">
        <v>1969.2</v>
      </c>
      <c r="H351" s="41">
        <v>1969.2</v>
      </c>
      <c r="I351" s="41">
        <v>1969.2</v>
      </c>
      <c r="J351" s="41">
        <v>1969.2</v>
      </c>
      <c r="K351" s="41">
        <v>1969.2</v>
      </c>
    </row>
    <row r="352" spans="1:11" ht="15.75">
      <c r="A352" s="39" t="s">
        <v>91</v>
      </c>
      <c r="B352" s="39" t="s">
        <v>48</v>
      </c>
      <c r="C352" s="40" t="s">
        <v>967</v>
      </c>
      <c r="D352" s="41">
        <v>1909.8</v>
      </c>
      <c r="E352" s="41">
        <v>1909.8</v>
      </c>
      <c r="F352" s="41">
        <v>1909.8</v>
      </c>
      <c r="G352" s="41">
        <v>1909.8</v>
      </c>
      <c r="H352" s="41">
        <v>1909.8</v>
      </c>
      <c r="I352" s="41">
        <v>1909.8</v>
      </c>
      <c r="J352" s="41">
        <v>1909.8</v>
      </c>
      <c r="K352" s="41">
        <v>1909.8</v>
      </c>
    </row>
    <row r="353" spans="1:11" ht="15.75">
      <c r="A353" s="39" t="s">
        <v>91</v>
      </c>
      <c r="B353" s="39" t="s">
        <v>48</v>
      </c>
      <c r="C353" s="40" t="s">
        <v>968</v>
      </c>
      <c r="D353" s="41">
        <v>2269.8000000000002</v>
      </c>
      <c r="E353" s="41">
        <v>2269.8000000000002</v>
      </c>
      <c r="F353" s="41">
        <v>2269.8000000000002</v>
      </c>
      <c r="G353" s="41">
        <v>2269.8000000000002</v>
      </c>
      <c r="H353" s="41">
        <v>2269.8000000000002</v>
      </c>
      <c r="I353" s="41">
        <v>2269.8000000000002</v>
      </c>
      <c r="J353" s="41">
        <v>2269.8000000000002</v>
      </c>
      <c r="K353" s="41">
        <v>2269.8000000000002</v>
      </c>
    </row>
    <row r="354" spans="1:11" ht="15.75">
      <c r="A354" s="39" t="s">
        <v>91</v>
      </c>
      <c r="B354" s="39" t="s">
        <v>48</v>
      </c>
      <c r="C354" s="40" t="s">
        <v>969</v>
      </c>
      <c r="D354" s="41">
        <v>2259</v>
      </c>
      <c r="E354" s="41">
        <v>2259</v>
      </c>
      <c r="F354" s="41">
        <v>2259</v>
      </c>
      <c r="G354" s="41">
        <v>2259</v>
      </c>
      <c r="H354" s="41">
        <v>2259</v>
      </c>
      <c r="I354" s="41">
        <v>2259</v>
      </c>
      <c r="J354" s="41">
        <v>2259</v>
      </c>
      <c r="K354" s="41">
        <v>2259</v>
      </c>
    </row>
    <row r="355" spans="1:11" ht="15.75">
      <c r="A355" s="39" t="s">
        <v>91</v>
      </c>
      <c r="B355" s="39" t="s">
        <v>48</v>
      </c>
      <c r="C355" s="40" t="s">
        <v>970</v>
      </c>
      <c r="D355" s="41">
        <v>2399.4</v>
      </c>
      <c r="E355" s="41">
        <v>2399.4</v>
      </c>
      <c r="F355" s="41">
        <v>2399.4</v>
      </c>
      <c r="G355" s="41">
        <v>2399.4</v>
      </c>
      <c r="H355" s="41">
        <v>2399.4</v>
      </c>
      <c r="I355" s="41">
        <v>2399.4</v>
      </c>
      <c r="J355" s="41">
        <v>2399.4</v>
      </c>
      <c r="K355" s="41">
        <v>2399.4</v>
      </c>
    </row>
    <row r="356" spans="1:11" ht="15.75">
      <c r="A356" s="39" t="s">
        <v>91</v>
      </c>
      <c r="B356" s="39" t="s">
        <v>48</v>
      </c>
      <c r="C356" s="40" t="s">
        <v>971</v>
      </c>
      <c r="D356" s="41">
        <v>2719.8</v>
      </c>
      <c r="E356" s="41">
        <v>2719.8</v>
      </c>
      <c r="F356" s="41">
        <v>2719.8</v>
      </c>
      <c r="G356" s="41">
        <v>2719.8</v>
      </c>
      <c r="H356" s="41">
        <v>2719.8</v>
      </c>
      <c r="I356" s="41">
        <v>2719.8</v>
      </c>
      <c r="J356" s="41">
        <v>2719.8</v>
      </c>
      <c r="K356" s="41">
        <v>2719.8</v>
      </c>
    </row>
    <row r="357" spans="1:11" ht="15.75">
      <c r="A357" s="39" t="s">
        <v>91</v>
      </c>
      <c r="B357" s="39" t="s">
        <v>48</v>
      </c>
      <c r="C357" s="40" t="s">
        <v>972</v>
      </c>
      <c r="D357" s="41">
        <v>2699.1</v>
      </c>
      <c r="E357" s="41">
        <v>2699.1</v>
      </c>
      <c r="F357" s="41">
        <v>2699.1</v>
      </c>
      <c r="G357" s="41">
        <v>2699.1</v>
      </c>
      <c r="H357" s="41">
        <v>2699.1</v>
      </c>
      <c r="I357" s="41">
        <v>2699.1</v>
      </c>
      <c r="J357" s="41">
        <v>2699.1</v>
      </c>
      <c r="K357" s="41">
        <v>2699.1</v>
      </c>
    </row>
    <row r="358" spans="1:11" ht="15.75">
      <c r="A358" s="39" t="s">
        <v>91</v>
      </c>
      <c r="B358" s="45" t="s">
        <v>1014</v>
      </c>
      <c r="C358" s="40" t="s">
        <v>973</v>
      </c>
      <c r="D358" s="41">
        <v>2559.6</v>
      </c>
      <c r="E358" s="41">
        <v>2559.6</v>
      </c>
      <c r="F358" s="41">
        <v>2559.6</v>
      </c>
      <c r="G358" s="41">
        <v>2559.6</v>
      </c>
      <c r="H358" s="41">
        <v>2559.6</v>
      </c>
      <c r="I358" s="41">
        <v>2559.6</v>
      </c>
      <c r="J358" s="41">
        <v>2559.6</v>
      </c>
      <c r="K358" s="41">
        <v>2559.6</v>
      </c>
    </row>
    <row r="359" spans="1:11" ht="15.75">
      <c r="A359" s="39" t="s">
        <v>91</v>
      </c>
      <c r="B359" s="39" t="s">
        <v>48</v>
      </c>
      <c r="C359" s="40" t="s">
        <v>974</v>
      </c>
      <c r="D359" s="41">
        <v>3669.3</v>
      </c>
      <c r="E359" s="41">
        <v>3669.3</v>
      </c>
      <c r="F359" s="41">
        <v>3669.3</v>
      </c>
      <c r="G359" s="41">
        <v>3669.3</v>
      </c>
      <c r="H359" s="41">
        <v>3669.3</v>
      </c>
      <c r="I359" s="41">
        <v>3669.3</v>
      </c>
      <c r="J359" s="41">
        <v>3669.3</v>
      </c>
      <c r="K359" s="41">
        <v>3669.3</v>
      </c>
    </row>
    <row r="360" spans="1:11" ht="15.75">
      <c r="A360" s="39" t="s">
        <v>91</v>
      </c>
      <c r="B360" s="39" t="s">
        <v>48</v>
      </c>
      <c r="C360" s="40" t="s">
        <v>975</v>
      </c>
      <c r="D360" s="41">
        <v>2869.2</v>
      </c>
      <c r="E360" s="41">
        <v>2869.2</v>
      </c>
      <c r="F360" s="41">
        <v>2869.2</v>
      </c>
      <c r="G360" s="41">
        <v>2869.2</v>
      </c>
      <c r="H360" s="41">
        <v>2869.2</v>
      </c>
      <c r="I360" s="41">
        <v>2869.2</v>
      </c>
      <c r="J360" s="41">
        <v>2869.2</v>
      </c>
      <c r="K360" s="41">
        <v>2869.2</v>
      </c>
    </row>
    <row r="361" spans="1:11" ht="15.75">
      <c r="A361" s="39" t="s">
        <v>91</v>
      </c>
      <c r="B361" s="39" t="s">
        <v>48</v>
      </c>
      <c r="C361" s="40" t="s">
        <v>976</v>
      </c>
      <c r="D361" s="41">
        <v>2759.4</v>
      </c>
      <c r="E361" s="41">
        <v>2759.4</v>
      </c>
      <c r="F361" s="41">
        <v>2759.4</v>
      </c>
      <c r="G361" s="41">
        <v>2759.4</v>
      </c>
      <c r="H361" s="41">
        <v>2759.4</v>
      </c>
      <c r="I361" s="41">
        <v>2759.4</v>
      </c>
      <c r="J361" s="41">
        <v>2759.4</v>
      </c>
      <c r="K361" s="41">
        <v>2759.4</v>
      </c>
    </row>
    <row r="362" spans="1:11" ht="15.75">
      <c r="A362" s="39" t="s">
        <v>91</v>
      </c>
      <c r="B362" s="39" t="s">
        <v>48</v>
      </c>
      <c r="C362" s="40" t="s">
        <v>977</v>
      </c>
      <c r="D362" s="41">
        <v>4499.1000000000004</v>
      </c>
      <c r="E362" s="41">
        <v>4499.1000000000004</v>
      </c>
      <c r="F362" s="41">
        <v>4499.1000000000004</v>
      </c>
      <c r="G362" s="41">
        <v>4499.1000000000004</v>
      </c>
      <c r="H362" s="41">
        <v>4499.1000000000004</v>
      </c>
      <c r="I362" s="41">
        <v>4499.1000000000004</v>
      </c>
      <c r="J362" s="41">
        <v>4499.1000000000004</v>
      </c>
      <c r="K362" s="41">
        <v>4499.1000000000004</v>
      </c>
    </row>
    <row r="363" spans="1:11" ht="15.75">
      <c r="A363" s="39" t="s">
        <v>45</v>
      </c>
      <c r="B363" s="39" t="s">
        <v>48</v>
      </c>
      <c r="C363" s="40" t="s">
        <v>978</v>
      </c>
      <c r="D363" s="41">
        <v>619.20000000000005</v>
      </c>
      <c r="E363" s="41">
        <v>619.20000000000005</v>
      </c>
      <c r="F363" s="41">
        <v>619.20000000000005</v>
      </c>
      <c r="G363" s="41">
        <v>619.20000000000005</v>
      </c>
      <c r="H363" s="41">
        <v>619.20000000000005</v>
      </c>
      <c r="I363" s="41">
        <v>619.20000000000005</v>
      </c>
      <c r="J363" s="41">
        <v>619.20000000000005</v>
      </c>
      <c r="K363" s="41">
        <v>619.20000000000005</v>
      </c>
    </row>
    <row r="364" spans="1:11" ht="15.75">
      <c r="A364" s="39" t="s">
        <v>211</v>
      </c>
      <c r="B364" s="39" t="s">
        <v>48</v>
      </c>
      <c r="C364" s="40" t="s">
        <v>179</v>
      </c>
      <c r="D364" s="41">
        <v>479.7</v>
      </c>
      <c r="E364" s="41">
        <v>479.7</v>
      </c>
      <c r="F364" s="41">
        <v>479.7</v>
      </c>
      <c r="G364" s="41">
        <v>479.7</v>
      </c>
      <c r="H364" s="41">
        <v>479.7</v>
      </c>
      <c r="I364" s="41">
        <v>479.7</v>
      </c>
      <c r="J364" s="41">
        <v>479.7</v>
      </c>
      <c r="K364" s="41">
        <v>479.7</v>
      </c>
    </row>
    <row r="365" spans="1:11" ht="15.75">
      <c r="A365" s="39" t="s">
        <v>83</v>
      </c>
      <c r="B365" s="39" t="s">
        <v>48</v>
      </c>
      <c r="C365" s="40" t="s">
        <v>979</v>
      </c>
      <c r="D365" s="41">
        <v>1299.5999999999999</v>
      </c>
      <c r="E365" s="41">
        <v>1299.5999999999999</v>
      </c>
      <c r="F365" s="41">
        <v>1299.5999999999999</v>
      </c>
      <c r="G365" s="41">
        <v>1299.5999999999999</v>
      </c>
      <c r="H365" s="41">
        <v>1299.5999999999999</v>
      </c>
      <c r="I365" s="41">
        <v>1299.5999999999999</v>
      </c>
      <c r="J365" s="41">
        <v>1299.5999999999999</v>
      </c>
      <c r="K365" s="41">
        <v>1299.5999999999999</v>
      </c>
    </row>
    <row r="366" spans="1:11" ht="15.75">
      <c r="A366" s="39" t="s">
        <v>83</v>
      </c>
      <c r="B366" s="39" t="s">
        <v>48</v>
      </c>
      <c r="C366" s="40" t="s">
        <v>304</v>
      </c>
      <c r="D366" s="41">
        <v>1569.6</v>
      </c>
      <c r="E366" s="41">
        <v>1569.6</v>
      </c>
      <c r="F366" s="41">
        <v>1569.6</v>
      </c>
      <c r="G366" s="41">
        <v>1569.6</v>
      </c>
      <c r="H366" s="41">
        <v>1569.6</v>
      </c>
      <c r="I366" s="41">
        <v>1569.6</v>
      </c>
      <c r="J366" s="41">
        <v>1569.6</v>
      </c>
      <c r="K366" s="41">
        <v>1569.6</v>
      </c>
    </row>
    <row r="367" spans="1:11" ht="15.75">
      <c r="A367" s="39" t="s">
        <v>91</v>
      </c>
      <c r="B367" s="39" t="s">
        <v>48</v>
      </c>
      <c r="C367" s="40" t="s">
        <v>315</v>
      </c>
      <c r="D367" s="41">
        <v>1839.6</v>
      </c>
      <c r="E367" s="41">
        <v>1839.6</v>
      </c>
      <c r="F367" s="41">
        <v>1839.6</v>
      </c>
      <c r="G367" s="41">
        <v>1839.6</v>
      </c>
      <c r="H367" s="41">
        <v>1839.6</v>
      </c>
      <c r="I367" s="41">
        <v>1839.6</v>
      </c>
      <c r="J367" s="41">
        <v>1839.6</v>
      </c>
      <c r="K367" s="41">
        <v>1839.6</v>
      </c>
    </row>
    <row r="368" spans="1:11" ht="15.75">
      <c r="A368" s="39" t="s">
        <v>45</v>
      </c>
      <c r="B368" s="45" t="s">
        <v>1014</v>
      </c>
      <c r="C368" s="40" t="s">
        <v>980</v>
      </c>
      <c r="D368" s="41">
        <v>129.6</v>
      </c>
      <c r="E368" s="41">
        <v>129.6</v>
      </c>
      <c r="F368" s="41">
        <v>129.6</v>
      </c>
      <c r="G368" s="41">
        <v>129.6</v>
      </c>
      <c r="H368" s="41">
        <v>129.6</v>
      </c>
      <c r="I368" s="41">
        <v>129.6</v>
      </c>
      <c r="J368" s="41">
        <v>129.6</v>
      </c>
      <c r="K368" s="41">
        <v>129.6</v>
      </c>
    </row>
    <row r="369" spans="1:11" ht="15.75">
      <c r="A369" s="39" t="s">
        <v>83</v>
      </c>
      <c r="B369" s="39" t="s">
        <v>48</v>
      </c>
      <c r="C369" s="40" t="s">
        <v>981</v>
      </c>
      <c r="D369" s="41">
        <v>1759.5</v>
      </c>
      <c r="E369" s="41">
        <v>1759.5</v>
      </c>
      <c r="F369" s="41">
        <v>1759.5</v>
      </c>
      <c r="G369" s="41">
        <v>1759.5</v>
      </c>
      <c r="H369" s="41">
        <v>1759.5</v>
      </c>
      <c r="I369" s="41">
        <v>1759.5</v>
      </c>
      <c r="J369" s="41">
        <v>1759.5</v>
      </c>
      <c r="K369" s="41">
        <v>1759.5</v>
      </c>
    </row>
    <row r="370" spans="1:11" ht="15.75">
      <c r="A370" s="39" t="s">
        <v>45</v>
      </c>
      <c r="B370" s="39" t="s">
        <v>48</v>
      </c>
      <c r="C370" s="40" t="s">
        <v>507</v>
      </c>
      <c r="D370" s="41">
        <v>699.3</v>
      </c>
      <c r="E370" s="41">
        <v>699.3</v>
      </c>
      <c r="F370" s="41">
        <v>699.3</v>
      </c>
      <c r="G370" s="41">
        <v>699.3</v>
      </c>
      <c r="H370" s="41">
        <v>699.3</v>
      </c>
      <c r="I370" s="41">
        <v>699.3</v>
      </c>
      <c r="J370" s="41">
        <v>699.3</v>
      </c>
      <c r="K370" s="41">
        <v>699.3</v>
      </c>
    </row>
    <row r="371" spans="1:11" ht="15.75">
      <c r="A371" s="39" t="s">
        <v>45</v>
      </c>
      <c r="B371" s="39" t="s">
        <v>48</v>
      </c>
      <c r="C371" s="40" t="s">
        <v>982</v>
      </c>
      <c r="D371" s="41">
        <v>239.4</v>
      </c>
      <c r="E371" s="41">
        <v>239.4</v>
      </c>
      <c r="F371" s="41">
        <v>239.4</v>
      </c>
      <c r="G371" s="41">
        <v>239.4</v>
      </c>
      <c r="H371" s="41">
        <v>239.4</v>
      </c>
      <c r="I371" s="41">
        <v>239.4</v>
      </c>
      <c r="J371" s="41">
        <v>239.4</v>
      </c>
      <c r="K371" s="41">
        <v>239.4</v>
      </c>
    </row>
    <row r="372" spans="1:11" ht="15.75">
      <c r="A372" s="39" t="s">
        <v>45</v>
      </c>
      <c r="B372" s="39" t="s">
        <v>48</v>
      </c>
      <c r="C372" s="40" t="s">
        <v>254</v>
      </c>
      <c r="D372" s="41">
        <v>159.30000000000001</v>
      </c>
      <c r="E372" s="41">
        <v>159.30000000000001</v>
      </c>
      <c r="F372" s="41">
        <v>159.30000000000001</v>
      </c>
      <c r="G372" s="41">
        <v>159.30000000000001</v>
      </c>
      <c r="H372" s="41">
        <v>159.30000000000001</v>
      </c>
      <c r="I372" s="41">
        <v>159.30000000000001</v>
      </c>
      <c r="J372" s="41">
        <v>159.30000000000001</v>
      </c>
      <c r="K372" s="41">
        <v>159.30000000000001</v>
      </c>
    </row>
    <row r="373" spans="1:11" ht="15.75">
      <c r="A373" s="39" t="s">
        <v>45</v>
      </c>
      <c r="B373" s="39" t="s">
        <v>48</v>
      </c>
      <c r="C373" s="40" t="s">
        <v>480</v>
      </c>
      <c r="D373" s="41">
        <v>309.60000000000002</v>
      </c>
      <c r="E373" s="41">
        <v>309.60000000000002</v>
      </c>
      <c r="F373" s="41">
        <v>309.60000000000002</v>
      </c>
      <c r="G373" s="41">
        <v>309.60000000000002</v>
      </c>
      <c r="H373" s="41">
        <v>309.60000000000002</v>
      </c>
      <c r="I373" s="41">
        <v>309.60000000000002</v>
      </c>
      <c r="J373" s="41">
        <v>309.60000000000002</v>
      </c>
      <c r="K373" s="41">
        <v>309.60000000000002</v>
      </c>
    </row>
    <row r="374" spans="1:11" ht="15.75">
      <c r="A374" s="39" t="s">
        <v>83</v>
      </c>
      <c r="B374" s="39" t="s">
        <v>48</v>
      </c>
      <c r="C374" s="40" t="s">
        <v>983</v>
      </c>
      <c r="D374" s="41">
        <v>979.2</v>
      </c>
      <c r="E374" s="41">
        <v>979.2</v>
      </c>
      <c r="F374" s="41">
        <v>979.2</v>
      </c>
      <c r="G374" s="41">
        <v>979.2</v>
      </c>
      <c r="H374" s="41">
        <v>979.2</v>
      </c>
      <c r="I374" s="41">
        <v>979.2</v>
      </c>
      <c r="J374" s="41">
        <v>979.2</v>
      </c>
      <c r="K374" s="41">
        <v>979.2</v>
      </c>
    </row>
    <row r="375" spans="1:11" ht="15.75">
      <c r="A375" s="39" t="s">
        <v>91</v>
      </c>
      <c r="B375" s="39" t="s">
        <v>48</v>
      </c>
      <c r="C375" s="40" t="s">
        <v>984</v>
      </c>
      <c r="D375" s="41">
        <v>2489.4</v>
      </c>
      <c r="E375" s="41">
        <v>2489.4</v>
      </c>
      <c r="F375" s="41">
        <v>2489.4</v>
      </c>
      <c r="G375" s="41">
        <v>2489.4</v>
      </c>
      <c r="H375" s="41">
        <v>2489.4</v>
      </c>
      <c r="I375" s="41">
        <v>2489.4</v>
      </c>
      <c r="J375" s="41">
        <v>2489.4</v>
      </c>
      <c r="K375" s="41">
        <v>2489.4</v>
      </c>
    </row>
    <row r="376" spans="1:11" ht="15.75">
      <c r="A376" s="39" t="s">
        <v>83</v>
      </c>
      <c r="B376" s="39" t="s">
        <v>48</v>
      </c>
      <c r="C376" s="40" t="s">
        <v>985</v>
      </c>
      <c r="D376" s="41">
        <v>1319.4</v>
      </c>
      <c r="E376" s="41">
        <v>1319.4</v>
      </c>
      <c r="F376" s="41">
        <v>1319.4</v>
      </c>
      <c r="G376" s="41">
        <v>1319.4</v>
      </c>
      <c r="H376" s="41">
        <v>1319.4</v>
      </c>
      <c r="I376" s="41">
        <v>1319.4</v>
      </c>
      <c r="J376" s="41">
        <v>1319.4</v>
      </c>
      <c r="K376" s="41">
        <v>1319.4</v>
      </c>
    </row>
    <row r="377" spans="1:11" ht="15.75">
      <c r="A377" s="39" t="s">
        <v>66</v>
      </c>
      <c r="B377" s="39" t="s">
        <v>48</v>
      </c>
      <c r="C377" s="40" t="s">
        <v>411</v>
      </c>
      <c r="D377" s="41">
        <v>379.8</v>
      </c>
      <c r="E377" s="41">
        <v>379.8</v>
      </c>
      <c r="F377" s="41">
        <v>379.8</v>
      </c>
      <c r="G377" s="41">
        <v>379.8</v>
      </c>
      <c r="H377" s="41">
        <v>379.8</v>
      </c>
      <c r="I377" s="41">
        <v>379.8</v>
      </c>
      <c r="J377" s="41">
        <v>379.8</v>
      </c>
      <c r="K377" s="41">
        <v>379.8</v>
      </c>
    </row>
    <row r="378" spans="1:11" ht="15.75">
      <c r="A378" s="39" t="s">
        <v>45</v>
      </c>
      <c r="B378" s="39" t="s">
        <v>48</v>
      </c>
      <c r="C378" s="40" t="s">
        <v>986</v>
      </c>
      <c r="D378" s="41">
        <v>479.7</v>
      </c>
      <c r="E378" s="41">
        <v>479.7</v>
      </c>
      <c r="F378" s="41">
        <v>479.7</v>
      </c>
      <c r="G378" s="41">
        <v>479.7</v>
      </c>
      <c r="H378" s="41">
        <v>479.7</v>
      </c>
      <c r="I378" s="41">
        <v>479.7</v>
      </c>
      <c r="J378" s="41">
        <v>479.7</v>
      </c>
      <c r="K378" s="41">
        <v>479.7</v>
      </c>
    </row>
    <row r="379" spans="1:11" ht="15.75">
      <c r="A379" s="39" t="s">
        <v>45</v>
      </c>
      <c r="B379" s="39" t="s">
        <v>48</v>
      </c>
      <c r="C379" s="40" t="s">
        <v>263</v>
      </c>
      <c r="D379" s="41">
        <v>629.1</v>
      </c>
      <c r="E379" s="41">
        <v>629.1</v>
      </c>
      <c r="F379" s="41">
        <v>629.1</v>
      </c>
      <c r="G379" s="41">
        <v>629.1</v>
      </c>
      <c r="H379" s="41">
        <v>629.1</v>
      </c>
      <c r="I379" s="41">
        <v>629.1</v>
      </c>
      <c r="J379" s="41">
        <v>629.1</v>
      </c>
      <c r="K379" s="41">
        <v>629.1</v>
      </c>
    </row>
    <row r="380" spans="1:11" ht="15.75">
      <c r="A380" s="39" t="s">
        <v>45</v>
      </c>
      <c r="B380" s="39" t="s">
        <v>48</v>
      </c>
      <c r="C380" s="40" t="s">
        <v>333</v>
      </c>
      <c r="D380" s="41">
        <v>779.4</v>
      </c>
      <c r="E380" s="41">
        <v>779.4</v>
      </c>
      <c r="F380" s="41">
        <v>779.4</v>
      </c>
      <c r="G380" s="41">
        <v>779.4</v>
      </c>
      <c r="H380" s="41">
        <v>779.4</v>
      </c>
      <c r="I380" s="41">
        <v>779.4</v>
      </c>
      <c r="J380" s="41">
        <v>779.4</v>
      </c>
      <c r="K380" s="41">
        <v>779.4</v>
      </c>
    </row>
    <row r="381" spans="1:11" ht="15.75">
      <c r="A381" s="39" t="s">
        <v>45</v>
      </c>
      <c r="B381" s="39" t="s">
        <v>48</v>
      </c>
      <c r="C381" s="40" t="s">
        <v>278</v>
      </c>
      <c r="D381" s="41">
        <v>919.8</v>
      </c>
      <c r="E381" s="41">
        <v>919.8</v>
      </c>
      <c r="F381" s="41">
        <v>919.8</v>
      </c>
      <c r="G381" s="41">
        <v>919.8</v>
      </c>
      <c r="H381" s="41">
        <v>919.8</v>
      </c>
      <c r="I381" s="41">
        <v>919.8</v>
      </c>
      <c r="J381" s="41">
        <v>919.8</v>
      </c>
      <c r="K381" s="41">
        <v>919.8</v>
      </c>
    </row>
    <row r="382" spans="1:11" ht="15.75">
      <c r="A382" s="39" t="s">
        <v>45</v>
      </c>
      <c r="B382" s="39" t="s">
        <v>48</v>
      </c>
      <c r="C382" s="40" t="s">
        <v>377</v>
      </c>
      <c r="D382" s="41">
        <v>1059.3</v>
      </c>
      <c r="E382" s="41">
        <v>1059.3</v>
      </c>
      <c r="F382" s="41">
        <v>1059.3</v>
      </c>
      <c r="G382" s="41">
        <v>1059.3</v>
      </c>
      <c r="H382" s="41">
        <v>1059.3</v>
      </c>
      <c r="I382" s="41">
        <v>1059.3</v>
      </c>
      <c r="J382" s="41">
        <v>1059.3</v>
      </c>
      <c r="K382" s="41">
        <v>1059.3</v>
      </c>
    </row>
    <row r="383" spans="1:11" ht="15.75">
      <c r="A383" s="39" t="s">
        <v>83</v>
      </c>
      <c r="B383" s="39" t="s">
        <v>48</v>
      </c>
      <c r="C383" s="40" t="s">
        <v>987</v>
      </c>
      <c r="D383" s="41">
        <v>1189.8</v>
      </c>
      <c r="E383" s="41">
        <v>1189.8</v>
      </c>
      <c r="F383" s="41">
        <v>1189.8</v>
      </c>
      <c r="G383" s="41">
        <v>1189.8</v>
      </c>
      <c r="H383" s="41">
        <v>1189.8</v>
      </c>
      <c r="I383" s="41">
        <v>1189.8</v>
      </c>
      <c r="J383" s="41">
        <v>1189.8</v>
      </c>
      <c r="K383" s="41">
        <v>1189.8</v>
      </c>
    </row>
    <row r="384" spans="1:11" ht="15.75">
      <c r="A384" s="39" t="s">
        <v>83</v>
      </c>
      <c r="B384" s="39" t="s">
        <v>48</v>
      </c>
      <c r="C384" s="40" t="s">
        <v>388</v>
      </c>
      <c r="D384" s="41">
        <v>1429.2</v>
      </c>
      <c r="E384" s="41">
        <v>1429.2</v>
      </c>
      <c r="F384" s="41">
        <v>1429.2</v>
      </c>
      <c r="G384" s="41">
        <v>1429.2</v>
      </c>
      <c r="H384" s="41">
        <v>1429.2</v>
      </c>
      <c r="I384" s="41">
        <v>1429.2</v>
      </c>
      <c r="J384" s="41">
        <v>1429.2</v>
      </c>
      <c r="K384" s="41">
        <v>1429.2</v>
      </c>
    </row>
    <row r="385" spans="1:11" ht="15.75">
      <c r="A385" s="39" t="s">
        <v>83</v>
      </c>
      <c r="B385" s="39" t="s">
        <v>48</v>
      </c>
      <c r="C385" s="40" t="s">
        <v>988</v>
      </c>
      <c r="D385" s="41">
        <v>1949.4</v>
      </c>
      <c r="E385" s="41">
        <v>1949.4</v>
      </c>
      <c r="F385" s="41">
        <v>1949.4</v>
      </c>
      <c r="G385" s="41">
        <v>1949.4</v>
      </c>
      <c r="H385" s="41">
        <v>1949.4</v>
      </c>
      <c r="I385" s="41">
        <v>1949.4</v>
      </c>
      <c r="J385" s="41">
        <v>1949.4</v>
      </c>
      <c r="K385" s="41">
        <v>1949.4</v>
      </c>
    </row>
    <row r="386" spans="1:11" ht="15.75">
      <c r="A386" s="39" t="s">
        <v>91</v>
      </c>
      <c r="B386" s="39" t="s">
        <v>48</v>
      </c>
      <c r="C386" s="40" t="s">
        <v>989</v>
      </c>
      <c r="D386" s="41">
        <v>1999.8</v>
      </c>
      <c r="E386" s="41">
        <v>1999.8</v>
      </c>
      <c r="F386" s="41">
        <v>1999.8</v>
      </c>
      <c r="G386" s="41">
        <v>1999.8</v>
      </c>
      <c r="H386" s="41">
        <v>1999.8</v>
      </c>
      <c r="I386" s="41">
        <v>1999.8</v>
      </c>
      <c r="J386" s="41">
        <v>1999.8</v>
      </c>
      <c r="K386" s="41">
        <v>1999.8</v>
      </c>
    </row>
    <row r="387" spans="1:11" ht="15.75">
      <c r="A387" s="39" t="s">
        <v>91</v>
      </c>
      <c r="B387" s="39" t="s">
        <v>48</v>
      </c>
      <c r="C387" s="40" t="s">
        <v>990</v>
      </c>
      <c r="D387" s="41">
        <v>3979.8</v>
      </c>
      <c r="E387" s="41">
        <v>3979.8</v>
      </c>
      <c r="F387" s="41">
        <v>3979.8</v>
      </c>
      <c r="G387" s="41">
        <v>3979.8</v>
      </c>
      <c r="H387" s="41">
        <v>3979.8</v>
      </c>
      <c r="I387" s="41">
        <v>3979.8</v>
      </c>
      <c r="J387" s="41">
        <v>3979.8</v>
      </c>
      <c r="K387" s="41">
        <v>3979.8</v>
      </c>
    </row>
    <row r="388" spans="1:11" ht="15.75">
      <c r="A388" s="39" t="s">
        <v>91</v>
      </c>
      <c r="B388" s="39" t="s">
        <v>48</v>
      </c>
      <c r="C388" s="40" t="s">
        <v>991</v>
      </c>
      <c r="D388" s="41">
        <v>4509</v>
      </c>
      <c r="E388" s="41">
        <v>4509</v>
      </c>
      <c r="F388" s="41">
        <v>4509</v>
      </c>
      <c r="G388" s="41">
        <v>4509</v>
      </c>
      <c r="H388" s="41">
        <v>4509</v>
      </c>
      <c r="I388" s="41">
        <v>4509</v>
      </c>
      <c r="J388" s="41">
        <v>4509</v>
      </c>
      <c r="K388" s="41">
        <v>4509</v>
      </c>
    </row>
    <row r="389" spans="1:11" ht="15.75">
      <c r="A389" s="49" t="s">
        <v>45</v>
      </c>
      <c r="B389" s="49" t="s">
        <v>48</v>
      </c>
      <c r="C389" s="52" t="s">
        <v>486</v>
      </c>
      <c r="D389" s="41">
        <v>1099.8</v>
      </c>
      <c r="E389" s="41">
        <v>1099.8</v>
      </c>
      <c r="F389" s="41">
        <v>1099.8</v>
      </c>
      <c r="G389" s="41">
        <v>1099.8</v>
      </c>
      <c r="H389" s="41">
        <v>1099.8</v>
      </c>
      <c r="I389" s="41">
        <v>1099.8</v>
      </c>
      <c r="J389" s="41">
        <v>1099.8</v>
      </c>
      <c r="K389" s="41">
        <v>1099.8</v>
      </c>
    </row>
    <row r="390" spans="1:11" ht="15.75">
      <c r="A390" s="49" t="s">
        <v>83</v>
      </c>
      <c r="B390" s="49" t="s">
        <v>48</v>
      </c>
      <c r="C390" s="52" t="s">
        <v>496</v>
      </c>
      <c r="D390" s="41">
        <v>1799.1</v>
      </c>
      <c r="E390" s="41">
        <v>1799.1</v>
      </c>
      <c r="F390" s="41">
        <v>1799.1</v>
      </c>
      <c r="G390" s="41">
        <v>1799.1</v>
      </c>
      <c r="H390" s="41">
        <v>1799.1</v>
      </c>
      <c r="I390" s="41">
        <v>1799.1</v>
      </c>
      <c r="J390" s="41">
        <v>1799.1</v>
      </c>
      <c r="K390" s="41">
        <v>1799.1</v>
      </c>
    </row>
    <row r="391" spans="1:11" ht="15.75">
      <c r="A391" s="49" t="s">
        <v>91</v>
      </c>
      <c r="B391" s="49" t="s">
        <v>48</v>
      </c>
      <c r="C391" s="52" t="s">
        <v>510</v>
      </c>
      <c r="D391" s="41">
        <v>1859.4</v>
      </c>
      <c r="E391" s="41">
        <v>1859.4</v>
      </c>
      <c r="F391" s="41">
        <v>1859.4</v>
      </c>
      <c r="G391" s="41">
        <v>1859.4</v>
      </c>
      <c r="H391" s="41">
        <v>1859.4</v>
      </c>
      <c r="I391" s="41">
        <v>1859.4</v>
      </c>
      <c r="J391" s="41">
        <v>1859.4</v>
      </c>
      <c r="K391" s="41">
        <v>1859.4</v>
      </c>
    </row>
    <row r="392" spans="1:11" ht="15.75">
      <c r="A392" s="49" t="s">
        <v>211</v>
      </c>
      <c r="B392" s="49" t="s">
        <v>48</v>
      </c>
      <c r="C392" s="52" t="s">
        <v>992</v>
      </c>
      <c r="D392" s="41">
        <v>699.3</v>
      </c>
      <c r="E392" s="41">
        <v>699.3</v>
      </c>
      <c r="F392" s="41">
        <v>699.3</v>
      </c>
      <c r="G392" s="41">
        <v>699.3</v>
      </c>
      <c r="H392" s="41">
        <v>699.3</v>
      </c>
      <c r="I392" s="41">
        <v>699.3</v>
      </c>
      <c r="J392" s="41">
        <v>699.3</v>
      </c>
      <c r="K392" s="41">
        <v>699.3</v>
      </c>
    </row>
    <row r="393" spans="1:11" ht="15.75">
      <c r="A393" s="49" t="s">
        <v>211</v>
      </c>
      <c r="B393" s="49" t="s">
        <v>48</v>
      </c>
      <c r="C393" s="53" t="s">
        <v>404</v>
      </c>
      <c r="D393" s="44">
        <v>79.2</v>
      </c>
      <c r="E393" s="44">
        <v>79.2</v>
      </c>
      <c r="F393" s="44">
        <v>79.2</v>
      </c>
      <c r="G393" s="44">
        <v>79.2</v>
      </c>
      <c r="H393" s="44">
        <v>79.2</v>
      </c>
      <c r="I393" s="44">
        <v>79.2</v>
      </c>
      <c r="J393" s="44">
        <v>79.2</v>
      </c>
      <c r="K393" s="44">
        <v>79.2</v>
      </c>
    </row>
    <row r="394" spans="1:11" ht="15.75">
      <c r="A394" s="49" t="s">
        <v>66</v>
      </c>
      <c r="B394" s="49" t="s">
        <v>48</v>
      </c>
      <c r="C394" s="53" t="s">
        <v>993</v>
      </c>
      <c r="D394" s="44">
        <v>119.7</v>
      </c>
      <c r="E394" s="44">
        <v>119.7</v>
      </c>
      <c r="F394" s="44">
        <v>119.7</v>
      </c>
      <c r="G394" s="44">
        <v>119.7</v>
      </c>
      <c r="H394" s="44">
        <v>119.7</v>
      </c>
      <c r="I394" s="44">
        <v>119.7</v>
      </c>
      <c r="J394" s="44">
        <v>119.7</v>
      </c>
      <c r="K394" s="44">
        <v>119.7</v>
      </c>
    </row>
    <row r="395" spans="1:11" ht="15.75">
      <c r="A395" s="49" t="s">
        <v>66</v>
      </c>
      <c r="B395" s="49" t="s">
        <v>48</v>
      </c>
      <c r="C395" s="53" t="s">
        <v>260</v>
      </c>
      <c r="D395" s="44">
        <v>419.4</v>
      </c>
      <c r="E395" s="44">
        <v>419.4</v>
      </c>
      <c r="F395" s="44">
        <v>419.4</v>
      </c>
      <c r="G395" s="44">
        <v>419.4</v>
      </c>
      <c r="H395" s="44">
        <v>419.4</v>
      </c>
      <c r="I395" s="44">
        <v>419.4</v>
      </c>
      <c r="J395" s="44">
        <v>419.4</v>
      </c>
      <c r="K395" s="44">
        <v>419.4</v>
      </c>
    </row>
    <row r="396" spans="1:11" ht="15.75">
      <c r="A396" s="49" t="s">
        <v>45</v>
      </c>
      <c r="B396" s="45" t="s">
        <v>1014</v>
      </c>
      <c r="C396" s="53" t="s">
        <v>994</v>
      </c>
      <c r="D396" s="44">
        <v>209.7</v>
      </c>
      <c r="E396" s="44">
        <v>209.7</v>
      </c>
      <c r="F396" s="44">
        <v>209.7</v>
      </c>
      <c r="G396" s="44">
        <v>209.7</v>
      </c>
      <c r="H396" s="44">
        <v>209.7</v>
      </c>
      <c r="I396" s="44">
        <v>209.7</v>
      </c>
      <c r="J396" s="44">
        <v>209.7</v>
      </c>
      <c r="K396" s="44">
        <v>209.7</v>
      </c>
    </row>
    <row r="397" spans="1:11" ht="15.75">
      <c r="A397" s="49" t="s">
        <v>45</v>
      </c>
      <c r="B397" s="49" t="s">
        <v>48</v>
      </c>
      <c r="C397" s="53" t="s">
        <v>995</v>
      </c>
      <c r="D397" s="44">
        <v>609.29999999999995</v>
      </c>
      <c r="E397" s="44">
        <v>609.29999999999995</v>
      </c>
      <c r="F397" s="44">
        <v>609.29999999999995</v>
      </c>
      <c r="G397" s="44">
        <v>609.29999999999995</v>
      </c>
      <c r="H397" s="44">
        <v>609.29999999999995</v>
      </c>
      <c r="I397" s="44">
        <v>609.29999999999995</v>
      </c>
      <c r="J397" s="44">
        <v>609.29999999999995</v>
      </c>
      <c r="K397" s="44">
        <v>609.29999999999995</v>
      </c>
    </row>
    <row r="398" spans="1:11" ht="15.75">
      <c r="A398" s="49" t="s">
        <v>83</v>
      </c>
      <c r="B398" s="49" t="s">
        <v>48</v>
      </c>
      <c r="C398" s="53" t="s">
        <v>996</v>
      </c>
      <c r="D398" s="44">
        <v>719.1</v>
      </c>
      <c r="E398" s="44">
        <v>719.1</v>
      </c>
      <c r="F398" s="44">
        <v>719.1</v>
      </c>
      <c r="G398" s="44">
        <v>719.1</v>
      </c>
      <c r="H398" s="44">
        <v>719.1</v>
      </c>
      <c r="I398" s="44">
        <v>719.1</v>
      </c>
      <c r="J398" s="44">
        <v>719.1</v>
      </c>
      <c r="K398" s="44">
        <v>719.1</v>
      </c>
    </row>
    <row r="399" spans="1:11" ht="15.75">
      <c r="A399" s="49" t="s">
        <v>83</v>
      </c>
      <c r="B399" s="49" t="s">
        <v>48</v>
      </c>
      <c r="C399" s="53" t="s">
        <v>365</v>
      </c>
      <c r="D399" s="44">
        <v>859.5</v>
      </c>
      <c r="E399" s="44">
        <v>859.5</v>
      </c>
      <c r="F399" s="44">
        <v>859.5</v>
      </c>
      <c r="G399" s="44">
        <v>859.5</v>
      </c>
      <c r="H399" s="44">
        <v>859.5</v>
      </c>
      <c r="I399" s="44">
        <v>859.5</v>
      </c>
      <c r="J399" s="44">
        <v>859.5</v>
      </c>
      <c r="K399" s="44">
        <v>859.5</v>
      </c>
    </row>
    <row r="400" spans="1:11" ht="15.75">
      <c r="A400" s="49" t="s">
        <v>83</v>
      </c>
      <c r="B400" s="45" t="s">
        <v>1014</v>
      </c>
      <c r="C400" s="53" t="s">
        <v>997</v>
      </c>
      <c r="D400" s="44">
        <v>439.2</v>
      </c>
      <c r="E400" s="44">
        <v>439.2</v>
      </c>
      <c r="F400" s="44">
        <v>439.2</v>
      </c>
      <c r="G400" s="44">
        <v>439.2</v>
      </c>
      <c r="H400" s="44">
        <v>439.2</v>
      </c>
      <c r="I400" s="44">
        <v>439.2</v>
      </c>
      <c r="J400" s="44">
        <v>439.2</v>
      </c>
      <c r="K400" s="44">
        <v>439.2</v>
      </c>
    </row>
    <row r="401" spans="1:11" ht="15.75">
      <c r="A401" s="49" t="s">
        <v>83</v>
      </c>
      <c r="B401" s="49" t="s">
        <v>48</v>
      </c>
      <c r="C401" s="53" t="s">
        <v>400</v>
      </c>
      <c r="D401" s="44">
        <v>1769.4</v>
      </c>
      <c r="E401" s="44">
        <v>1769.4</v>
      </c>
      <c r="F401" s="44">
        <v>1769.4</v>
      </c>
      <c r="G401" s="44">
        <v>1769.4</v>
      </c>
      <c r="H401" s="44">
        <v>1769.4</v>
      </c>
      <c r="I401" s="44">
        <v>1769.4</v>
      </c>
      <c r="J401" s="44">
        <v>1769.4</v>
      </c>
      <c r="K401" s="44">
        <v>1769.4</v>
      </c>
    </row>
    <row r="402" spans="1:11" ht="15.75">
      <c r="A402" s="49" t="s">
        <v>91</v>
      </c>
      <c r="B402" s="49" t="s">
        <v>48</v>
      </c>
      <c r="C402" s="53" t="s">
        <v>998</v>
      </c>
      <c r="D402" s="44">
        <v>1729.8</v>
      </c>
      <c r="E402" s="44">
        <v>1729.8</v>
      </c>
      <c r="F402" s="44">
        <v>1729.8</v>
      </c>
      <c r="G402" s="44">
        <v>1729.8</v>
      </c>
      <c r="H402" s="44">
        <v>1729.8</v>
      </c>
      <c r="I402" s="44">
        <v>1729.8</v>
      </c>
      <c r="J402" s="44">
        <v>1729.8</v>
      </c>
      <c r="K402" s="44">
        <v>1729.8</v>
      </c>
    </row>
    <row r="403" spans="1:11" ht="15.75">
      <c r="A403" s="49" t="s">
        <v>91</v>
      </c>
      <c r="B403" s="49" t="s">
        <v>48</v>
      </c>
      <c r="C403" s="53" t="s">
        <v>999</v>
      </c>
      <c r="D403" s="44">
        <v>2599.1999999999998</v>
      </c>
      <c r="E403" s="44">
        <v>2599.1999999999998</v>
      </c>
      <c r="F403" s="44">
        <v>2599.1999999999998</v>
      </c>
      <c r="G403" s="44">
        <v>2599.1999999999998</v>
      </c>
      <c r="H403" s="44">
        <v>2599.1999999999998</v>
      </c>
      <c r="I403" s="44">
        <v>2599.1999999999998</v>
      </c>
      <c r="J403" s="44">
        <v>2599.1999999999998</v>
      </c>
      <c r="K403" s="44">
        <v>2599.1999999999998</v>
      </c>
    </row>
    <row r="404" spans="1:11" ht="15.75">
      <c r="A404" s="49" t="s">
        <v>91</v>
      </c>
      <c r="B404" s="49" t="s">
        <v>48</v>
      </c>
      <c r="C404" s="53" t="s">
        <v>1000</v>
      </c>
      <c r="D404" s="44">
        <v>2399.4</v>
      </c>
      <c r="E404" s="44">
        <v>2399.4</v>
      </c>
      <c r="F404" s="44">
        <v>2399.4</v>
      </c>
      <c r="G404" s="44">
        <v>2399.4</v>
      </c>
      <c r="H404" s="44">
        <v>2399.4</v>
      </c>
      <c r="I404" s="44">
        <v>2399.4</v>
      </c>
      <c r="J404" s="44">
        <v>2399.4</v>
      </c>
      <c r="K404" s="44">
        <v>2399.4</v>
      </c>
    </row>
    <row r="405" spans="1:11" ht="15.75">
      <c r="A405" s="49" t="s">
        <v>91</v>
      </c>
      <c r="B405" s="49" t="s">
        <v>48</v>
      </c>
      <c r="C405" s="53" t="s">
        <v>1001</v>
      </c>
      <c r="D405" s="44">
        <v>3449.7</v>
      </c>
      <c r="E405" s="44">
        <v>3449.7</v>
      </c>
      <c r="F405" s="44">
        <v>3449.7</v>
      </c>
      <c r="G405" s="44">
        <v>3449.7</v>
      </c>
      <c r="H405" s="44">
        <v>3449.7</v>
      </c>
      <c r="I405" s="44">
        <v>3449.7</v>
      </c>
      <c r="J405" s="44">
        <v>3449.7</v>
      </c>
      <c r="K405" s="44">
        <v>3449.7</v>
      </c>
    </row>
    <row r="406" spans="1:11" ht="15.75">
      <c r="A406" s="49" t="s">
        <v>91</v>
      </c>
      <c r="B406" s="49" t="s">
        <v>48</v>
      </c>
      <c r="C406" s="53" t="s">
        <v>1002</v>
      </c>
      <c r="D406" s="44">
        <v>3599.1</v>
      </c>
      <c r="E406" s="44">
        <v>3599.1</v>
      </c>
      <c r="F406" s="44">
        <v>3599.1</v>
      </c>
      <c r="G406" s="44">
        <v>3599.1</v>
      </c>
      <c r="H406" s="44">
        <v>3599.1</v>
      </c>
      <c r="I406" s="44">
        <v>3599.1</v>
      </c>
      <c r="J406" s="44">
        <v>3599.1</v>
      </c>
      <c r="K406" s="44">
        <v>3599.1</v>
      </c>
    </row>
    <row r="407" spans="1:11" ht="15.75">
      <c r="A407" s="49" t="s">
        <v>91</v>
      </c>
      <c r="B407" s="49" t="s">
        <v>48</v>
      </c>
      <c r="C407" s="53" t="s">
        <v>1003</v>
      </c>
      <c r="D407" s="44">
        <v>3599.1</v>
      </c>
      <c r="E407" s="44">
        <v>3599.1</v>
      </c>
      <c r="F407" s="44">
        <v>3599.1</v>
      </c>
      <c r="G407" s="44">
        <v>3599.1</v>
      </c>
      <c r="H407" s="44">
        <v>3599.1</v>
      </c>
      <c r="I407" s="44">
        <v>3599.1</v>
      </c>
      <c r="J407" s="44">
        <v>3599.1</v>
      </c>
      <c r="K407" s="44">
        <v>3599.1</v>
      </c>
    </row>
    <row r="408" spans="1:11" ht="15.75">
      <c r="A408" s="49" t="s">
        <v>45</v>
      </c>
      <c r="B408" s="49" t="s">
        <v>48</v>
      </c>
      <c r="C408" s="53" t="s">
        <v>518</v>
      </c>
      <c r="D408" s="44">
        <v>559.79999999999995</v>
      </c>
      <c r="E408" s="44">
        <v>559.79999999999995</v>
      </c>
      <c r="F408" s="44">
        <v>559.79999999999995</v>
      </c>
      <c r="G408" s="44">
        <v>559.79999999999995</v>
      </c>
      <c r="H408" s="44">
        <v>559.79999999999995</v>
      </c>
      <c r="I408" s="44">
        <v>559.79999999999995</v>
      </c>
      <c r="J408" s="44">
        <v>559.79999999999995</v>
      </c>
      <c r="K408" s="44">
        <v>559.79999999999995</v>
      </c>
    </row>
    <row r="409" spans="1:11" ht="15.75">
      <c r="A409" s="49" t="s">
        <v>91</v>
      </c>
      <c r="B409" s="49" t="s">
        <v>48</v>
      </c>
      <c r="C409" s="53" t="s">
        <v>193</v>
      </c>
      <c r="D409" s="44">
        <v>3599.1</v>
      </c>
      <c r="E409" s="44">
        <v>3599.1</v>
      </c>
      <c r="F409" s="44">
        <v>3599.1</v>
      </c>
      <c r="G409" s="44">
        <v>3599.1</v>
      </c>
      <c r="H409" s="44">
        <v>3599.1</v>
      </c>
      <c r="I409" s="44">
        <v>3599.1</v>
      </c>
      <c r="J409" s="44">
        <v>3599.1</v>
      </c>
      <c r="K409" s="44">
        <v>3599.1</v>
      </c>
    </row>
    <row r="410" spans="1:11" ht="15.75">
      <c r="A410" s="49" t="s">
        <v>91</v>
      </c>
      <c r="B410" s="49" t="s">
        <v>48</v>
      </c>
      <c r="C410" s="53" t="s">
        <v>196</v>
      </c>
      <c r="D410" s="44">
        <v>4359.6000000000004</v>
      </c>
      <c r="E410" s="44">
        <v>4359.6000000000004</v>
      </c>
      <c r="F410" s="44">
        <v>4359.6000000000004</v>
      </c>
      <c r="G410" s="44">
        <v>4359.6000000000004</v>
      </c>
      <c r="H410" s="44">
        <v>4359.6000000000004</v>
      </c>
      <c r="I410" s="44">
        <v>4359.6000000000004</v>
      </c>
      <c r="J410" s="44">
        <v>4359.6000000000004</v>
      </c>
      <c r="K410" s="44">
        <v>4359.6000000000004</v>
      </c>
    </row>
    <row r="411" spans="1:11" ht="15.75">
      <c r="A411" s="49" t="s">
        <v>91</v>
      </c>
      <c r="B411" s="49" t="s">
        <v>48</v>
      </c>
      <c r="C411" s="53" t="s">
        <v>209</v>
      </c>
      <c r="D411" s="44">
        <v>4889.7</v>
      </c>
      <c r="E411" s="44">
        <v>4889.7</v>
      </c>
      <c r="F411" s="44">
        <v>4889.7</v>
      </c>
      <c r="G411" s="44">
        <v>4889.7</v>
      </c>
      <c r="H411" s="44">
        <v>4889.7</v>
      </c>
      <c r="I411" s="44">
        <v>4889.7</v>
      </c>
      <c r="J411" s="44">
        <v>4889.7</v>
      </c>
      <c r="K411" s="44">
        <v>4889.7</v>
      </c>
    </row>
    <row r="412" spans="1:11" ht="15.75">
      <c r="A412" s="49" t="s">
        <v>45</v>
      </c>
      <c r="B412" s="49" t="s">
        <v>48</v>
      </c>
      <c r="C412" s="53" t="s">
        <v>1004</v>
      </c>
      <c r="D412" s="44">
        <v>829.8</v>
      </c>
      <c r="E412" s="44">
        <v>829.8</v>
      </c>
      <c r="F412" s="44">
        <v>829.8</v>
      </c>
      <c r="G412" s="44">
        <v>829.8</v>
      </c>
      <c r="H412" s="44">
        <v>829.8</v>
      </c>
      <c r="I412" s="44">
        <v>829.8</v>
      </c>
      <c r="J412" s="44">
        <v>829.8</v>
      </c>
      <c r="K412" s="44">
        <v>829.8</v>
      </c>
    </row>
    <row r="413" spans="1:11" ht="15.75">
      <c r="A413" s="49" t="s">
        <v>211</v>
      </c>
      <c r="B413" s="49" t="s">
        <v>48</v>
      </c>
      <c r="C413" s="53" t="s">
        <v>447</v>
      </c>
      <c r="D413" s="44">
        <v>349.2</v>
      </c>
      <c r="E413" s="44">
        <v>349.2</v>
      </c>
      <c r="F413" s="44">
        <v>349.2</v>
      </c>
      <c r="G413" s="44">
        <v>349.2</v>
      </c>
      <c r="H413" s="44">
        <v>349.2</v>
      </c>
      <c r="I413" s="44">
        <v>349.2</v>
      </c>
      <c r="J413" s="44">
        <v>349.2</v>
      </c>
      <c r="K413" s="44">
        <v>349.2</v>
      </c>
    </row>
    <row r="414" spans="1:11" ht="15.75">
      <c r="A414" s="49" t="s">
        <v>45</v>
      </c>
      <c r="B414" s="49" t="s">
        <v>48</v>
      </c>
      <c r="C414" s="53" t="s">
        <v>1005</v>
      </c>
      <c r="D414" s="44">
        <v>249.3</v>
      </c>
      <c r="E414" s="44">
        <v>249.3</v>
      </c>
      <c r="F414" s="44">
        <v>249.3</v>
      </c>
      <c r="G414" s="44">
        <v>249.3</v>
      </c>
      <c r="H414" s="44">
        <v>249.3</v>
      </c>
      <c r="I414" s="44">
        <v>249.3</v>
      </c>
      <c r="J414" s="44">
        <v>249.3</v>
      </c>
      <c r="K414" s="44">
        <v>249.3</v>
      </c>
    </row>
    <row r="415" spans="1:11" ht="15.75">
      <c r="A415" s="49" t="s">
        <v>45</v>
      </c>
      <c r="B415" s="49" t="s">
        <v>48</v>
      </c>
      <c r="C415" s="53" t="s">
        <v>183</v>
      </c>
      <c r="D415" s="44">
        <v>189</v>
      </c>
      <c r="E415" s="44">
        <v>189</v>
      </c>
      <c r="F415" s="44">
        <v>189</v>
      </c>
      <c r="G415" s="44">
        <v>189</v>
      </c>
      <c r="H415" s="44">
        <v>189</v>
      </c>
      <c r="I415" s="44">
        <v>189</v>
      </c>
      <c r="J415" s="44">
        <v>189</v>
      </c>
      <c r="K415" s="44">
        <v>189</v>
      </c>
    </row>
    <row r="416" spans="1:11" ht="15.75">
      <c r="A416" s="49" t="s">
        <v>45</v>
      </c>
      <c r="B416" s="49" t="s">
        <v>48</v>
      </c>
      <c r="C416" s="53" t="s">
        <v>328</v>
      </c>
      <c r="D416" s="44">
        <v>549</v>
      </c>
      <c r="E416" s="44">
        <v>549</v>
      </c>
      <c r="F416" s="44">
        <v>549</v>
      </c>
      <c r="G416" s="44">
        <v>549</v>
      </c>
      <c r="H416" s="44">
        <v>549</v>
      </c>
      <c r="I416" s="44">
        <v>549</v>
      </c>
      <c r="J416" s="44">
        <v>549</v>
      </c>
      <c r="K416" s="44">
        <v>549</v>
      </c>
    </row>
    <row r="417" spans="1:11" ht="15.75">
      <c r="A417" s="49" t="s">
        <v>1013</v>
      </c>
      <c r="B417" s="49" t="s">
        <v>48</v>
      </c>
      <c r="C417" s="53" t="s">
        <v>1006</v>
      </c>
      <c r="D417" s="44">
        <v>1379.7</v>
      </c>
      <c r="E417" s="44">
        <v>1379.7</v>
      </c>
      <c r="F417" s="44">
        <v>1379.7</v>
      </c>
      <c r="G417" s="44">
        <v>1379.7</v>
      </c>
      <c r="H417" s="44">
        <v>1379.7</v>
      </c>
      <c r="I417" s="44">
        <v>1379.7</v>
      </c>
      <c r="J417" s="44">
        <v>1379.7</v>
      </c>
      <c r="K417" s="44">
        <v>1379.7</v>
      </c>
    </row>
    <row r="418" spans="1:11" ht="15.75">
      <c r="A418" s="49" t="s">
        <v>1013</v>
      </c>
      <c r="B418" s="42" t="s">
        <v>941</v>
      </c>
      <c r="C418" s="53" t="s">
        <v>1007</v>
      </c>
      <c r="D418" s="44">
        <v>1749.6</v>
      </c>
      <c r="E418" s="44">
        <v>1749.6</v>
      </c>
      <c r="F418" s="44">
        <v>1749.6</v>
      </c>
      <c r="G418" s="44">
        <v>1749.6</v>
      </c>
      <c r="H418" s="44">
        <v>1749.6</v>
      </c>
      <c r="I418" s="44">
        <v>1749.6</v>
      </c>
      <c r="J418" s="44">
        <v>1749.6</v>
      </c>
      <c r="K418" s="44">
        <v>1749.6</v>
      </c>
    </row>
    <row r="419" spans="1:11" ht="15.75">
      <c r="A419" s="49" t="s">
        <v>1013</v>
      </c>
      <c r="B419" s="42" t="s">
        <v>941</v>
      </c>
      <c r="C419" s="53" t="s">
        <v>1008</v>
      </c>
      <c r="D419" s="44">
        <v>2959.2</v>
      </c>
      <c r="E419" s="44">
        <v>2959.2</v>
      </c>
      <c r="F419" s="44">
        <v>2959.2</v>
      </c>
      <c r="G419" s="44">
        <v>2959.2</v>
      </c>
      <c r="H419" s="44">
        <v>2959.2</v>
      </c>
      <c r="I419" s="44">
        <v>2959.2</v>
      </c>
      <c r="J419" s="44">
        <v>2959.2</v>
      </c>
      <c r="K419" s="44">
        <v>2959.2</v>
      </c>
    </row>
    <row r="420" spans="1:11" ht="15.75">
      <c r="A420" s="49" t="s">
        <v>1013</v>
      </c>
      <c r="B420" s="42" t="s">
        <v>941</v>
      </c>
      <c r="C420" s="53" t="s">
        <v>1009</v>
      </c>
      <c r="D420" s="44">
        <v>1989</v>
      </c>
      <c r="E420" s="44">
        <v>1989</v>
      </c>
      <c r="F420" s="44">
        <v>1989</v>
      </c>
      <c r="G420" s="44">
        <v>1989</v>
      </c>
      <c r="H420" s="44">
        <v>1989</v>
      </c>
      <c r="I420" s="44">
        <v>1989</v>
      </c>
      <c r="J420" s="44">
        <v>1989</v>
      </c>
      <c r="K420" s="44">
        <v>1989</v>
      </c>
    </row>
    <row r="421" spans="1:11" ht="15.75">
      <c r="A421" s="49" t="s">
        <v>1013</v>
      </c>
      <c r="B421" s="42" t="s">
        <v>941</v>
      </c>
      <c r="C421" s="53" t="s">
        <v>1010</v>
      </c>
      <c r="D421" s="44">
        <v>2799</v>
      </c>
      <c r="E421" s="44">
        <v>2799</v>
      </c>
      <c r="F421" s="44">
        <v>2799</v>
      </c>
      <c r="G421" s="44">
        <v>2799</v>
      </c>
      <c r="H421" s="44">
        <v>2799</v>
      </c>
      <c r="I421" s="44">
        <v>2799</v>
      </c>
      <c r="J421" s="44">
        <v>2799</v>
      </c>
      <c r="K421" s="44">
        <v>2799</v>
      </c>
    </row>
    <row r="422" spans="1:11" ht="15.75">
      <c r="A422" s="49" t="s">
        <v>1013</v>
      </c>
      <c r="B422" s="42" t="s">
        <v>941</v>
      </c>
      <c r="C422" s="53" t="s">
        <v>1011</v>
      </c>
      <c r="D422" s="44">
        <v>2749.5</v>
      </c>
      <c r="E422" s="44">
        <v>2749.5</v>
      </c>
      <c r="F422" s="44">
        <v>2749.5</v>
      </c>
      <c r="G422" s="44">
        <v>2749.5</v>
      </c>
      <c r="H422" s="44">
        <v>2749.5</v>
      </c>
      <c r="I422" s="44">
        <v>2749.5</v>
      </c>
      <c r="J422" s="44">
        <v>2749.5</v>
      </c>
      <c r="K422" s="44">
        <v>2749.5</v>
      </c>
    </row>
    <row r="423" spans="1:11" ht="15.75">
      <c r="A423" s="49" t="s">
        <v>1013</v>
      </c>
      <c r="B423" s="42" t="s">
        <v>941</v>
      </c>
      <c r="C423" s="53" t="s">
        <v>1012</v>
      </c>
      <c r="D423" s="44">
        <v>1689.3</v>
      </c>
      <c r="E423" s="44">
        <v>1689.3</v>
      </c>
      <c r="F423" s="44">
        <v>1689.3</v>
      </c>
      <c r="G423" s="44">
        <v>1689.3</v>
      </c>
      <c r="H423" s="44">
        <v>1689.3</v>
      </c>
      <c r="I423" s="44">
        <v>1689.3</v>
      </c>
      <c r="J423" s="44">
        <v>1689.3</v>
      </c>
      <c r="K423" s="44">
        <v>1689.3</v>
      </c>
    </row>
  </sheetData>
  <mergeCells count="1">
    <mergeCell ref="D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423"/>
  <sheetViews>
    <sheetView workbookViewId="0"/>
  </sheetViews>
  <sheetFormatPr baseColWidth="10" defaultColWidth="14.42578125" defaultRowHeight="15" customHeight="1"/>
  <sheetData>
    <row r="1" spans="1:7">
      <c r="A1" s="19">
        <v>1</v>
      </c>
      <c r="B1" s="20"/>
      <c r="C1" s="20"/>
      <c r="D1" s="19">
        <v>19</v>
      </c>
      <c r="E1" s="21"/>
      <c r="F1" s="20"/>
      <c r="G1" s="21"/>
    </row>
    <row r="2" spans="1:7" ht="15" customHeight="1">
      <c r="A2" s="23" t="s">
        <v>566</v>
      </c>
      <c r="B2" s="24" t="s">
        <v>570</v>
      </c>
      <c r="C2" s="25" t="s">
        <v>571</v>
      </c>
      <c r="D2" s="25" t="s">
        <v>572</v>
      </c>
      <c r="E2" s="25" t="s">
        <v>573</v>
      </c>
      <c r="F2" s="25" t="s">
        <v>574</v>
      </c>
      <c r="G2" s="43" t="s">
        <v>575</v>
      </c>
    </row>
    <row r="3" spans="1:7" ht="15.75">
      <c r="A3" s="27" t="s">
        <v>50</v>
      </c>
      <c r="B3" s="28">
        <v>0</v>
      </c>
      <c r="C3" s="28">
        <v>50</v>
      </c>
      <c r="D3" s="28">
        <v>48</v>
      </c>
      <c r="E3" s="28">
        <v>12</v>
      </c>
      <c r="F3" s="28">
        <v>578</v>
      </c>
      <c r="G3" s="29"/>
    </row>
    <row r="4" spans="1:7" ht="15.75">
      <c r="A4" s="27" t="s">
        <v>576</v>
      </c>
      <c r="B4" s="28">
        <v>0</v>
      </c>
      <c r="C4" s="28">
        <v>26</v>
      </c>
      <c r="D4" s="28">
        <v>28</v>
      </c>
      <c r="E4" s="28">
        <v>12</v>
      </c>
      <c r="F4" s="28">
        <v>334</v>
      </c>
      <c r="G4" s="29"/>
    </row>
    <row r="5" spans="1:7" ht="15.75">
      <c r="A5" s="27" t="s">
        <v>551</v>
      </c>
      <c r="B5" s="28">
        <v>0</v>
      </c>
      <c r="C5" s="28">
        <v>28</v>
      </c>
      <c r="D5" s="28">
        <v>33</v>
      </c>
      <c r="E5" s="28">
        <v>12</v>
      </c>
      <c r="F5" s="28">
        <v>391</v>
      </c>
      <c r="G5" s="29"/>
    </row>
    <row r="6" spans="1:7" ht="15.75">
      <c r="A6" s="27" t="s">
        <v>498</v>
      </c>
      <c r="B6" s="28">
        <v>0</v>
      </c>
      <c r="C6" s="28">
        <v>44</v>
      </c>
      <c r="D6" s="28">
        <v>40</v>
      </c>
      <c r="E6" s="28">
        <v>12</v>
      </c>
      <c r="F6" s="28">
        <v>484</v>
      </c>
      <c r="G6" s="29"/>
    </row>
    <row r="7" spans="1:7" ht="15.75">
      <c r="A7" s="27" t="s">
        <v>70</v>
      </c>
      <c r="B7" s="28">
        <v>0</v>
      </c>
      <c r="C7" s="28">
        <v>50</v>
      </c>
      <c r="D7" s="28">
        <v>53</v>
      </c>
      <c r="E7" s="28">
        <v>12</v>
      </c>
      <c r="F7" s="28">
        <v>633</v>
      </c>
      <c r="G7" s="29"/>
    </row>
    <row r="8" spans="1:7" ht="15.75">
      <c r="A8" s="27" t="s">
        <v>153</v>
      </c>
      <c r="B8" s="28">
        <v>0</v>
      </c>
      <c r="C8" s="28">
        <v>112</v>
      </c>
      <c r="D8" s="28">
        <v>117</v>
      </c>
      <c r="E8" s="28">
        <v>12</v>
      </c>
      <c r="F8" s="28">
        <v>1399</v>
      </c>
      <c r="G8" s="29"/>
    </row>
    <row r="9" spans="1:7" ht="15.75">
      <c r="A9" s="27" t="s">
        <v>553</v>
      </c>
      <c r="B9" s="28">
        <v>0</v>
      </c>
      <c r="C9" s="28">
        <v>34</v>
      </c>
      <c r="D9" s="28">
        <v>29</v>
      </c>
      <c r="E9" s="28">
        <v>12</v>
      </c>
      <c r="F9" s="28">
        <v>353</v>
      </c>
      <c r="G9" s="29"/>
    </row>
    <row r="10" spans="1:7" ht="15.75">
      <c r="A10" s="27" t="s">
        <v>77</v>
      </c>
      <c r="B10" s="28">
        <v>0</v>
      </c>
      <c r="C10" s="28">
        <v>130</v>
      </c>
      <c r="D10" s="28">
        <v>129</v>
      </c>
      <c r="E10" s="28">
        <v>12</v>
      </c>
      <c r="F10" s="28">
        <v>1549</v>
      </c>
      <c r="G10" s="29"/>
    </row>
    <row r="11" spans="1:7" ht="15.75">
      <c r="A11" s="27" t="s">
        <v>78</v>
      </c>
      <c r="B11" s="28">
        <v>0</v>
      </c>
      <c r="C11" s="28">
        <v>60</v>
      </c>
      <c r="D11" s="28">
        <v>64</v>
      </c>
      <c r="E11" s="28">
        <v>12</v>
      </c>
      <c r="F11" s="28">
        <v>764</v>
      </c>
      <c r="G11" s="29"/>
    </row>
    <row r="12" spans="1:7" ht="15.75">
      <c r="A12" s="27" t="s">
        <v>86</v>
      </c>
      <c r="B12" s="28">
        <v>0</v>
      </c>
      <c r="C12" s="28">
        <v>138</v>
      </c>
      <c r="D12" s="28">
        <v>140</v>
      </c>
      <c r="E12" s="28">
        <v>12</v>
      </c>
      <c r="F12" s="28">
        <v>1678</v>
      </c>
      <c r="G12" s="29"/>
    </row>
    <row r="13" spans="1:7" ht="15.75">
      <c r="A13" s="27" t="s">
        <v>93</v>
      </c>
      <c r="B13" s="28">
        <v>0</v>
      </c>
      <c r="C13" s="28">
        <v>188</v>
      </c>
      <c r="D13" s="28">
        <v>183</v>
      </c>
      <c r="E13" s="28">
        <v>12</v>
      </c>
      <c r="F13" s="28">
        <v>2201</v>
      </c>
      <c r="G13" s="29"/>
    </row>
    <row r="14" spans="1:7" ht="15.75">
      <c r="A14" s="27" t="s">
        <v>449</v>
      </c>
      <c r="B14" s="28">
        <v>0</v>
      </c>
      <c r="C14" s="28">
        <v>236</v>
      </c>
      <c r="D14" s="28">
        <v>233</v>
      </c>
      <c r="E14" s="28">
        <v>12</v>
      </c>
      <c r="F14" s="28">
        <v>2799</v>
      </c>
      <c r="G14" s="29"/>
    </row>
    <row r="15" spans="1:7" ht="15.75">
      <c r="A15" s="27" t="s">
        <v>189</v>
      </c>
      <c r="B15" s="28">
        <v>0</v>
      </c>
      <c r="C15" s="28">
        <v>36</v>
      </c>
      <c r="D15" s="28">
        <v>39</v>
      </c>
      <c r="E15" s="28">
        <v>12</v>
      </c>
      <c r="F15" s="28">
        <v>465</v>
      </c>
      <c r="G15" s="29"/>
    </row>
    <row r="16" spans="1:7" ht="15.75">
      <c r="A16" s="27" t="s">
        <v>95</v>
      </c>
      <c r="B16" s="28">
        <v>0</v>
      </c>
      <c r="C16" s="28">
        <v>36</v>
      </c>
      <c r="D16" s="28">
        <v>39</v>
      </c>
      <c r="E16" s="28">
        <v>12</v>
      </c>
      <c r="F16" s="28">
        <v>465</v>
      </c>
      <c r="G16" s="29"/>
    </row>
    <row r="17" spans="1:7" ht="15.75">
      <c r="A17" s="27" t="s">
        <v>148</v>
      </c>
      <c r="B17" s="28">
        <v>0</v>
      </c>
      <c r="C17" s="28">
        <v>96</v>
      </c>
      <c r="D17" s="28">
        <v>93</v>
      </c>
      <c r="E17" s="28">
        <v>12</v>
      </c>
      <c r="F17" s="28">
        <v>1119</v>
      </c>
      <c r="G17" s="29"/>
    </row>
    <row r="18" spans="1:7" ht="15.75">
      <c r="A18" s="27" t="s">
        <v>312</v>
      </c>
      <c r="B18" s="28">
        <v>0</v>
      </c>
      <c r="C18" s="28">
        <v>34</v>
      </c>
      <c r="D18" s="28">
        <v>29</v>
      </c>
      <c r="E18" s="28">
        <v>12</v>
      </c>
      <c r="F18" s="28">
        <v>353</v>
      </c>
      <c r="G18" s="29"/>
    </row>
    <row r="19" spans="1:7" ht="15.75">
      <c r="A19" s="27" t="s">
        <v>317</v>
      </c>
      <c r="B19" s="28">
        <v>0</v>
      </c>
      <c r="C19" s="28">
        <v>44</v>
      </c>
      <c r="D19" s="28">
        <v>40</v>
      </c>
      <c r="E19" s="28">
        <v>12</v>
      </c>
      <c r="F19" s="28">
        <v>484</v>
      </c>
      <c r="G19" s="29"/>
    </row>
    <row r="20" spans="1:7" ht="15.75">
      <c r="A20" s="27" t="s">
        <v>171</v>
      </c>
      <c r="B20" s="28">
        <v>0</v>
      </c>
      <c r="C20" s="28">
        <v>72</v>
      </c>
      <c r="D20" s="28">
        <v>68</v>
      </c>
      <c r="E20" s="28">
        <v>12</v>
      </c>
      <c r="F20" s="28">
        <v>820</v>
      </c>
      <c r="G20" s="29"/>
    </row>
    <row r="21" spans="1:7" ht="15.75">
      <c r="A21" s="27" t="s">
        <v>106</v>
      </c>
      <c r="B21" s="28">
        <v>0</v>
      </c>
      <c r="C21" s="28">
        <v>74</v>
      </c>
      <c r="D21" s="28">
        <v>73</v>
      </c>
      <c r="E21" s="28">
        <v>12</v>
      </c>
      <c r="F21" s="28">
        <v>877</v>
      </c>
      <c r="G21" s="29"/>
    </row>
    <row r="22" spans="1:7" ht="15.75">
      <c r="A22" s="27" t="s">
        <v>109</v>
      </c>
      <c r="B22" s="28">
        <v>0</v>
      </c>
      <c r="C22" s="28">
        <v>128</v>
      </c>
      <c r="D22" s="28">
        <v>124</v>
      </c>
      <c r="E22" s="28">
        <v>12</v>
      </c>
      <c r="F22" s="28">
        <v>1492</v>
      </c>
      <c r="G22" s="29"/>
    </row>
    <row r="23" spans="1:7" ht="15.75">
      <c r="A23" s="27" t="s">
        <v>112</v>
      </c>
      <c r="B23" s="28">
        <v>0</v>
      </c>
      <c r="C23" s="28">
        <v>50</v>
      </c>
      <c r="D23" s="28">
        <v>48</v>
      </c>
      <c r="E23" s="28">
        <v>12</v>
      </c>
      <c r="F23" s="28">
        <v>578</v>
      </c>
      <c r="G23" s="29"/>
    </row>
    <row r="24" spans="1:7" ht="15.75">
      <c r="A24" s="27" t="s">
        <v>233</v>
      </c>
      <c r="B24" s="28">
        <v>0</v>
      </c>
      <c r="C24" s="28">
        <v>36</v>
      </c>
      <c r="D24" s="28">
        <v>39</v>
      </c>
      <c r="E24" s="28">
        <v>12</v>
      </c>
      <c r="F24" s="28">
        <v>465</v>
      </c>
      <c r="G24" s="29"/>
    </row>
    <row r="25" spans="1:7" ht="15.75">
      <c r="A25" s="27" t="s">
        <v>124</v>
      </c>
      <c r="B25" s="28">
        <v>0</v>
      </c>
      <c r="C25" s="28">
        <v>268</v>
      </c>
      <c r="D25" s="28">
        <v>264</v>
      </c>
      <c r="E25" s="28">
        <v>12</v>
      </c>
      <c r="F25" s="28">
        <v>3172</v>
      </c>
      <c r="G25" s="29"/>
    </row>
    <row r="26" spans="1:7" ht="15.75">
      <c r="A26" s="27" t="s">
        <v>126</v>
      </c>
      <c r="B26" s="28">
        <v>0</v>
      </c>
      <c r="C26" s="28">
        <v>152</v>
      </c>
      <c r="D26" s="28">
        <v>149</v>
      </c>
      <c r="E26" s="28">
        <v>12</v>
      </c>
      <c r="F26" s="28">
        <v>1791</v>
      </c>
      <c r="G26" s="29"/>
    </row>
    <row r="27" spans="1:7" ht="15.75">
      <c r="A27" s="27" t="s">
        <v>135</v>
      </c>
      <c r="B27" s="28">
        <v>0</v>
      </c>
      <c r="C27" s="28">
        <v>160</v>
      </c>
      <c r="D27" s="28">
        <v>155</v>
      </c>
      <c r="E27" s="28">
        <v>12</v>
      </c>
      <c r="F27" s="28">
        <v>1865</v>
      </c>
      <c r="G27" s="29"/>
    </row>
    <row r="28" spans="1:7" ht="15.75">
      <c r="A28" s="27" t="s">
        <v>182</v>
      </c>
      <c r="B28" s="28">
        <v>0</v>
      </c>
      <c r="C28" s="28">
        <v>60</v>
      </c>
      <c r="D28" s="28">
        <v>64</v>
      </c>
      <c r="E28" s="28">
        <v>12</v>
      </c>
      <c r="F28" s="28">
        <v>764</v>
      </c>
      <c r="G28" s="29"/>
    </row>
    <row r="29" spans="1:7" ht="15.75">
      <c r="A29" s="27" t="s">
        <v>165</v>
      </c>
      <c r="B29" s="28">
        <v>0</v>
      </c>
      <c r="C29" s="28">
        <v>74</v>
      </c>
      <c r="D29" s="28">
        <v>78</v>
      </c>
      <c r="E29" s="28">
        <v>12</v>
      </c>
      <c r="F29" s="28">
        <v>932</v>
      </c>
      <c r="G29" s="29"/>
    </row>
    <row r="30" spans="1:7" ht="15.75">
      <c r="A30" s="27" t="s">
        <v>427</v>
      </c>
      <c r="B30" s="28">
        <v>0</v>
      </c>
      <c r="C30" s="28">
        <v>300</v>
      </c>
      <c r="D30" s="28">
        <v>295</v>
      </c>
      <c r="E30" s="28">
        <v>12</v>
      </c>
      <c r="F30" s="28">
        <v>3545</v>
      </c>
      <c r="G30" s="29"/>
    </row>
    <row r="31" spans="1:7" ht="15.75">
      <c r="A31" s="27" t="s">
        <v>138</v>
      </c>
      <c r="B31" s="28">
        <v>0</v>
      </c>
      <c r="C31" s="28">
        <v>116</v>
      </c>
      <c r="D31" s="28">
        <v>115</v>
      </c>
      <c r="E31" s="28">
        <v>12</v>
      </c>
      <c r="F31" s="28">
        <v>1381</v>
      </c>
      <c r="G31" s="29"/>
    </row>
    <row r="32" spans="1:7" ht="15.75">
      <c r="A32" s="27" t="s">
        <v>169</v>
      </c>
      <c r="B32" s="28">
        <v>0</v>
      </c>
      <c r="C32" s="28">
        <v>134</v>
      </c>
      <c r="D32" s="28">
        <v>137</v>
      </c>
      <c r="E32" s="28">
        <v>12</v>
      </c>
      <c r="F32" s="28">
        <v>1641</v>
      </c>
      <c r="G32" s="29"/>
    </row>
    <row r="33" spans="1:7" ht="15.75">
      <c r="A33" s="27" t="s">
        <v>195</v>
      </c>
      <c r="B33" s="28">
        <v>0</v>
      </c>
      <c r="C33" s="28">
        <v>128</v>
      </c>
      <c r="D33" s="28">
        <v>124</v>
      </c>
      <c r="E33" s="28">
        <v>12</v>
      </c>
      <c r="F33" s="28">
        <v>1492</v>
      </c>
      <c r="G33" s="29"/>
    </row>
    <row r="34" spans="1:7" ht="15.75">
      <c r="A34" s="27" t="s">
        <v>275</v>
      </c>
      <c r="B34" s="28">
        <v>0</v>
      </c>
      <c r="C34" s="28">
        <v>50</v>
      </c>
      <c r="D34" s="28">
        <v>53</v>
      </c>
      <c r="E34" s="28">
        <v>12</v>
      </c>
      <c r="F34" s="28">
        <v>633</v>
      </c>
      <c r="G34" s="29"/>
    </row>
    <row r="35" spans="1:7" ht="15.75">
      <c r="A35" s="27" t="s">
        <v>175</v>
      </c>
      <c r="B35" s="28">
        <v>0</v>
      </c>
      <c r="C35" s="28">
        <v>462</v>
      </c>
      <c r="D35" s="28">
        <v>467</v>
      </c>
      <c r="E35" s="28">
        <v>12</v>
      </c>
      <c r="F35" s="28">
        <v>5599</v>
      </c>
      <c r="G35" s="29"/>
    </row>
    <row r="36" spans="1:7" ht="15.75">
      <c r="A36" s="27" t="s">
        <v>554</v>
      </c>
      <c r="B36" s="28">
        <v>0</v>
      </c>
      <c r="C36" s="28">
        <v>26</v>
      </c>
      <c r="D36" s="28">
        <v>23</v>
      </c>
      <c r="E36" s="28">
        <v>12</v>
      </c>
      <c r="F36" s="28">
        <v>279</v>
      </c>
      <c r="G36" s="29"/>
    </row>
    <row r="37" spans="1:7" ht="15.75">
      <c r="A37" s="27" t="s">
        <v>250</v>
      </c>
      <c r="B37" s="28">
        <v>0</v>
      </c>
      <c r="C37" s="28">
        <v>106</v>
      </c>
      <c r="D37" s="28">
        <v>104</v>
      </c>
      <c r="E37" s="28">
        <v>12</v>
      </c>
      <c r="F37" s="28">
        <v>1250</v>
      </c>
      <c r="G37" s="29"/>
    </row>
    <row r="38" spans="1:7" ht="15.75">
      <c r="A38" s="27" t="s">
        <v>279</v>
      </c>
      <c r="B38" s="28">
        <v>0</v>
      </c>
      <c r="C38" s="28">
        <v>624</v>
      </c>
      <c r="D38" s="28">
        <v>622</v>
      </c>
      <c r="E38" s="28">
        <v>12</v>
      </c>
      <c r="F38" s="28">
        <v>7466</v>
      </c>
      <c r="G38" s="29"/>
    </row>
    <row r="39" spans="1:7" ht="15.75">
      <c r="A39" s="27" t="s">
        <v>236</v>
      </c>
      <c r="B39" s="28">
        <v>0</v>
      </c>
      <c r="C39" s="28">
        <v>12</v>
      </c>
      <c r="D39" s="28">
        <v>14</v>
      </c>
      <c r="E39" s="28">
        <v>12</v>
      </c>
      <c r="F39" s="28">
        <v>166</v>
      </c>
      <c r="G39" s="29"/>
    </row>
    <row r="40" spans="1:7" ht="15.75">
      <c r="A40" s="27" t="s">
        <v>320</v>
      </c>
      <c r="B40" s="28">
        <v>0</v>
      </c>
      <c r="C40" s="28">
        <v>22</v>
      </c>
      <c r="D40" s="28">
        <v>25</v>
      </c>
      <c r="E40" s="28">
        <v>12</v>
      </c>
      <c r="F40" s="28">
        <v>297</v>
      </c>
      <c r="G40" s="29"/>
    </row>
    <row r="41" spans="1:7" ht="15.75">
      <c r="A41" s="27" t="s">
        <v>331</v>
      </c>
      <c r="B41" s="28">
        <v>0</v>
      </c>
      <c r="C41" s="28">
        <v>64</v>
      </c>
      <c r="D41" s="28">
        <v>62</v>
      </c>
      <c r="E41" s="28">
        <v>12</v>
      </c>
      <c r="F41" s="28">
        <v>746</v>
      </c>
      <c r="G41" s="29"/>
    </row>
    <row r="42" spans="1:7" ht="15.75">
      <c r="A42" s="27" t="s">
        <v>376</v>
      </c>
      <c r="B42" s="28">
        <v>0</v>
      </c>
      <c r="C42" s="28">
        <v>246</v>
      </c>
      <c r="D42" s="28">
        <v>249</v>
      </c>
      <c r="E42" s="28">
        <v>12</v>
      </c>
      <c r="F42" s="28">
        <v>2985</v>
      </c>
      <c r="G42" s="29"/>
    </row>
    <row r="43" spans="1:7" ht="15.75">
      <c r="A43" s="27" t="s">
        <v>387</v>
      </c>
      <c r="B43" s="28">
        <v>0</v>
      </c>
      <c r="C43" s="28">
        <v>268</v>
      </c>
      <c r="D43" s="28">
        <v>264</v>
      </c>
      <c r="E43" s="28">
        <v>12</v>
      </c>
      <c r="F43" s="28">
        <v>3172</v>
      </c>
      <c r="G43" s="29"/>
    </row>
    <row r="44" spans="1:7" ht="15.75">
      <c r="A44" s="27" t="s">
        <v>334</v>
      </c>
      <c r="B44" s="28">
        <v>0</v>
      </c>
      <c r="C44" s="28">
        <v>106</v>
      </c>
      <c r="D44" s="28">
        <v>109</v>
      </c>
      <c r="E44" s="28">
        <v>12</v>
      </c>
      <c r="F44" s="28">
        <v>1305</v>
      </c>
      <c r="G44" s="29"/>
    </row>
    <row r="45" spans="1:7" ht="15.75">
      <c r="A45" s="27" t="s">
        <v>393</v>
      </c>
      <c r="B45" s="28">
        <v>0</v>
      </c>
      <c r="C45" s="28">
        <v>76</v>
      </c>
      <c r="D45" s="28">
        <v>71</v>
      </c>
      <c r="E45" s="28">
        <v>12</v>
      </c>
      <c r="F45" s="28">
        <v>857</v>
      </c>
      <c r="G45" s="29"/>
    </row>
    <row r="46" spans="1:7" ht="15.75">
      <c r="A46" s="27" t="s">
        <v>181</v>
      </c>
      <c r="B46" s="28">
        <v>0</v>
      </c>
      <c r="C46" s="28">
        <v>36</v>
      </c>
      <c r="D46" s="28">
        <v>34</v>
      </c>
      <c r="E46" s="28">
        <v>12</v>
      </c>
      <c r="F46" s="28">
        <v>410</v>
      </c>
      <c r="G46" s="29"/>
    </row>
    <row r="47" spans="1:7" ht="15.75">
      <c r="A47" s="27" t="s">
        <v>402</v>
      </c>
      <c r="B47" s="28">
        <v>0</v>
      </c>
      <c r="C47" s="28">
        <v>68</v>
      </c>
      <c r="D47" s="28">
        <v>70</v>
      </c>
      <c r="E47" s="28">
        <v>12</v>
      </c>
      <c r="F47" s="28">
        <v>838</v>
      </c>
      <c r="G47" s="29"/>
    </row>
    <row r="48" spans="1:7" ht="15.75">
      <c r="A48" s="27" t="s">
        <v>206</v>
      </c>
      <c r="B48" s="28">
        <v>0</v>
      </c>
      <c r="C48" s="28">
        <v>34</v>
      </c>
      <c r="D48" s="28">
        <v>29</v>
      </c>
      <c r="E48" s="28">
        <v>12</v>
      </c>
      <c r="F48" s="28">
        <v>353</v>
      </c>
      <c r="G48" s="29"/>
    </row>
    <row r="49" spans="1:7" ht="15.75">
      <c r="A49" s="27" t="s">
        <v>212</v>
      </c>
      <c r="B49" s="28">
        <v>0</v>
      </c>
      <c r="C49" s="28">
        <v>32</v>
      </c>
      <c r="D49" s="28">
        <v>31</v>
      </c>
      <c r="E49" s="28">
        <v>12</v>
      </c>
      <c r="F49" s="28">
        <v>373</v>
      </c>
      <c r="G49" s="29"/>
    </row>
    <row r="50" spans="1:7" ht="15.75">
      <c r="A50" s="27" t="s">
        <v>409</v>
      </c>
      <c r="B50" s="28">
        <v>0</v>
      </c>
      <c r="C50" s="28">
        <v>78</v>
      </c>
      <c r="D50" s="28">
        <v>76</v>
      </c>
      <c r="E50" s="28">
        <v>12</v>
      </c>
      <c r="F50" s="28">
        <v>914</v>
      </c>
      <c r="G50" s="29"/>
    </row>
    <row r="51" spans="1:7" ht="15.75">
      <c r="A51" s="27" t="s">
        <v>406</v>
      </c>
      <c r="B51" s="28">
        <v>0</v>
      </c>
      <c r="C51" s="28">
        <v>74</v>
      </c>
      <c r="D51" s="28">
        <v>78</v>
      </c>
      <c r="E51" s="28">
        <v>12</v>
      </c>
      <c r="F51" s="28">
        <v>932</v>
      </c>
      <c r="G51" s="29"/>
    </row>
    <row r="52" spans="1:7" ht="15.75">
      <c r="A52" s="27" t="s">
        <v>257</v>
      </c>
      <c r="B52" s="28">
        <v>0</v>
      </c>
      <c r="C52" s="28">
        <v>54</v>
      </c>
      <c r="D52" s="28">
        <v>51</v>
      </c>
      <c r="E52" s="28">
        <v>12</v>
      </c>
      <c r="F52" s="28">
        <v>615</v>
      </c>
      <c r="G52" s="29"/>
    </row>
    <row r="53" spans="1:7" ht="15.75">
      <c r="A53" s="27" t="s">
        <v>141</v>
      </c>
      <c r="B53" s="28">
        <v>0</v>
      </c>
      <c r="C53" s="28">
        <v>50</v>
      </c>
      <c r="D53" s="28">
        <v>48</v>
      </c>
      <c r="E53" s="28">
        <v>12</v>
      </c>
      <c r="F53" s="28">
        <v>578</v>
      </c>
      <c r="G53" s="29"/>
    </row>
    <row r="54" spans="1:7" ht="15.75">
      <c r="A54" s="27" t="s">
        <v>214</v>
      </c>
      <c r="B54" s="28">
        <v>0</v>
      </c>
      <c r="C54" s="28">
        <v>200</v>
      </c>
      <c r="D54" s="28">
        <v>199</v>
      </c>
      <c r="E54" s="28">
        <v>12</v>
      </c>
      <c r="F54" s="28">
        <v>2389</v>
      </c>
      <c r="G54" s="29"/>
    </row>
    <row r="55" spans="1:7" ht="15.75">
      <c r="A55" s="27" t="s">
        <v>413</v>
      </c>
      <c r="B55" s="28">
        <v>0</v>
      </c>
      <c r="C55" s="28">
        <v>36</v>
      </c>
      <c r="D55" s="28">
        <v>39</v>
      </c>
      <c r="E55" s="28">
        <v>12</v>
      </c>
      <c r="F55" s="28">
        <v>465</v>
      </c>
      <c r="G55" s="29"/>
    </row>
    <row r="56" spans="1:7" ht="15.75">
      <c r="A56" s="27" t="s">
        <v>578</v>
      </c>
      <c r="B56" s="28">
        <v>0</v>
      </c>
      <c r="C56" s="28">
        <v>74</v>
      </c>
      <c r="D56" s="28">
        <v>73</v>
      </c>
      <c r="E56" s="28">
        <v>12</v>
      </c>
      <c r="F56" s="28">
        <v>877</v>
      </c>
      <c r="G56" s="29"/>
    </row>
    <row r="57" spans="1:7" ht="15.75">
      <c r="A57" s="27" t="s">
        <v>514</v>
      </c>
      <c r="B57" s="28">
        <v>0</v>
      </c>
      <c r="C57" s="28">
        <v>32</v>
      </c>
      <c r="D57" s="28">
        <v>36</v>
      </c>
      <c r="E57" s="28">
        <v>12</v>
      </c>
      <c r="F57" s="28">
        <v>428</v>
      </c>
      <c r="G57" s="29"/>
    </row>
    <row r="58" spans="1:7" ht="15.75">
      <c r="A58" s="27" t="s">
        <v>520</v>
      </c>
      <c r="B58" s="28">
        <v>0</v>
      </c>
      <c r="C58" s="28">
        <v>42</v>
      </c>
      <c r="D58" s="28">
        <v>47</v>
      </c>
      <c r="E58" s="28">
        <v>12</v>
      </c>
      <c r="F58" s="28">
        <v>559</v>
      </c>
      <c r="G58" s="29"/>
    </row>
    <row r="59" spans="1:7" ht="15.75">
      <c r="A59" s="27" t="s">
        <v>262</v>
      </c>
      <c r="B59" s="28">
        <v>0</v>
      </c>
      <c r="C59" s="28">
        <v>68</v>
      </c>
      <c r="D59" s="28">
        <v>65</v>
      </c>
      <c r="E59" s="28">
        <v>12</v>
      </c>
      <c r="F59" s="28">
        <v>783</v>
      </c>
      <c r="G59" s="29"/>
    </row>
    <row r="60" spans="1:7" ht="15.75">
      <c r="A60" s="27" t="s">
        <v>457</v>
      </c>
      <c r="B60" s="28">
        <v>0</v>
      </c>
      <c r="C60" s="28">
        <v>104</v>
      </c>
      <c r="D60" s="28">
        <v>99</v>
      </c>
      <c r="E60" s="28">
        <v>12</v>
      </c>
      <c r="F60" s="28">
        <v>1193</v>
      </c>
      <c r="G60" s="29"/>
    </row>
    <row r="61" spans="1:7" ht="15.75">
      <c r="A61" s="27" t="s">
        <v>460</v>
      </c>
      <c r="B61" s="28">
        <v>0</v>
      </c>
      <c r="C61" s="28">
        <v>36</v>
      </c>
      <c r="D61" s="28">
        <v>39</v>
      </c>
      <c r="E61" s="28">
        <v>12</v>
      </c>
      <c r="F61" s="28">
        <v>465</v>
      </c>
      <c r="G61" s="29"/>
    </row>
    <row r="62" spans="1:7" ht="15.75">
      <c r="A62" s="27" t="s">
        <v>432</v>
      </c>
      <c r="B62" s="28">
        <v>0</v>
      </c>
      <c r="C62" s="28">
        <v>68</v>
      </c>
      <c r="D62" s="28">
        <v>65</v>
      </c>
      <c r="E62" s="28">
        <v>12</v>
      </c>
      <c r="F62" s="28">
        <v>783</v>
      </c>
      <c r="G62" s="29"/>
    </row>
    <row r="63" spans="1:7" ht="15.75">
      <c r="A63" s="27" t="s">
        <v>309</v>
      </c>
      <c r="B63" s="28">
        <v>0</v>
      </c>
      <c r="C63" s="28">
        <v>148</v>
      </c>
      <c r="D63" s="28">
        <v>151</v>
      </c>
      <c r="E63" s="28">
        <v>12</v>
      </c>
      <c r="F63" s="28">
        <v>1809</v>
      </c>
      <c r="G63" s="29"/>
    </row>
    <row r="64" spans="1:7" ht="15.75">
      <c r="A64" s="27" t="s">
        <v>597</v>
      </c>
      <c r="B64" s="28">
        <v>0</v>
      </c>
      <c r="C64" s="28">
        <v>106</v>
      </c>
      <c r="D64" s="28">
        <v>109</v>
      </c>
      <c r="E64" s="28">
        <v>12</v>
      </c>
      <c r="F64" s="28">
        <v>1305</v>
      </c>
      <c r="G64" s="29"/>
    </row>
    <row r="65" spans="1:7" ht="15.75">
      <c r="A65" s="27" t="s">
        <v>338</v>
      </c>
      <c r="B65" s="28">
        <v>0</v>
      </c>
      <c r="C65" s="28">
        <v>548</v>
      </c>
      <c r="D65" s="28">
        <v>544</v>
      </c>
      <c r="E65" s="28">
        <v>12</v>
      </c>
      <c r="F65" s="28">
        <v>6532</v>
      </c>
      <c r="G65" s="29"/>
    </row>
    <row r="66" spans="1:7" ht="15.75">
      <c r="A66" s="27" t="s">
        <v>294</v>
      </c>
      <c r="B66" s="28">
        <v>0</v>
      </c>
      <c r="C66" s="28">
        <v>734</v>
      </c>
      <c r="D66" s="28">
        <v>729</v>
      </c>
      <c r="E66" s="28">
        <v>12</v>
      </c>
      <c r="F66" s="28">
        <v>8753</v>
      </c>
      <c r="G66" s="29"/>
    </row>
    <row r="67" spans="1:7" ht="15.75">
      <c r="A67" s="27" t="s">
        <v>217</v>
      </c>
      <c r="B67" s="28">
        <v>0</v>
      </c>
      <c r="C67" s="28">
        <v>684</v>
      </c>
      <c r="D67" s="28">
        <v>681</v>
      </c>
      <c r="E67" s="28">
        <v>12</v>
      </c>
      <c r="F67" s="28">
        <v>8175</v>
      </c>
      <c r="G67" s="29"/>
    </row>
    <row r="68" spans="1:7" ht="15.75">
      <c r="A68" s="27" t="s">
        <v>526</v>
      </c>
      <c r="B68" s="28">
        <v>0</v>
      </c>
      <c r="C68" s="28">
        <v>516</v>
      </c>
      <c r="D68" s="28">
        <v>513</v>
      </c>
      <c r="E68" s="28">
        <v>12</v>
      </c>
      <c r="F68" s="28">
        <v>6159</v>
      </c>
      <c r="G68" s="29"/>
    </row>
    <row r="69" spans="1:7" ht="15.75">
      <c r="A69" s="27" t="s">
        <v>364</v>
      </c>
      <c r="B69" s="28">
        <v>0</v>
      </c>
      <c r="C69" s="28">
        <v>810</v>
      </c>
      <c r="D69" s="28">
        <v>807</v>
      </c>
      <c r="E69" s="28">
        <v>12</v>
      </c>
      <c r="F69" s="28">
        <v>9687</v>
      </c>
      <c r="G69" s="29"/>
    </row>
    <row r="70" spans="1:7" ht="15.75">
      <c r="A70" s="27" t="s">
        <v>231</v>
      </c>
      <c r="B70" s="28">
        <v>0</v>
      </c>
      <c r="C70" s="28">
        <v>1082</v>
      </c>
      <c r="D70" s="28">
        <v>1086</v>
      </c>
      <c r="E70" s="28">
        <v>12</v>
      </c>
      <c r="F70" s="28">
        <v>13028</v>
      </c>
      <c r="G70" s="29"/>
    </row>
    <row r="71" spans="1:7" ht="15.75">
      <c r="A71" s="27" t="s">
        <v>484</v>
      </c>
      <c r="B71" s="28">
        <v>0</v>
      </c>
      <c r="C71" s="28">
        <v>236</v>
      </c>
      <c r="D71" s="28">
        <v>233</v>
      </c>
      <c r="E71" s="28">
        <v>12</v>
      </c>
      <c r="F71" s="28">
        <v>2799</v>
      </c>
      <c r="G71" s="29"/>
    </row>
    <row r="72" spans="1:7" ht="15.75">
      <c r="A72" s="27" t="s">
        <v>487</v>
      </c>
      <c r="B72" s="28">
        <v>0</v>
      </c>
      <c r="C72" s="28">
        <v>288</v>
      </c>
      <c r="D72" s="28">
        <v>291</v>
      </c>
      <c r="E72" s="28">
        <v>12</v>
      </c>
      <c r="F72" s="28">
        <v>3489</v>
      </c>
      <c r="G72" s="29"/>
    </row>
    <row r="73" spans="1:7" ht="15.75">
      <c r="A73" s="27" t="s">
        <v>247</v>
      </c>
      <c r="B73" s="28">
        <v>0</v>
      </c>
      <c r="C73" s="28">
        <v>558</v>
      </c>
      <c r="D73" s="28">
        <v>560</v>
      </c>
      <c r="E73" s="28">
        <v>12</v>
      </c>
      <c r="F73" s="28">
        <v>6718</v>
      </c>
      <c r="G73" s="29"/>
    </row>
    <row r="74" spans="1:7" ht="15.75">
      <c r="A74" s="27" t="s">
        <v>350</v>
      </c>
      <c r="B74" s="28">
        <v>0</v>
      </c>
      <c r="C74" s="28">
        <v>102</v>
      </c>
      <c r="D74" s="28">
        <v>101</v>
      </c>
      <c r="E74" s="28">
        <v>12</v>
      </c>
      <c r="F74" s="28">
        <v>1213</v>
      </c>
      <c r="G74" s="29"/>
    </row>
    <row r="75" spans="1:7" ht="15.75">
      <c r="A75" s="27" t="s">
        <v>465</v>
      </c>
      <c r="B75" s="28">
        <v>0</v>
      </c>
      <c r="C75" s="28">
        <v>156</v>
      </c>
      <c r="D75" s="28">
        <v>152</v>
      </c>
      <c r="E75" s="28">
        <v>12</v>
      </c>
      <c r="F75" s="28">
        <v>1828</v>
      </c>
      <c r="G75" s="29"/>
    </row>
    <row r="76" spans="1:7" ht="15.75">
      <c r="A76" s="27" t="s">
        <v>439</v>
      </c>
      <c r="B76" s="28">
        <v>0</v>
      </c>
      <c r="C76" s="28">
        <v>278</v>
      </c>
      <c r="D76" s="28">
        <v>280</v>
      </c>
      <c r="E76" s="28">
        <v>12</v>
      </c>
      <c r="F76" s="28">
        <v>3358</v>
      </c>
      <c r="G76" s="29"/>
    </row>
    <row r="77" spans="1:7" ht="15.75">
      <c r="A77" s="27" t="s">
        <v>417</v>
      </c>
      <c r="B77" s="28">
        <v>0</v>
      </c>
      <c r="C77" s="28">
        <v>146</v>
      </c>
      <c r="D77" s="28">
        <v>141</v>
      </c>
      <c r="E77" s="28">
        <v>12</v>
      </c>
      <c r="F77" s="28">
        <v>1697</v>
      </c>
      <c r="G77" s="29"/>
    </row>
    <row r="78" spans="1:7" ht="15.75">
      <c r="A78" s="27" t="s">
        <v>298</v>
      </c>
      <c r="B78" s="28">
        <v>0</v>
      </c>
      <c r="C78" s="28">
        <v>42</v>
      </c>
      <c r="D78" s="28">
        <v>47</v>
      </c>
      <c r="E78" s="28">
        <v>12</v>
      </c>
      <c r="F78" s="28">
        <v>559</v>
      </c>
      <c r="G78" s="29"/>
    </row>
    <row r="79" spans="1:7" ht="15.75">
      <c r="A79" s="27" t="s">
        <v>355</v>
      </c>
      <c r="B79" s="28">
        <v>0</v>
      </c>
      <c r="C79" s="28">
        <v>96</v>
      </c>
      <c r="D79" s="28">
        <v>93</v>
      </c>
      <c r="E79" s="28">
        <v>12</v>
      </c>
      <c r="F79" s="28">
        <v>1119</v>
      </c>
      <c r="G79" s="29"/>
    </row>
    <row r="80" spans="1:7" ht="15.75">
      <c r="A80" s="27" t="s">
        <v>468</v>
      </c>
      <c r="B80" s="28">
        <v>0</v>
      </c>
      <c r="C80" s="28">
        <v>92</v>
      </c>
      <c r="D80" s="28">
        <v>90</v>
      </c>
      <c r="E80" s="28">
        <v>12</v>
      </c>
      <c r="F80" s="28">
        <v>1082</v>
      </c>
      <c r="G80" s="29"/>
    </row>
    <row r="81" spans="1:7" ht="15.75">
      <c r="A81" s="27" t="s">
        <v>579</v>
      </c>
      <c r="B81" s="28">
        <v>0</v>
      </c>
      <c r="C81" s="28">
        <v>84</v>
      </c>
      <c r="D81" s="28">
        <v>89</v>
      </c>
      <c r="E81" s="28">
        <v>12</v>
      </c>
      <c r="F81" s="28">
        <v>1063</v>
      </c>
      <c r="G81" s="29"/>
    </row>
    <row r="82" spans="1:7" ht="15.75">
      <c r="A82" s="27" t="s">
        <v>476</v>
      </c>
      <c r="B82" s="28">
        <v>0</v>
      </c>
      <c r="C82" s="28">
        <v>64</v>
      </c>
      <c r="D82" s="28">
        <v>62</v>
      </c>
      <c r="E82" s="28">
        <v>12</v>
      </c>
      <c r="F82" s="28">
        <v>746</v>
      </c>
      <c r="G82" s="29"/>
    </row>
    <row r="83" spans="1:7" ht="15.75">
      <c r="A83" s="27" t="s">
        <v>423</v>
      </c>
      <c r="B83" s="28">
        <v>0</v>
      </c>
      <c r="C83" s="28">
        <v>56</v>
      </c>
      <c r="D83" s="28">
        <v>61</v>
      </c>
      <c r="E83" s="28">
        <v>12</v>
      </c>
      <c r="F83" s="28">
        <v>727</v>
      </c>
      <c r="G83" s="29"/>
    </row>
    <row r="84" spans="1:7" ht="15.75">
      <c r="A84" s="27" t="s">
        <v>560</v>
      </c>
      <c r="B84" s="28">
        <v>0</v>
      </c>
      <c r="C84" s="28">
        <v>36</v>
      </c>
      <c r="D84" s="28">
        <v>39</v>
      </c>
      <c r="E84" s="28">
        <v>12</v>
      </c>
      <c r="F84" s="28">
        <v>465</v>
      </c>
      <c r="G84" s="29"/>
    </row>
    <row r="85" spans="1:7" ht="15.75">
      <c r="A85" s="27" t="s">
        <v>495</v>
      </c>
      <c r="B85" s="28">
        <v>0</v>
      </c>
      <c r="C85" s="28">
        <v>54</v>
      </c>
      <c r="D85" s="28">
        <v>51</v>
      </c>
      <c r="E85" s="28">
        <v>12</v>
      </c>
      <c r="F85" s="28">
        <v>615</v>
      </c>
      <c r="G85" s="29"/>
    </row>
    <row r="86" spans="1:7" ht="15.75">
      <c r="A86" s="27" t="s">
        <v>529</v>
      </c>
      <c r="B86" s="28">
        <v>0</v>
      </c>
      <c r="C86" s="28">
        <v>312</v>
      </c>
      <c r="D86" s="28">
        <v>311</v>
      </c>
      <c r="E86" s="28">
        <v>12</v>
      </c>
      <c r="F86" s="28">
        <v>3733</v>
      </c>
      <c r="G86" s="29"/>
    </row>
    <row r="87" spans="1:7" ht="15.75">
      <c r="A87" s="27" t="s">
        <v>533</v>
      </c>
      <c r="B87" s="28">
        <v>0</v>
      </c>
      <c r="C87" s="28">
        <v>408</v>
      </c>
      <c r="D87" s="28">
        <v>404</v>
      </c>
      <c r="E87" s="28">
        <v>12</v>
      </c>
      <c r="F87" s="28">
        <v>4852</v>
      </c>
      <c r="G87" s="29"/>
    </row>
    <row r="88" spans="1:7" ht="15.75">
      <c r="A88" s="27" t="s">
        <v>601</v>
      </c>
      <c r="B88" s="28">
        <v>0</v>
      </c>
      <c r="C88" s="28">
        <v>524</v>
      </c>
      <c r="D88" s="28">
        <v>519</v>
      </c>
      <c r="E88" s="28">
        <v>12</v>
      </c>
      <c r="F88" s="28">
        <v>6233</v>
      </c>
      <c r="G88" s="29"/>
    </row>
    <row r="89" spans="1:7" ht="15.75">
      <c r="A89" s="27" t="s">
        <v>443</v>
      </c>
      <c r="B89" s="28">
        <v>0</v>
      </c>
      <c r="C89" s="28">
        <v>74</v>
      </c>
      <c r="D89" s="28">
        <v>78</v>
      </c>
      <c r="E89" s="28">
        <v>12</v>
      </c>
      <c r="F89" s="28">
        <v>932</v>
      </c>
      <c r="G89" s="29"/>
    </row>
    <row r="90" spans="1:7" ht="15.75">
      <c r="A90" s="27" t="s">
        <v>580</v>
      </c>
      <c r="B90" s="28">
        <v>0</v>
      </c>
      <c r="C90" s="28">
        <v>60</v>
      </c>
      <c r="D90" s="28">
        <v>64</v>
      </c>
      <c r="E90" s="28">
        <v>12</v>
      </c>
      <c r="F90" s="28">
        <v>764</v>
      </c>
      <c r="G90" s="29"/>
    </row>
    <row r="91" spans="1:7" ht="15.75">
      <c r="A91" s="27" t="s">
        <v>506</v>
      </c>
      <c r="B91" s="28">
        <v>0</v>
      </c>
      <c r="C91" s="28">
        <v>72</v>
      </c>
      <c r="D91" s="28">
        <v>68</v>
      </c>
      <c r="E91" s="28">
        <v>12</v>
      </c>
      <c r="F91" s="28">
        <v>820</v>
      </c>
      <c r="G91" s="29"/>
    </row>
    <row r="92" spans="1:7" ht="15.75">
      <c r="A92" s="27" t="s">
        <v>371</v>
      </c>
      <c r="B92" s="28">
        <v>0</v>
      </c>
      <c r="C92" s="28">
        <v>44</v>
      </c>
      <c r="D92" s="28">
        <v>40</v>
      </c>
      <c r="E92" s="28">
        <v>12</v>
      </c>
      <c r="F92" s="28">
        <v>484</v>
      </c>
      <c r="G92" s="29"/>
    </row>
    <row r="93" spans="1:7" ht="15.75">
      <c r="A93" s="27" t="s">
        <v>581</v>
      </c>
      <c r="B93" s="28">
        <v>0</v>
      </c>
      <c r="C93" s="28">
        <v>48</v>
      </c>
      <c r="D93" s="28">
        <v>43</v>
      </c>
      <c r="E93" s="28">
        <v>12</v>
      </c>
      <c r="F93" s="28">
        <v>521</v>
      </c>
      <c r="G93" s="29"/>
    </row>
    <row r="94" spans="1:7" ht="15.75">
      <c r="A94" s="27" t="s">
        <v>586</v>
      </c>
      <c r="B94" s="28">
        <v>0</v>
      </c>
      <c r="C94" s="28">
        <v>90</v>
      </c>
      <c r="D94" s="28">
        <v>85</v>
      </c>
      <c r="E94" s="28">
        <v>12</v>
      </c>
      <c r="F94" s="28">
        <v>1025</v>
      </c>
      <c r="G94" s="29"/>
    </row>
    <row r="95" spans="1:7" ht="15.75">
      <c r="A95" s="27" t="s">
        <v>602</v>
      </c>
      <c r="B95" s="28">
        <v>0</v>
      </c>
      <c r="C95" s="28">
        <v>116</v>
      </c>
      <c r="D95" s="28">
        <v>115</v>
      </c>
      <c r="E95" s="28">
        <v>12</v>
      </c>
      <c r="F95" s="28">
        <v>1381</v>
      </c>
      <c r="G95" s="29"/>
    </row>
    <row r="96" spans="1:7" ht="15.75">
      <c r="A96" s="27" t="s">
        <v>509</v>
      </c>
      <c r="B96" s="28">
        <v>0</v>
      </c>
      <c r="C96" s="28">
        <v>54</v>
      </c>
      <c r="D96" s="28">
        <v>51</v>
      </c>
      <c r="E96" s="28">
        <v>12</v>
      </c>
      <c r="F96" s="28">
        <v>615</v>
      </c>
      <c r="G96" s="29"/>
    </row>
    <row r="97" spans="1:7" ht="15.75">
      <c r="A97" s="27" t="s">
        <v>537</v>
      </c>
      <c r="B97" s="28">
        <v>0</v>
      </c>
      <c r="C97" s="28">
        <v>462</v>
      </c>
      <c r="D97" s="28">
        <v>467</v>
      </c>
      <c r="E97" s="28">
        <v>12</v>
      </c>
      <c r="F97" s="28">
        <v>5599</v>
      </c>
      <c r="G97" s="29"/>
    </row>
    <row r="98" spans="1:7" ht="15.75">
      <c r="A98" s="27" t="s">
        <v>538</v>
      </c>
      <c r="B98" s="28">
        <v>0</v>
      </c>
      <c r="C98" s="28">
        <v>516</v>
      </c>
      <c r="D98" s="28">
        <v>513</v>
      </c>
      <c r="E98" s="28">
        <v>12</v>
      </c>
      <c r="F98" s="28">
        <v>6159</v>
      </c>
      <c r="G98" s="29"/>
    </row>
    <row r="99" spans="1:7" ht="15.75">
      <c r="A99" s="27" t="s">
        <v>548</v>
      </c>
      <c r="B99" s="28">
        <v>0</v>
      </c>
      <c r="C99" s="28">
        <v>594</v>
      </c>
      <c r="D99" s="28">
        <v>589</v>
      </c>
      <c r="E99" s="28">
        <v>12</v>
      </c>
      <c r="F99" s="28">
        <v>7073</v>
      </c>
      <c r="G99" s="29"/>
    </row>
    <row r="100" spans="1:7" ht="15.75">
      <c r="A100" s="27" t="s">
        <v>588</v>
      </c>
      <c r="B100" s="28">
        <v>0</v>
      </c>
      <c r="C100" s="28">
        <v>46</v>
      </c>
      <c r="D100" s="28">
        <v>45</v>
      </c>
      <c r="E100" s="28">
        <v>12</v>
      </c>
      <c r="F100" s="28">
        <v>541</v>
      </c>
      <c r="G100" s="29"/>
    </row>
    <row r="101" spans="1:7" ht="15.75">
      <c r="A101" s="27" t="s">
        <v>549</v>
      </c>
      <c r="B101" s="28">
        <v>0</v>
      </c>
      <c r="C101" s="28">
        <v>42</v>
      </c>
      <c r="D101" s="28">
        <v>47</v>
      </c>
      <c r="E101" s="28">
        <v>12</v>
      </c>
      <c r="F101" s="28">
        <v>559</v>
      </c>
      <c r="G101" s="29"/>
    </row>
    <row r="102" spans="1:7" ht="15.75">
      <c r="A102" s="27" t="s">
        <v>562</v>
      </c>
      <c r="B102" s="28">
        <v>0</v>
      </c>
      <c r="C102" s="28">
        <v>42</v>
      </c>
      <c r="D102" s="28">
        <v>47</v>
      </c>
      <c r="E102" s="28">
        <v>12</v>
      </c>
      <c r="F102" s="28">
        <v>559</v>
      </c>
      <c r="G102" s="29"/>
    </row>
    <row r="103" spans="1:7" ht="15.75">
      <c r="A103" s="27" t="s">
        <v>611</v>
      </c>
      <c r="B103" s="28">
        <v>0</v>
      </c>
      <c r="C103" s="28">
        <v>222</v>
      </c>
      <c r="D103" s="28">
        <v>224</v>
      </c>
      <c r="E103" s="28">
        <v>12</v>
      </c>
      <c r="F103" s="28">
        <v>2686</v>
      </c>
      <c r="G103" s="29"/>
    </row>
    <row r="104" spans="1:7" ht="15.75">
      <c r="A104" s="27" t="s">
        <v>569</v>
      </c>
      <c r="B104" s="28">
        <v>0</v>
      </c>
      <c r="C104" s="28">
        <v>666</v>
      </c>
      <c r="D104" s="28">
        <v>669</v>
      </c>
      <c r="E104" s="28">
        <v>12</v>
      </c>
      <c r="F104" s="28">
        <v>8025</v>
      </c>
      <c r="G104" s="29"/>
    </row>
    <row r="105" spans="1:7" ht="15.75">
      <c r="A105" s="27" t="s">
        <v>478</v>
      </c>
      <c r="B105" s="28">
        <v>0</v>
      </c>
      <c r="C105" s="28">
        <v>996</v>
      </c>
      <c r="D105" s="28">
        <v>992</v>
      </c>
      <c r="E105" s="28">
        <v>12</v>
      </c>
      <c r="F105" s="28">
        <v>11908</v>
      </c>
      <c r="G105" s="29"/>
    </row>
    <row r="106" spans="1:7" ht="15.75">
      <c r="A106" s="27" t="s">
        <v>612</v>
      </c>
      <c r="B106" s="28">
        <v>0</v>
      </c>
      <c r="C106" s="28">
        <v>84</v>
      </c>
      <c r="D106" s="28">
        <v>89</v>
      </c>
      <c r="E106" s="28">
        <v>12</v>
      </c>
      <c r="F106" s="28">
        <v>1063</v>
      </c>
      <c r="G106" s="29"/>
    </row>
    <row r="107" spans="1:7" ht="15.75">
      <c r="A107" s="27" t="s">
        <v>596</v>
      </c>
      <c r="B107" s="28">
        <v>0</v>
      </c>
      <c r="C107" s="28">
        <v>42</v>
      </c>
      <c r="D107" s="28">
        <v>47</v>
      </c>
      <c r="E107" s="28">
        <v>12</v>
      </c>
      <c r="F107" s="28">
        <v>559</v>
      </c>
      <c r="G107" s="29"/>
    </row>
    <row r="108" spans="1:7" ht="15.75">
      <c r="A108" s="27" t="s">
        <v>589</v>
      </c>
      <c r="B108" s="28">
        <v>0</v>
      </c>
      <c r="C108" s="28">
        <v>278</v>
      </c>
      <c r="D108" s="28">
        <v>280</v>
      </c>
      <c r="E108" s="28">
        <v>12</v>
      </c>
      <c r="F108" s="28">
        <v>3358</v>
      </c>
      <c r="G108" s="29"/>
    </row>
    <row r="109" spans="1:7" ht="15.75">
      <c r="A109" s="27" t="s">
        <v>613</v>
      </c>
      <c r="B109" s="28">
        <v>0</v>
      </c>
      <c r="C109" s="28">
        <v>312</v>
      </c>
      <c r="D109" s="28">
        <v>311</v>
      </c>
      <c r="E109" s="28">
        <v>12</v>
      </c>
      <c r="F109" s="28">
        <v>3733</v>
      </c>
      <c r="G109" s="29"/>
    </row>
    <row r="110" spans="1:7" ht="15.75">
      <c r="A110" s="27" t="s">
        <v>619</v>
      </c>
      <c r="B110" s="28">
        <v>0</v>
      </c>
      <c r="C110" s="28">
        <v>70</v>
      </c>
      <c r="D110" s="28">
        <v>75</v>
      </c>
      <c r="E110" s="28">
        <v>12</v>
      </c>
      <c r="F110" s="28">
        <v>895</v>
      </c>
      <c r="G110" s="29"/>
    </row>
    <row r="111" spans="1:7" ht="15.75">
      <c r="A111" s="27" t="s">
        <v>620</v>
      </c>
      <c r="B111" s="28">
        <v>0</v>
      </c>
      <c r="C111" s="28">
        <v>74</v>
      </c>
      <c r="D111" s="28">
        <v>78</v>
      </c>
      <c r="E111" s="28">
        <v>12</v>
      </c>
      <c r="F111" s="28">
        <v>932</v>
      </c>
      <c r="G111" s="29"/>
    </row>
    <row r="112" spans="1:7" ht="15.75">
      <c r="A112" s="27" t="s">
        <v>628</v>
      </c>
      <c r="B112" s="28">
        <v>0</v>
      </c>
      <c r="C112" s="28">
        <v>204</v>
      </c>
      <c r="D112" s="28">
        <v>202</v>
      </c>
      <c r="E112" s="28">
        <v>12</v>
      </c>
      <c r="F112" s="28">
        <v>2426</v>
      </c>
      <c r="G112" s="29"/>
    </row>
    <row r="113" spans="1:7" ht="15.75">
      <c r="A113" s="27" t="s">
        <v>630</v>
      </c>
      <c r="B113" s="28">
        <v>0</v>
      </c>
      <c r="C113" s="28">
        <v>372</v>
      </c>
      <c r="D113" s="28">
        <v>370</v>
      </c>
      <c r="E113" s="28">
        <v>12</v>
      </c>
      <c r="F113" s="28">
        <v>4442</v>
      </c>
      <c r="G113" s="29"/>
    </row>
    <row r="114" spans="1:7" ht="15.75">
      <c r="A114" s="27" t="s">
        <v>634</v>
      </c>
      <c r="B114" s="28">
        <v>0</v>
      </c>
      <c r="C114" s="28">
        <v>88</v>
      </c>
      <c r="D114" s="28">
        <v>87</v>
      </c>
      <c r="E114" s="28">
        <v>12</v>
      </c>
      <c r="F114" s="28">
        <v>1045</v>
      </c>
      <c r="G114" s="29"/>
    </row>
    <row r="115" spans="1:7" ht="15.75">
      <c r="A115" s="27" t="s">
        <v>635</v>
      </c>
      <c r="B115" s="28">
        <v>0</v>
      </c>
      <c r="C115" s="28">
        <v>92</v>
      </c>
      <c r="D115" s="28">
        <v>90</v>
      </c>
      <c r="E115" s="28">
        <v>12</v>
      </c>
      <c r="F115" s="28">
        <v>1082</v>
      </c>
      <c r="G115" s="29"/>
    </row>
    <row r="116" spans="1:7" ht="15.75">
      <c r="A116" s="27" t="s">
        <v>641</v>
      </c>
      <c r="B116" s="28">
        <v>0</v>
      </c>
      <c r="C116" s="28">
        <v>134</v>
      </c>
      <c r="D116" s="28">
        <v>137</v>
      </c>
      <c r="E116" s="28">
        <v>12</v>
      </c>
      <c r="F116" s="28">
        <v>1641</v>
      </c>
      <c r="G116" s="29"/>
    </row>
    <row r="117" spans="1:7" ht="15.75">
      <c r="A117" s="27" t="s">
        <v>646</v>
      </c>
      <c r="B117" s="28">
        <v>0</v>
      </c>
      <c r="C117" s="28">
        <v>78</v>
      </c>
      <c r="D117" s="28">
        <v>76</v>
      </c>
      <c r="E117" s="28">
        <v>12</v>
      </c>
      <c r="F117" s="28">
        <v>914</v>
      </c>
      <c r="G117" s="29"/>
    </row>
    <row r="118" spans="1:7" ht="15.75">
      <c r="A118" s="27" t="s">
        <v>653</v>
      </c>
      <c r="B118" s="28">
        <v>0</v>
      </c>
      <c r="C118" s="28">
        <v>78</v>
      </c>
      <c r="D118" s="28">
        <v>81</v>
      </c>
      <c r="E118" s="28">
        <v>12</v>
      </c>
      <c r="F118" s="28">
        <v>969</v>
      </c>
      <c r="G118" s="29"/>
    </row>
    <row r="119" spans="1:7" ht="15.75">
      <c r="A119" s="27" t="s">
        <v>655</v>
      </c>
      <c r="B119" s="28">
        <v>0</v>
      </c>
      <c r="C119" s="28">
        <v>670</v>
      </c>
      <c r="D119" s="28">
        <v>672</v>
      </c>
      <c r="E119" s="28">
        <v>12</v>
      </c>
      <c r="F119" s="28">
        <v>8062</v>
      </c>
      <c r="G119" s="29"/>
    </row>
    <row r="120" spans="1:7" ht="15.75">
      <c r="A120" s="27" t="s">
        <v>664</v>
      </c>
      <c r="B120" s="28">
        <v>0</v>
      </c>
      <c r="C120" s="28">
        <v>1026</v>
      </c>
      <c r="D120" s="28">
        <v>1030</v>
      </c>
      <c r="E120" s="28">
        <v>12</v>
      </c>
      <c r="F120" s="28">
        <v>12356</v>
      </c>
      <c r="G120" s="29"/>
    </row>
    <row r="121" spans="1:7" ht="15.75">
      <c r="A121" s="27" t="s">
        <v>666</v>
      </c>
      <c r="B121" s="28">
        <v>0</v>
      </c>
      <c r="C121" s="28">
        <v>124</v>
      </c>
      <c r="D121" s="28">
        <v>126</v>
      </c>
      <c r="E121" s="28">
        <v>12</v>
      </c>
      <c r="F121" s="28">
        <v>1510</v>
      </c>
      <c r="G121" s="29"/>
    </row>
    <row r="122" spans="1:7" ht="15.75">
      <c r="A122" s="27" t="s">
        <v>672</v>
      </c>
      <c r="B122" s="28">
        <v>0</v>
      </c>
      <c r="C122" s="28">
        <v>190</v>
      </c>
      <c r="D122" s="28">
        <v>188</v>
      </c>
      <c r="E122" s="28">
        <v>12</v>
      </c>
      <c r="F122" s="28">
        <v>2258</v>
      </c>
      <c r="G122" s="29"/>
    </row>
    <row r="123" spans="1:7" ht="15.75">
      <c r="A123" s="27" t="s">
        <v>674</v>
      </c>
      <c r="B123" s="28">
        <v>0</v>
      </c>
      <c r="C123" s="28">
        <v>154</v>
      </c>
      <c r="D123" s="28">
        <v>159</v>
      </c>
      <c r="E123" s="28">
        <v>12</v>
      </c>
      <c r="F123" s="28">
        <v>1903</v>
      </c>
      <c r="G123" s="29"/>
    </row>
    <row r="124" spans="1:7" ht="15.75">
      <c r="A124" s="27" t="s">
        <v>675</v>
      </c>
      <c r="B124" s="28">
        <v>0</v>
      </c>
      <c r="C124" s="28">
        <v>270</v>
      </c>
      <c r="D124" s="28">
        <v>269</v>
      </c>
      <c r="E124" s="28">
        <v>12</v>
      </c>
      <c r="F124" s="28">
        <v>3229</v>
      </c>
      <c r="G124" s="29"/>
    </row>
    <row r="125" spans="1:7" ht="15.75">
      <c r="A125" s="27" t="s">
        <v>676</v>
      </c>
      <c r="B125" s="28">
        <v>0</v>
      </c>
      <c r="C125" s="28">
        <v>284</v>
      </c>
      <c r="D125" s="28">
        <v>288</v>
      </c>
      <c r="E125" s="28">
        <v>12</v>
      </c>
      <c r="F125" s="28">
        <v>3452</v>
      </c>
      <c r="G125" s="29"/>
    </row>
    <row r="126" spans="1:7" ht="15.75">
      <c r="A126" s="27" t="s">
        <v>679</v>
      </c>
      <c r="B126" s="28">
        <v>0</v>
      </c>
      <c r="C126" s="28">
        <v>316</v>
      </c>
      <c r="D126" s="28">
        <v>314</v>
      </c>
      <c r="E126" s="28">
        <v>12</v>
      </c>
      <c r="F126" s="28">
        <v>3770</v>
      </c>
      <c r="G126" s="29"/>
    </row>
    <row r="127" spans="1:7" ht="15.75">
      <c r="A127" s="27" t="s">
        <v>686</v>
      </c>
      <c r="B127" s="28">
        <v>0</v>
      </c>
      <c r="C127" s="28">
        <v>236</v>
      </c>
      <c r="D127" s="28">
        <v>233</v>
      </c>
      <c r="E127" s="28">
        <v>12</v>
      </c>
      <c r="F127" s="28">
        <v>2799</v>
      </c>
      <c r="G127" s="29"/>
    </row>
    <row r="128" spans="1:7" ht="15.75">
      <c r="A128" s="27" t="s">
        <v>687</v>
      </c>
      <c r="B128" s="28">
        <v>0</v>
      </c>
      <c r="C128" s="28">
        <v>282</v>
      </c>
      <c r="D128" s="28">
        <v>278</v>
      </c>
      <c r="E128" s="28">
        <v>12</v>
      </c>
      <c r="F128" s="28">
        <v>3340</v>
      </c>
      <c r="G128" s="29"/>
    </row>
    <row r="129" spans="1:7" ht="15.75">
      <c r="A129" s="27" t="s">
        <v>689</v>
      </c>
      <c r="B129" s="28">
        <v>0</v>
      </c>
      <c r="C129" s="28">
        <v>256</v>
      </c>
      <c r="D129" s="28">
        <v>260</v>
      </c>
      <c r="E129" s="28">
        <v>12</v>
      </c>
      <c r="F129" s="28">
        <v>3116</v>
      </c>
      <c r="G129" s="29"/>
    </row>
    <row r="130" spans="1:7" ht="15.75">
      <c r="A130" s="27" t="s">
        <v>695</v>
      </c>
      <c r="B130" s="28">
        <v>0</v>
      </c>
      <c r="C130" s="28">
        <v>302</v>
      </c>
      <c r="D130" s="28">
        <v>305</v>
      </c>
      <c r="E130" s="28">
        <v>12</v>
      </c>
      <c r="F130" s="28">
        <v>3657</v>
      </c>
      <c r="G130" s="29"/>
    </row>
    <row r="131" spans="1:7" ht="15.75">
      <c r="A131" s="27" t="s">
        <v>696</v>
      </c>
      <c r="B131" s="28">
        <v>0</v>
      </c>
      <c r="C131" s="28">
        <v>334</v>
      </c>
      <c r="D131" s="28">
        <v>331</v>
      </c>
      <c r="E131" s="28">
        <v>12</v>
      </c>
      <c r="F131" s="28">
        <v>3975</v>
      </c>
      <c r="G131" s="29"/>
    </row>
    <row r="132" spans="1:7" ht="15.75">
      <c r="A132" s="27" t="s">
        <v>702</v>
      </c>
      <c r="B132" s="28">
        <v>0</v>
      </c>
      <c r="C132" s="28">
        <v>354</v>
      </c>
      <c r="D132" s="28">
        <v>358</v>
      </c>
      <c r="E132" s="28">
        <v>12</v>
      </c>
      <c r="F132" s="28">
        <v>4292</v>
      </c>
      <c r="G132" s="29"/>
    </row>
    <row r="133" spans="1:7" ht="15.75">
      <c r="A133" s="27" t="s">
        <v>705</v>
      </c>
      <c r="B133" s="28">
        <v>0</v>
      </c>
      <c r="C133" s="28">
        <v>382</v>
      </c>
      <c r="D133" s="28">
        <v>386</v>
      </c>
      <c r="E133" s="28">
        <v>12</v>
      </c>
      <c r="F133" s="28">
        <v>4628</v>
      </c>
      <c r="G133" s="29"/>
    </row>
    <row r="134" spans="1:7" ht="15.75">
      <c r="A134" s="27" t="s">
        <v>707</v>
      </c>
      <c r="B134" s="28">
        <v>0</v>
      </c>
      <c r="C134" s="28">
        <v>76</v>
      </c>
      <c r="D134" s="28">
        <v>71</v>
      </c>
      <c r="E134" s="28">
        <v>12</v>
      </c>
      <c r="F134" s="28">
        <v>857</v>
      </c>
      <c r="G134" s="29"/>
    </row>
    <row r="135" spans="1:7" ht="15.75">
      <c r="A135" s="27" t="s">
        <v>715</v>
      </c>
      <c r="B135" s="28">
        <v>0</v>
      </c>
      <c r="C135" s="28">
        <v>284</v>
      </c>
      <c r="D135" s="28">
        <v>288</v>
      </c>
      <c r="E135" s="28">
        <v>12</v>
      </c>
      <c r="F135" s="28">
        <v>3452</v>
      </c>
      <c r="G135" s="29"/>
    </row>
    <row r="136" spans="1:7" ht="15.75">
      <c r="A136" s="27" t="s">
        <v>717</v>
      </c>
      <c r="B136" s="28">
        <v>0</v>
      </c>
      <c r="C136" s="28">
        <v>96</v>
      </c>
      <c r="D136" s="28">
        <v>93</v>
      </c>
      <c r="E136" s="28">
        <v>12</v>
      </c>
      <c r="F136" s="28">
        <v>1119</v>
      </c>
      <c r="G136" s="29"/>
    </row>
    <row r="137" spans="1:7" ht="15.75">
      <c r="A137" s="27" t="s">
        <v>724</v>
      </c>
      <c r="B137" s="28">
        <v>0</v>
      </c>
      <c r="C137" s="28">
        <v>74</v>
      </c>
      <c r="D137" s="28">
        <v>78</v>
      </c>
      <c r="E137" s="28">
        <v>12</v>
      </c>
      <c r="F137" s="28">
        <v>932</v>
      </c>
      <c r="G137" s="29"/>
    </row>
    <row r="138" spans="1:7" ht="15.75">
      <c r="A138" s="27" t="s">
        <v>725</v>
      </c>
      <c r="B138" s="28">
        <v>0</v>
      </c>
      <c r="C138" s="28">
        <v>90</v>
      </c>
      <c r="D138" s="28">
        <v>85</v>
      </c>
      <c r="E138" s="28">
        <v>12</v>
      </c>
      <c r="F138" s="28">
        <v>1025</v>
      </c>
      <c r="G138" s="29"/>
    </row>
    <row r="139" spans="1:7" ht="15.75">
      <c r="A139" s="27" t="s">
        <v>731</v>
      </c>
      <c r="B139" s="28">
        <v>0</v>
      </c>
      <c r="C139" s="28">
        <v>106</v>
      </c>
      <c r="D139" s="28">
        <v>109</v>
      </c>
      <c r="E139" s="28">
        <v>12</v>
      </c>
      <c r="F139" s="28">
        <v>1305</v>
      </c>
      <c r="G139" s="29"/>
    </row>
    <row r="140" spans="1:7" ht="15.75">
      <c r="A140" s="27" t="s">
        <v>734</v>
      </c>
      <c r="B140" s="28">
        <v>0</v>
      </c>
      <c r="C140" s="28">
        <v>656</v>
      </c>
      <c r="D140" s="28">
        <v>658</v>
      </c>
      <c r="E140" s="28">
        <v>12</v>
      </c>
      <c r="F140" s="28">
        <v>7894</v>
      </c>
      <c r="G140" s="29"/>
    </row>
    <row r="141" spans="1:7" ht="15.75">
      <c r="A141" s="27" t="s">
        <v>738</v>
      </c>
      <c r="B141" s="28">
        <v>0</v>
      </c>
      <c r="C141" s="28">
        <v>74</v>
      </c>
      <c r="D141" s="28">
        <v>78</v>
      </c>
      <c r="E141" s="28">
        <v>12</v>
      </c>
      <c r="F141" s="28">
        <v>932</v>
      </c>
      <c r="G141" s="29"/>
    </row>
    <row r="142" spans="1:7" ht="15.75">
      <c r="A142" s="27" t="s">
        <v>740</v>
      </c>
      <c r="B142" s="28">
        <v>0</v>
      </c>
      <c r="C142" s="28">
        <v>64</v>
      </c>
      <c r="D142" s="28">
        <v>62</v>
      </c>
      <c r="E142" s="28">
        <v>12</v>
      </c>
      <c r="F142" s="28">
        <v>746</v>
      </c>
      <c r="G142" s="29"/>
    </row>
    <row r="143" spans="1:7" ht="15.75">
      <c r="A143" s="27" t="s">
        <v>745</v>
      </c>
      <c r="B143" s="28">
        <v>0</v>
      </c>
      <c r="C143" s="28">
        <v>142</v>
      </c>
      <c r="D143" s="28">
        <v>138</v>
      </c>
      <c r="E143" s="28">
        <v>12</v>
      </c>
      <c r="F143" s="28">
        <v>1660</v>
      </c>
      <c r="G143" s="29"/>
    </row>
    <row r="144" spans="1:7" ht="15.75">
      <c r="A144" s="27" t="s">
        <v>746</v>
      </c>
      <c r="B144" s="28">
        <v>0</v>
      </c>
      <c r="C144" s="28">
        <v>212</v>
      </c>
      <c r="D144" s="28">
        <v>217</v>
      </c>
      <c r="E144" s="28">
        <v>12</v>
      </c>
      <c r="F144" s="28">
        <v>2599</v>
      </c>
      <c r="G144" s="29"/>
    </row>
    <row r="145" spans="1:7" ht="15.75">
      <c r="A145" s="27" t="s">
        <v>750</v>
      </c>
      <c r="B145" s="28">
        <v>0</v>
      </c>
      <c r="C145" s="28">
        <v>344</v>
      </c>
      <c r="D145" s="28">
        <v>347</v>
      </c>
      <c r="E145" s="28">
        <v>12</v>
      </c>
      <c r="F145" s="28">
        <v>4161</v>
      </c>
      <c r="G145" s="29"/>
    </row>
    <row r="146" spans="1:7" ht="15.75">
      <c r="A146" s="27" t="s">
        <v>751</v>
      </c>
      <c r="B146" s="28">
        <v>0</v>
      </c>
      <c r="C146" s="28">
        <v>26</v>
      </c>
      <c r="D146" s="28">
        <v>28</v>
      </c>
      <c r="E146" s="28">
        <v>12</v>
      </c>
      <c r="F146" s="28">
        <v>334</v>
      </c>
      <c r="G146" s="29"/>
    </row>
    <row r="147" spans="1:7" ht="15.75">
      <c r="A147" s="27" t="s">
        <v>758</v>
      </c>
      <c r="B147" s="28">
        <v>0</v>
      </c>
      <c r="C147" s="28">
        <v>54</v>
      </c>
      <c r="D147" s="28">
        <v>51</v>
      </c>
      <c r="E147" s="28">
        <v>12</v>
      </c>
      <c r="F147" s="28">
        <v>615</v>
      </c>
      <c r="G147" s="29"/>
    </row>
    <row r="148" spans="1:7" ht="15.75">
      <c r="A148" s="27" t="s">
        <v>759</v>
      </c>
      <c r="B148" s="28">
        <v>0</v>
      </c>
      <c r="C148" s="28">
        <v>160</v>
      </c>
      <c r="D148" s="28">
        <v>155</v>
      </c>
      <c r="E148" s="28">
        <v>12</v>
      </c>
      <c r="F148" s="28">
        <v>1865</v>
      </c>
      <c r="G148" s="29"/>
    </row>
    <row r="149" spans="1:7" ht="15.75">
      <c r="A149" s="27" t="s">
        <v>763</v>
      </c>
      <c r="B149" s="28">
        <v>0</v>
      </c>
      <c r="C149" s="28">
        <v>42</v>
      </c>
      <c r="D149" s="28">
        <v>47</v>
      </c>
      <c r="E149" s="28">
        <v>12</v>
      </c>
      <c r="F149" s="28">
        <v>559</v>
      </c>
      <c r="G149" s="29"/>
    </row>
    <row r="150" spans="1:7" ht="15.75">
      <c r="A150" s="27" t="s">
        <v>765</v>
      </c>
      <c r="B150" s="28">
        <v>0</v>
      </c>
      <c r="C150" s="28">
        <v>60</v>
      </c>
      <c r="D150" s="28">
        <v>59</v>
      </c>
      <c r="E150" s="28">
        <v>12</v>
      </c>
      <c r="F150" s="28">
        <v>709</v>
      </c>
      <c r="G150" s="29"/>
    </row>
    <row r="151" spans="1:7" ht="15.75">
      <c r="A151" s="27" t="s">
        <v>769</v>
      </c>
      <c r="B151" s="28">
        <v>0</v>
      </c>
      <c r="C151" s="28">
        <v>114</v>
      </c>
      <c r="D151" s="28">
        <v>110</v>
      </c>
      <c r="E151" s="28">
        <v>12</v>
      </c>
      <c r="F151" s="28">
        <v>1324</v>
      </c>
      <c r="G151" s="29"/>
    </row>
    <row r="152" spans="1:7" ht="15.75">
      <c r="A152" s="27" t="s">
        <v>772</v>
      </c>
      <c r="B152" s="28">
        <v>0</v>
      </c>
      <c r="C152" s="28">
        <v>74</v>
      </c>
      <c r="D152" s="28">
        <v>78</v>
      </c>
      <c r="E152" s="28">
        <v>12</v>
      </c>
      <c r="F152" s="28">
        <v>932</v>
      </c>
      <c r="G152" s="29"/>
    </row>
    <row r="153" spans="1:7" ht="15.75">
      <c r="A153" s="27" t="s">
        <v>773</v>
      </c>
      <c r="B153" s="28">
        <v>0</v>
      </c>
      <c r="C153" s="28">
        <v>204</v>
      </c>
      <c r="D153" s="28">
        <v>202</v>
      </c>
      <c r="E153" s="28">
        <v>12</v>
      </c>
      <c r="F153" s="28">
        <v>2426</v>
      </c>
      <c r="G153" s="29"/>
    </row>
    <row r="154" spans="1:7" ht="15.75">
      <c r="A154" s="27" t="s">
        <v>774</v>
      </c>
      <c r="B154" s="28">
        <v>0</v>
      </c>
      <c r="C154" s="28">
        <v>86</v>
      </c>
      <c r="D154" s="28">
        <v>82</v>
      </c>
      <c r="E154" s="28">
        <v>12</v>
      </c>
      <c r="F154" s="28">
        <v>988</v>
      </c>
      <c r="G154" s="29"/>
    </row>
    <row r="155" spans="1:7" ht="15.75">
      <c r="A155" s="27" t="s">
        <v>775</v>
      </c>
      <c r="B155" s="28">
        <v>0</v>
      </c>
      <c r="C155" s="28">
        <v>44</v>
      </c>
      <c r="D155" s="28">
        <v>40</v>
      </c>
      <c r="E155" s="28">
        <v>12</v>
      </c>
      <c r="F155" s="28">
        <v>484</v>
      </c>
      <c r="G155" s="29"/>
    </row>
    <row r="156" spans="1:7" ht="15.75">
      <c r="A156" s="27" t="s">
        <v>776</v>
      </c>
      <c r="B156" s="28">
        <v>0</v>
      </c>
      <c r="C156" s="28">
        <v>54</v>
      </c>
      <c r="D156" s="28">
        <v>51</v>
      </c>
      <c r="E156" s="28">
        <v>12</v>
      </c>
      <c r="F156" s="28">
        <v>615</v>
      </c>
      <c r="G156" s="29"/>
    </row>
    <row r="157" spans="1:7" ht="15.75">
      <c r="A157" s="27" t="s">
        <v>777</v>
      </c>
      <c r="B157" s="28">
        <v>0</v>
      </c>
      <c r="C157" s="28">
        <v>222</v>
      </c>
      <c r="D157" s="28">
        <v>219</v>
      </c>
      <c r="E157" s="28">
        <v>12</v>
      </c>
      <c r="F157" s="28">
        <v>2631</v>
      </c>
      <c r="G157" s="29"/>
    </row>
    <row r="158" spans="1:7" ht="15.75">
      <c r="A158" s="27" t="s">
        <v>778</v>
      </c>
      <c r="B158" s="28">
        <v>0</v>
      </c>
      <c r="C158" s="28">
        <v>510</v>
      </c>
      <c r="D158" s="28">
        <v>505</v>
      </c>
      <c r="E158" s="28">
        <v>12</v>
      </c>
      <c r="F158" s="28">
        <v>6065</v>
      </c>
      <c r="G158" s="29"/>
    </row>
    <row r="159" spans="1:7" ht="15.75">
      <c r="A159" s="27" t="s">
        <v>779</v>
      </c>
      <c r="B159" s="28">
        <v>0</v>
      </c>
      <c r="C159" s="28">
        <v>342</v>
      </c>
      <c r="D159" s="28">
        <v>337</v>
      </c>
      <c r="E159" s="28">
        <v>12</v>
      </c>
      <c r="F159" s="28">
        <v>4049</v>
      </c>
      <c r="G159" s="29"/>
    </row>
    <row r="160" spans="1:7" ht="15.75">
      <c r="A160" s="27" t="s">
        <v>780</v>
      </c>
      <c r="B160" s="28">
        <v>0</v>
      </c>
      <c r="C160" s="28">
        <v>58</v>
      </c>
      <c r="D160" s="28">
        <v>54</v>
      </c>
      <c r="E160" s="28">
        <v>12</v>
      </c>
      <c r="F160" s="28">
        <v>652</v>
      </c>
      <c r="G160" s="29"/>
    </row>
    <row r="161" spans="1:7" ht="15.75">
      <c r="A161" s="27" t="s">
        <v>781</v>
      </c>
      <c r="B161" s="28">
        <v>0</v>
      </c>
      <c r="C161" s="28">
        <v>548</v>
      </c>
      <c r="D161" s="28">
        <v>544</v>
      </c>
      <c r="E161" s="28">
        <v>12</v>
      </c>
      <c r="F161" s="28">
        <v>6532</v>
      </c>
      <c r="G161" s="29"/>
    </row>
    <row r="162" spans="1:7" ht="15.75">
      <c r="A162" s="27" t="s">
        <v>782</v>
      </c>
      <c r="B162" s="28">
        <v>0</v>
      </c>
      <c r="C162" s="28">
        <v>462</v>
      </c>
      <c r="D162" s="28">
        <v>467</v>
      </c>
      <c r="E162" s="28">
        <v>12</v>
      </c>
      <c r="F162" s="28">
        <v>5599</v>
      </c>
      <c r="G162" s="29"/>
    </row>
    <row r="163" spans="1:7" ht="15.75">
      <c r="A163" s="27" t="s">
        <v>783</v>
      </c>
      <c r="B163" s="28">
        <v>0</v>
      </c>
      <c r="C163" s="28">
        <v>152</v>
      </c>
      <c r="D163" s="28">
        <v>149</v>
      </c>
      <c r="E163" s="28">
        <v>12</v>
      </c>
      <c r="F163" s="28">
        <v>1791</v>
      </c>
      <c r="G163" s="29"/>
    </row>
    <row r="164" spans="1:7" ht="15.75">
      <c r="A164" s="27" t="s">
        <v>784</v>
      </c>
      <c r="B164" s="28">
        <v>0</v>
      </c>
      <c r="C164" s="28">
        <v>164</v>
      </c>
      <c r="D164" s="28">
        <v>163</v>
      </c>
      <c r="E164" s="28">
        <v>12</v>
      </c>
      <c r="F164" s="28">
        <v>1957</v>
      </c>
      <c r="G164" s="29"/>
    </row>
    <row r="165" spans="1:7" ht="15.75">
      <c r="A165" s="27" t="s">
        <v>785</v>
      </c>
      <c r="B165" s="28">
        <v>0</v>
      </c>
      <c r="C165" s="28">
        <v>48</v>
      </c>
      <c r="D165" s="28">
        <v>43</v>
      </c>
      <c r="E165" s="28">
        <v>12</v>
      </c>
      <c r="F165" s="28">
        <v>521</v>
      </c>
      <c r="G165" s="29"/>
    </row>
    <row r="166" spans="1:7" ht="15.75">
      <c r="A166" s="27" t="s">
        <v>786</v>
      </c>
      <c r="B166" s="28">
        <v>0</v>
      </c>
      <c r="C166" s="28">
        <v>42</v>
      </c>
      <c r="D166" s="28">
        <v>47</v>
      </c>
      <c r="E166" s="28">
        <v>12</v>
      </c>
      <c r="F166" s="28">
        <v>559</v>
      </c>
      <c r="G166" s="29"/>
    </row>
    <row r="167" spans="1:7" ht="15.75">
      <c r="A167" s="27" t="s">
        <v>787</v>
      </c>
      <c r="B167" s="28">
        <v>0</v>
      </c>
      <c r="C167" s="28">
        <v>200</v>
      </c>
      <c r="D167" s="28">
        <v>199</v>
      </c>
      <c r="E167" s="28">
        <v>12</v>
      </c>
      <c r="F167" s="28">
        <v>2389</v>
      </c>
      <c r="G167" s="29"/>
    </row>
    <row r="168" spans="1:7" ht="15.75">
      <c r="A168" s="27" t="s">
        <v>788</v>
      </c>
      <c r="B168" s="28">
        <v>0</v>
      </c>
      <c r="C168" s="28">
        <v>74</v>
      </c>
      <c r="D168" s="28">
        <v>78</v>
      </c>
      <c r="E168" s="28">
        <v>12</v>
      </c>
      <c r="F168" s="28">
        <v>932</v>
      </c>
      <c r="G168" s="29"/>
    </row>
    <row r="169" spans="1:7" ht="15.75">
      <c r="A169" s="27" t="s">
        <v>789</v>
      </c>
      <c r="B169" s="28">
        <v>0</v>
      </c>
      <c r="C169" s="28">
        <v>128</v>
      </c>
      <c r="D169" s="28">
        <v>124</v>
      </c>
      <c r="E169" s="28">
        <v>12</v>
      </c>
      <c r="F169" s="28">
        <v>1492</v>
      </c>
      <c r="G169" s="29"/>
    </row>
    <row r="170" spans="1:7" ht="15.75">
      <c r="A170" s="27" t="s">
        <v>790</v>
      </c>
      <c r="B170" s="28">
        <v>0</v>
      </c>
      <c r="C170" s="28">
        <v>74</v>
      </c>
      <c r="D170" s="28">
        <v>78</v>
      </c>
      <c r="E170" s="28">
        <v>12</v>
      </c>
      <c r="F170" s="28">
        <v>932</v>
      </c>
      <c r="G170" s="29"/>
    </row>
    <row r="171" spans="1:7" ht="15.75">
      <c r="A171" s="27" t="s">
        <v>791</v>
      </c>
      <c r="B171" s="28">
        <v>0</v>
      </c>
      <c r="C171" s="28">
        <v>138</v>
      </c>
      <c r="D171" s="28">
        <v>140</v>
      </c>
      <c r="E171" s="28">
        <v>12</v>
      </c>
      <c r="F171" s="28">
        <v>1678</v>
      </c>
      <c r="G171" s="29"/>
    </row>
    <row r="172" spans="1:7" ht="15.75">
      <c r="A172" s="27" t="s">
        <v>792</v>
      </c>
      <c r="B172" s="28">
        <v>0</v>
      </c>
      <c r="C172" s="28">
        <v>74</v>
      </c>
      <c r="D172" s="28">
        <v>78</v>
      </c>
      <c r="E172" s="28">
        <v>12</v>
      </c>
      <c r="F172" s="28">
        <v>932</v>
      </c>
      <c r="G172" s="29"/>
    </row>
    <row r="173" spans="1:7" ht="15.75">
      <c r="A173" s="27" t="s">
        <v>793</v>
      </c>
      <c r="B173" s="28">
        <v>0</v>
      </c>
      <c r="C173" s="28">
        <v>182</v>
      </c>
      <c r="D173" s="28">
        <v>187</v>
      </c>
      <c r="E173" s="28">
        <v>12</v>
      </c>
      <c r="F173" s="28">
        <v>2239</v>
      </c>
      <c r="G173" s="29"/>
    </row>
    <row r="174" spans="1:7" ht="15.75">
      <c r="A174" s="27" t="s">
        <v>794</v>
      </c>
      <c r="B174" s="28">
        <v>0</v>
      </c>
      <c r="C174" s="28">
        <v>474</v>
      </c>
      <c r="D174" s="28">
        <v>471</v>
      </c>
      <c r="E174" s="28">
        <v>12</v>
      </c>
      <c r="F174" s="28">
        <v>5655</v>
      </c>
      <c r="G174" s="29"/>
    </row>
    <row r="175" spans="1:7" ht="15.75">
      <c r="A175" s="27" t="s">
        <v>795</v>
      </c>
      <c r="B175" s="28">
        <v>0</v>
      </c>
      <c r="C175" s="28">
        <v>154</v>
      </c>
      <c r="D175" s="28">
        <v>159</v>
      </c>
      <c r="E175" s="28">
        <v>12</v>
      </c>
      <c r="F175" s="28">
        <v>1903</v>
      </c>
      <c r="G175" s="29"/>
    </row>
    <row r="176" spans="1:7" ht="15.75">
      <c r="A176" s="27" t="s">
        <v>796</v>
      </c>
      <c r="B176" s="28">
        <v>0</v>
      </c>
      <c r="C176" s="28">
        <v>160</v>
      </c>
      <c r="D176" s="28">
        <v>155</v>
      </c>
      <c r="E176" s="28">
        <v>12</v>
      </c>
      <c r="F176" s="28">
        <v>1865</v>
      </c>
      <c r="G176" s="29"/>
    </row>
    <row r="177" spans="1:7" ht="15.75">
      <c r="A177" s="27" t="s">
        <v>800</v>
      </c>
      <c r="B177" s="28">
        <v>0</v>
      </c>
      <c r="C177" s="28">
        <v>484</v>
      </c>
      <c r="D177" s="28">
        <v>482</v>
      </c>
      <c r="E177" s="28">
        <v>12</v>
      </c>
      <c r="F177" s="28">
        <v>5786</v>
      </c>
      <c r="G177" s="29"/>
    </row>
    <row r="178" spans="1:7" ht="15.75">
      <c r="A178" s="27" t="s">
        <v>801</v>
      </c>
      <c r="B178" s="28">
        <v>0</v>
      </c>
      <c r="C178" s="28">
        <v>104</v>
      </c>
      <c r="D178" s="28">
        <v>99</v>
      </c>
      <c r="E178" s="28">
        <v>12</v>
      </c>
      <c r="F178" s="28">
        <v>1193</v>
      </c>
      <c r="G178" s="29"/>
    </row>
    <row r="179" spans="1:7" ht="15.75">
      <c r="A179" s="27" t="s">
        <v>802</v>
      </c>
      <c r="B179" s="28">
        <v>0</v>
      </c>
      <c r="C179" s="28">
        <v>50</v>
      </c>
      <c r="D179" s="28">
        <v>53</v>
      </c>
      <c r="E179" s="28">
        <v>12</v>
      </c>
      <c r="F179" s="28">
        <v>633</v>
      </c>
      <c r="G179" s="29"/>
    </row>
    <row r="180" spans="1:7" ht="15.75">
      <c r="A180" s="27" t="s">
        <v>803</v>
      </c>
      <c r="B180" s="28">
        <v>0</v>
      </c>
      <c r="C180" s="28">
        <v>78</v>
      </c>
      <c r="D180" s="28">
        <v>81</v>
      </c>
      <c r="E180" s="28">
        <v>12</v>
      </c>
      <c r="F180" s="28">
        <v>969</v>
      </c>
      <c r="G180" s="29"/>
    </row>
    <row r="181" spans="1:7" ht="15.75">
      <c r="A181" s="27" t="s">
        <v>804</v>
      </c>
      <c r="B181" s="28">
        <v>0</v>
      </c>
      <c r="C181" s="28">
        <v>40</v>
      </c>
      <c r="D181" s="28">
        <v>42</v>
      </c>
      <c r="E181" s="28">
        <v>12</v>
      </c>
      <c r="F181" s="28">
        <v>502</v>
      </c>
      <c r="G181" s="29"/>
    </row>
    <row r="182" spans="1:7" ht="15.75">
      <c r="A182" s="27" t="s">
        <v>805</v>
      </c>
      <c r="B182" s="28">
        <v>0</v>
      </c>
      <c r="C182" s="28">
        <v>96</v>
      </c>
      <c r="D182" s="28">
        <v>93</v>
      </c>
      <c r="E182" s="28">
        <v>12</v>
      </c>
      <c r="F182" s="28">
        <v>1119</v>
      </c>
      <c r="G182" s="29"/>
    </row>
    <row r="183" spans="1:7" ht="15.75">
      <c r="A183" s="27" t="s">
        <v>806</v>
      </c>
      <c r="B183" s="28">
        <v>0</v>
      </c>
      <c r="C183" s="28">
        <v>32</v>
      </c>
      <c r="D183" s="28">
        <v>36</v>
      </c>
      <c r="E183" s="28">
        <v>12</v>
      </c>
      <c r="F183" s="28">
        <v>428</v>
      </c>
      <c r="G183" s="29"/>
    </row>
    <row r="184" spans="1:7" ht="15.75">
      <c r="A184" s="27" t="s">
        <v>807</v>
      </c>
      <c r="B184" s="28">
        <v>0</v>
      </c>
      <c r="C184" s="28">
        <v>50</v>
      </c>
      <c r="D184" s="28">
        <v>53</v>
      </c>
      <c r="E184" s="28">
        <v>12</v>
      </c>
      <c r="F184" s="28">
        <v>633</v>
      </c>
      <c r="G184" s="29"/>
    </row>
    <row r="185" spans="1:7" ht="15.75">
      <c r="A185" s="27" t="s">
        <v>808</v>
      </c>
      <c r="B185" s="28">
        <v>0</v>
      </c>
      <c r="C185" s="28">
        <v>338</v>
      </c>
      <c r="D185" s="28">
        <v>334</v>
      </c>
      <c r="E185" s="28">
        <v>12</v>
      </c>
      <c r="F185" s="28">
        <v>4012</v>
      </c>
      <c r="G185" s="29"/>
    </row>
    <row r="186" spans="1:7" ht="15.75">
      <c r="A186" s="27" t="s">
        <v>809</v>
      </c>
      <c r="B186" s="28">
        <v>0</v>
      </c>
      <c r="C186" s="28">
        <v>347</v>
      </c>
      <c r="D186" s="28">
        <v>350</v>
      </c>
      <c r="E186" s="28">
        <v>12</v>
      </c>
      <c r="F186" s="28">
        <v>4197</v>
      </c>
      <c r="G186" s="29"/>
    </row>
    <row r="187" spans="1:7" ht="15.75">
      <c r="A187" s="27" t="s">
        <v>810</v>
      </c>
      <c r="B187" s="28">
        <v>0</v>
      </c>
      <c r="C187" s="28">
        <v>84</v>
      </c>
      <c r="D187" s="28">
        <v>89</v>
      </c>
      <c r="E187" s="28">
        <v>12</v>
      </c>
      <c r="F187" s="28">
        <v>1063</v>
      </c>
      <c r="G187" s="29"/>
    </row>
    <row r="188" spans="1:7" ht="15.75">
      <c r="A188" s="27" t="s">
        <v>811</v>
      </c>
      <c r="B188" s="28">
        <v>0</v>
      </c>
      <c r="C188" s="28">
        <v>58</v>
      </c>
      <c r="D188" s="28">
        <v>54</v>
      </c>
      <c r="E188" s="28">
        <v>12</v>
      </c>
      <c r="F188" s="28">
        <v>652</v>
      </c>
      <c r="G188" s="29"/>
    </row>
    <row r="189" spans="1:7" ht="15.75">
      <c r="A189" s="27" t="s">
        <v>812</v>
      </c>
      <c r="B189" s="28">
        <v>0</v>
      </c>
      <c r="C189" s="28">
        <v>92</v>
      </c>
      <c r="D189" s="28">
        <v>95</v>
      </c>
      <c r="E189" s="28">
        <v>12</v>
      </c>
      <c r="F189" s="28">
        <v>1137</v>
      </c>
      <c r="G189" s="29"/>
    </row>
    <row r="190" spans="1:7" ht="15.75">
      <c r="A190" s="27" t="s">
        <v>813</v>
      </c>
      <c r="B190" s="28">
        <v>0</v>
      </c>
      <c r="C190" s="28">
        <v>414</v>
      </c>
      <c r="D190" s="28">
        <v>412</v>
      </c>
      <c r="E190" s="28">
        <v>12</v>
      </c>
      <c r="F190" s="28">
        <v>4946</v>
      </c>
      <c r="G190" s="29"/>
    </row>
    <row r="191" spans="1:7" ht="15.75">
      <c r="A191" s="27" t="s">
        <v>814</v>
      </c>
      <c r="B191" s="28">
        <v>0</v>
      </c>
      <c r="C191" s="28">
        <v>423</v>
      </c>
      <c r="D191" s="28">
        <v>428</v>
      </c>
      <c r="E191" s="28">
        <v>12</v>
      </c>
      <c r="F191" s="28">
        <v>5131</v>
      </c>
      <c r="G191" s="29"/>
    </row>
    <row r="192" spans="1:7" ht="15.75">
      <c r="A192" s="27" t="s">
        <v>815</v>
      </c>
      <c r="B192" s="28">
        <v>0</v>
      </c>
      <c r="C192" s="28">
        <v>364</v>
      </c>
      <c r="D192" s="28">
        <v>369</v>
      </c>
      <c r="E192" s="28">
        <v>12</v>
      </c>
      <c r="F192" s="28">
        <v>4423</v>
      </c>
      <c r="G192" s="29"/>
    </row>
    <row r="193" spans="1:7" ht="15.75">
      <c r="A193" s="27" t="s">
        <v>816</v>
      </c>
      <c r="B193" s="28">
        <v>0</v>
      </c>
      <c r="C193" s="28">
        <v>384</v>
      </c>
      <c r="D193" s="28">
        <v>384</v>
      </c>
      <c r="E193" s="28">
        <v>12</v>
      </c>
      <c r="F193" s="28">
        <v>4608</v>
      </c>
      <c r="G193" s="29"/>
    </row>
    <row r="194" spans="1:7" ht="15.75">
      <c r="A194" s="27" t="s">
        <v>817</v>
      </c>
      <c r="B194" s="28">
        <v>0</v>
      </c>
      <c r="C194" s="28">
        <v>132</v>
      </c>
      <c r="D194" s="28">
        <v>127</v>
      </c>
      <c r="E194" s="28">
        <v>12</v>
      </c>
      <c r="F194" s="28">
        <v>1529</v>
      </c>
      <c r="G194" s="29"/>
    </row>
    <row r="195" spans="1:7" ht="15.75">
      <c r="A195" s="27" t="s">
        <v>818</v>
      </c>
      <c r="B195" s="28">
        <v>0</v>
      </c>
      <c r="C195" s="28">
        <v>462</v>
      </c>
      <c r="D195" s="28">
        <v>467</v>
      </c>
      <c r="E195" s="28">
        <v>12</v>
      </c>
      <c r="F195" s="28">
        <v>5599</v>
      </c>
      <c r="G195" s="29"/>
    </row>
    <row r="196" spans="1:7" ht="15.75">
      <c r="A196" s="27" t="s">
        <v>819</v>
      </c>
      <c r="B196" s="28">
        <v>0</v>
      </c>
      <c r="C196" s="28">
        <v>54</v>
      </c>
      <c r="D196" s="28">
        <v>56</v>
      </c>
      <c r="E196" s="28">
        <v>12</v>
      </c>
      <c r="F196" s="28">
        <v>670</v>
      </c>
      <c r="G196" s="29"/>
    </row>
    <row r="197" spans="1:7" ht="15.75">
      <c r="A197" s="27" t="s">
        <v>820</v>
      </c>
      <c r="B197" s="28">
        <v>0</v>
      </c>
      <c r="C197" s="28">
        <v>48</v>
      </c>
      <c r="D197" s="28">
        <v>43</v>
      </c>
      <c r="E197" s="28">
        <v>12</v>
      </c>
      <c r="F197" s="28">
        <v>521</v>
      </c>
      <c r="G197" s="29"/>
    </row>
    <row r="198" spans="1:7" ht="15.75">
      <c r="A198" s="27" t="s">
        <v>821</v>
      </c>
      <c r="B198" s="28">
        <v>0</v>
      </c>
      <c r="C198" s="28">
        <v>60</v>
      </c>
      <c r="D198" s="28">
        <v>59</v>
      </c>
      <c r="E198" s="28">
        <v>12</v>
      </c>
      <c r="F198" s="28">
        <v>709</v>
      </c>
      <c r="G198" s="29"/>
    </row>
    <row r="199" spans="1:7" ht="15.75">
      <c r="A199" s="27" t="s">
        <v>822</v>
      </c>
      <c r="B199" s="28">
        <v>0</v>
      </c>
      <c r="C199" s="28">
        <v>74</v>
      </c>
      <c r="D199" s="28">
        <v>78</v>
      </c>
      <c r="E199" s="28">
        <v>12</v>
      </c>
      <c r="F199" s="28">
        <v>932</v>
      </c>
      <c r="G199" s="29"/>
    </row>
    <row r="200" spans="1:7" ht="15.75">
      <c r="A200" s="27" t="s">
        <v>823</v>
      </c>
      <c r="B200" s="28">
        <v>0</v>
      </c>
      <c r="C200" s="28">
        <v>60</v>
      </c>
      <c r="D200" s="28">
        <v>64</v>
      </c>
      <c r="E200" s="28">
        <v>12</v>
      </c>
      <c r="F200" s="28">
        <v>764</v>
      </c>
      <c r="G200" s="29"/>
    </row>
    <row r="201" spans="1:7" ht="15.75">
      <c r="A201" s="27" t="s">
        <v>824</v>
      </c>
      <c r="B201" s="28">
        <v>0</v>
      </c>
      <c r="C201" s="28">
        <v>102</v>
      </c>
      <c r="D201" s="28">
        <v>106</v>
      </c>
      <c r="E201" s="28">
        <v>12</v>
      </c>
      <c r="F201" s="28">
        <v>1268</v>
      </c>
      <c r="G201" s="29"/>
    </row>
    <row r="202" spans="1:7" ht="15.75">
      <c r="A202" s="27" t="s">
        <v>825</v>
      </c>
      <c r="B202" s="28">
        <v>0</v>
      </c>
      <c r="C202" s="28">
        <v>64</v>
      </c>
      <c r="D202" s="28">
        <v>62</v>
      </c>
      <c r="E202" s="28">
        <v>12</v>
      </c>
      <c r="F202" s="28">
        <v>746</v>
      </c>
      <c r="G202" s="29"/>
    </row>
    <row r="203" spans="1:7" ht="15.75">
      <c r="A203" s="27" t="s">
        <v>826</v>
      </c>
      <c r="B203" s="28">
        <v>0</v>
      </c>
      <c r="C203" s="28">
        <v>367</v>
      </c>
      <c r="D203" s="28">
        <v>372</v>
      </c>
      <c r="E203" s="28">
        <v>12</v>
      </c>
      <c r="F203" s="28">
        <v>4459</v>
      </c>
      <c r="G203" s="29"/>
    </row>
    <row r="204" spans="1:7" ht="15.75">
      <c r="A204" s="27" t="s">
        <v>827</v>
      </c>
      <c r="B204" s="28">
        <v>0</v>
      </c>
      <c r="C204" s="28">
        <v>386</v>
      </c>
      <c r="D204" s="28">
        <v>389</v>
      </c>
      <c r="E204" s="28">
        <v>12</v>
      </c>
      <c r="F204" s="28">
        <v>4665</v>
      </c>
      <c r="G204" s="29"/>
    </row>
    <row r="205" spans="1:7" ht="15.75">
      <c r="A205" s="27" t="s">
        <v>828</v>
      </c>
      <c r="B205" s="28">
        <v>0</v>
      </c>
      <c r="C205" s="28">
        <v>462</v>
      </c>
      <c r="D205" s="28">
        <v>467</v>
      </c>
      <c r="E205" s="28">
        <v>12</v>
      </c>
      <c r="F205" s="28">
        <v>5599</v>
      </c>
      <c r="G205" s="29"/>
    </row>
    <row r="206" spans="1:7" ht="15.75">
      <c r="A206" s="27" t="s">
        <v>829</v>
      </c>
      <c r="B206" s="28">
        <v>0</v>
      </c>
      <c r="C206" s="28">
        <v>466</v>
      </c>
      <c r="D206" s="28">
        <v>470</v>
      </c>
      <c r="E206" s="28">
        <v>12</v>
      </c>
      <c r="F206" s="28">
        <v>5636</v>
      </c>
      <c r="G206" s="29"/>
    </row>
    <row r="207" spans="1:7" ht="15.75">
      <c r="A207" s="27" t="s">
        <v>830</v>
      </c>
      <c r="B207" s="28">
        <v>0</v>
      </c>
      <c r="C207" s="28">
        <v>470</v>
      </c>
      <c r="D207" s="28">
        <v>468</v>
      </c>
      <c r="E207" s="28">
        <v>12</v>
      </c>
      <c r="F207" s="28">
        <v>5618</v>
      </c>
      <c r="G207" s="29"/>
    </row>
    <row r="208" spans="1:7" ht="15.75">
      <c r="A208" s="27" t="s">
        <v>831</v>
      </c>
      <c r="B208" s="28">
        <v>0</v>
      </c>
      <c r="C208" s="28">
        <v>470</v>
      </c>
      <c r="D208" s="28">
        <v>473</v>
      </c>
      <c r="E208" s="28">
        <v>12</v>
      </c>
      <c r="F208" s="28">
        <v>5673</v>
      </c>
      <c r="G208" s="29"/>
    </row>
    <row r="209" spans="1:7" ht="15.75">
      <c r="A209" s="27" t="s">
        <v>832</v>
      </c>
      <c r="B209" s="28">
        <v>0</v>
      </c>
      <c r="C209" s="28">
        <v>476</v>
      </c>
      <c r="D209" s="28">
        <v>481</v>
      </c>
      <c r="E209" s="28">
        <v>12</v>
      </c>
      <c r="F209" s="28">
        <v>5767</v>
      </c>
      <c r="G209" s="29"/>
    </row>
    <row r="210" spans="1:7" ht="15.75">
      <c r="A210" s="27" t="s">
        <v>833</v>
      </c>
      <c r="B210" s="28">
        <v>0</v>
      </c>
      <c r="C210" s="28">
        <v>522</v>
      </c>
      <c r="D210" s="28">
        <v>521</v>
      </c>
      <c r="E210" s="28">
        <v>12</v>
      </c>
      <c r="F210" s="28">
        <v>6253</v>
      </c>
      <c r="G210" s="29"/>
    </row>
    <row r="211" spans="1:7" ht="15.75">
      <c r="A211" s="27" t="s">
        <v>834</v>
      </c>
      <c r="B211" s="28">
        <v>0</v>
      </c>
      <c r="C211" s="28">
        <v>886</v>
      </c>
      <c r="D211" s="28">
        <v>885</v>
      </c>
      <c r="E211" s="28">
        <v>12</v>
      </c>
      <c r="F211" s="28">
        <v>10621</v>
      </c>
      <c r="G211" s="29"/>
    </row>
    <row r="212" spans="1:7" ht="15.75">
      <c r="A212" s="27" t="s">
        <v>836</v>
      </c>
      <c r="B212" s="28">
        <v>0</v>
      </c>
      <c r="C212" s="28">
        <v>302</v>
      </c>
      <c r="D212" s="28">
        <v>300</v>
      </c>
      <c r="E212" s="28">
        <v>12</v>
      </c>
      <c r="F212" s="28">
        <v>3602</v>
      </c>
      <c r="G212" s="29"/>
    </row>
    <row r="213" spans="1:7" ht="15.75">
      <c r="A213" s="27" t="s">
        <v>837</v>
      </c>
      <c r="B213" s="28">
        <v>0</v>
      </c>
      <c r="C213" s="28">
        <v>160</v>
      </c>
      <c r="D213" s="28">
        <v>155</v>
      </c>
      <c r="E213" s="28">
        <v>12</v>
      </c>
      <c r="F213" s="28">
        <v>1865</v>
      </c>
      <c r="G213" s="29"/>
    </row>
    <row r="214" spans="1:7" ht="15.75">
      <c r="A214" s="27" t="s">
        <v>838</v>
      </c>
      <c r="B214" s="28">
        <v>0</v>
      </c>
      <c r="C214" s="28">
        <v>602</v>
      </c>
      <c r="D214" s="28">
        <v>607</v>
      </c>
      <c r="E214" s="28">
        <v>12</v>
      </c>
      <c r="F214" s="28">
        <v>7279</v>
      </c>
      <c r="G214" s="29"/>
    </row>
    <row r="215" spans="1:7" ht="15.75">
      <c r="A215" s="27" t="s">
        <v>293</v>
      </c>
      <c r="B215" s="28">
        <v>0</v>
      </c>
      <c r="C215" s="28">
        <v>168</v>
      </c>
      <c r="D215" s="28">
        <v>173</v>
      </c>
      <c r="E215" s="28">
        <v>12</v>
      </c>
      <c r="F215" s="28">
        <v>2071</v>
      </c>
      <c r="G215" s="29"/>
    </row>
    <row r="216" spans="1:7" ht="15.75">
      <c r="A216" s="27" t="s">
        <v>839</v>
      </c>
      <c r="B216" s="28">
        <v>0</v>
      </c>
      <c r="C216" s="28">
        <v>90</v>
      </c>
      <c r="D216" s="28">
        <v>85</v>
      </c>
      <c r="E216" s="28">
        <v>12</v>
      </c>
      <c r="F216" s="28">
        <v>1025</v>
      </c>
      <c r="G216" s="29"/>
    </row>
    <row r="217" spans="1:7" ht="15.75">
      <c r="A217" s="27" t="s">
        <v>840</v>
      </c>
      <c r="B217" s="28">
        <v>0</v>
      </c>
      <c r="C217" s="28">
        <v>56</v>
      </c>
      <c r="D217" s="28">
        <v>61</v>
      </c>
      <c r="E217" s="28">
        <v>12</v>
      </c>
      <c r="F217" s="28">
        <v>727</v>
      </c>
      <c r="G217" s="29"/>
    </row>
    <row r="218" spans="1:7" ht="15.75">
      <c r="A218" s="27" t="s">
        <v>841</v>
      </c>
      <c r="B218" s="28">
        <v>0</v>
      </c>
      <c r="C218" s="28">
        <v>22</v>
      </c>
      <c r="D218" s="28">
        <v>20</v>
      </c>
      <c r="E218" s="28">
        <v>12</v>
      </c>
      <c r="F218" s="28">
        <v>242</v>
      </c>
      <c r="G218" s="29"/>
    </row>
    <row r="219" spans="1:7" ht="15.75">
      <c r="A219" s="27" t="s">
        <v>842</v>
      </c>
      <c r="B219" s="28">
        <v>0</v>
      </c>
      <c r="C219" s="28">
        <v>162</v>
      </c>
      <c r="D219" s="28">
        <v>165</v>
      </c>
      <c r="E219" s="28">
        <v>12</v>
      </c>
      <c r="F219" s="28">
        <v>1977</v>
      </c>
      <c r="G219" s="29"/>
    </row>
    <row r="220" spans="1:7" ht="15.75">
      <c r="A220" s="27" t="s">
        <v>843</v>
      </c>
      <c r="B220" s="28">
        <v>0</v>
      </c>
      <c r="C220" s="28">
        <v>106</v>
      </c>
      <c r="D220" s="28">
        <v>109</v>
      </c>
      <c r="E220" s="28">
        <v>12</v>
      </c>
      <c r="F220" s="28">
        <v>1305</v>
      </c>
      <c r="G220" s="29"/>
    </row>
    <row r="221" spans="1:7" ht="15.75">
      <c r="A221" s="27" t="s">
        <v>844</v>
      </c>
      <c r="B221" s="28">
        <v>0</v>
      </c>
      <c r="C221" s="28">
        <v>106</v>
      </c>
      <c r="D221" s="28">
        <v>109</v>
      </c>
      <c r="E221" s="28">
        <v>12</v>
      </c>
      <c r="F221" s="28">
        <v>1305</v>
      </c>
      <c r="G221" s="29"/>
    </row>
    <row r="222" spans="1:7" ht="15.75">
      <c r="A222" s="27" t="s">
        <v>845</v>
      </c>
      <c r="B222" s="28">
        <v>0</v>
      </c>
      <c r="C222" s="28">
        <v>106</v>
      </c>
      <c r="D222" s="28">
        <v>109</v>
      </c>
      <c r="E222" s="28">
        <v>12</v>
      </c>
      <c r="F222" s="28">
        <v>1305</v>
      </c>
      <c r="G222" s="29"/>
    </row>
    <row r="223" spans="1:7" ht="15.75">
      <c r="A223" s="27" t="s">
        <v>846</v>
      </c>
      <c r="B223" s="28">
        <v>0</v>
      </c>
      <c r="C223" s="28">
        <v>408</v>
      </c>
      <c r="D223" s="28">
        <v>404</v>
      </c>
      <c r="E223" s="28">
        <v>12</v>
      </c>
      <c r="F223" s="28">
        <v>4852</v>
      </c>
      <c r="G223" s="29"/>
    </row>
    <row r="224" spans="1:7" ht="15.75">
      <c r="A224" s="27" t="s">
        <v>847</v>
      </c>
      <c r="B224" s="28">
        <v>0</v>
      </c>
      <c r="C224" s="28">
        <v>228</v>
      </c>
      <c r="D224" s="28">
        <v>227</v>
      </c>
      <c r="E224" s="28">
        <v>12</v>
      </c>
      <c r="F224" s="28">
        <v>2725</v>
      </c>
      <c r="G224" s="29"/>
    </row>
    <row r="225" spans="1:7" ht="15.75">
      <c r="A225" s="27" t="s">
        <v>848</v>
      </c>
      <c r="B225" s="28">
        <v>0</v>
      </c>
      <c r="C225" s="28">
        <v>76</v>
      </c>
      <c r="D225" s="28">
        <v>71</v>
      </c>
      <c r="E225" s="28">
        <v>12</v>
      </c>
      <c r="F225" s="28">
        <v>857</v>
      </c>
      <c r="G225" s="29"/>
    </row>
    <row r="226" spans="1:7" ht="15.75">
      <c r="A226" s="27" t="s">
        <v>849</v>
      </c>
      <c r="B226" s="28">
        <v>0</v>
      </c>
      <c r="C226" s="28">
        <v>54</v>
      </c>
      <c r="D226" s="28">
        <v>56</v>
      </c>
      <c r="E226" s="28">
        <v>12</v>
      </c>
      <c r="F226" s="28">
        <v>670</v>
      </c>
      <c r="G226" s="29"/>
    </row>
    <row r="227" spans="1:7" ht="15.75">
      <c r="A227" s="27" t="s">
        <v>850</v>
      </c>
      <c r="B227" s="28">
        <v>0</v>
      </c>
      <c r="C227" s="28">
        <v>90</v>
      </c>
      <c r="D227" s="28">
        <v>85</v>
      </c>
      <c r="E227" s="28">
        <v>12</v>
      </c>
      <c r="F227" s="28">
        <v>1025</v>
      </c>
      <c r="G227" s="29"/>
    </row>
    <row r="228" spans="1:7" ht="15.75">
      <c r="A228" s="27" t="s">
        <v>851</v>
      </c>
      <c r="B228" s="28">
        <v>0</v>
      </c>
      <c r="C228" s="28">
        <v>302</v>
      </c>
      <c r="D228" s="28">
        <v>305</v>
      </c>
      <c r="E228" s="28">
        <v>12</v>
      </c>
      <c r="F228" s="28">
        <v>3657</v>
      </c>
      <c r="G228" s="29"/>
    </row>
    <row r="229" spans="1:7" ht="15.75">
      <c r="A229" s="27" t="s">
        <v>852</v>
      </c>
      <c r="B229" s="28">
        <v>0</v>
      </c>
      <c r="C229" s="28">
        <v>88</v>
      </c>
      <c r="D229" s="28">
        <v>92</v>
      </c>
      <c r="E229" s="28">
        <v>12</v>
      </c>
      <c r="F229" s="28">
        <v>1100</v>
      </c>
      <c r="G229" s="29"/>
    </row>
    <row r="230" spans="1:7" ht="15.75">
      <c r="A230" s="27" t="s">
        <v>853</v>
      </c>
      <c r="B230" s="28">
        <v>0</v>
      </c>
      <c r="C230" s="28">
        <v>152</v>
      </c>
      <c r="D230" s="28">
        <v>149</v>
      </c>
      <c r="E230" s="28">
        <v>12</v>
      </c>
      <c r="F230" s="28">
        <v>1791</v>
      </c>
      <c r="G230" s="29"/>
    </row>
    <row r="231" spans="1:7" ht="15.75">
      <c r="A231" s="27" t="s">
        <v>854</v>
      </c>
      <c r="B231" s="28">
        <v>0</v>
      </c>
      <c r="C231" s="28">
        <v>312</v>
      </c>
      <c r="D231" s="28">
        <v>311</v>
      </c>
      <c r="E231" s="28">
        <v>12</v>
      </c>
      <c r="F231" s="28">
        <v>3733</v>
      </c>
      <c r="G231" s="29"/>
    </row>
    <row r="232" spans="1:7" ht="15.75">
      <c r="A232" s="27" t="s">
        <v>855</v>
      </c>
      <c r="B232" s="28">
        <v>0</v>
      </c>
      <c r="C232" s="28">
        <v>312</v>
      </c>
      <c r="D232" s="28">
        <v>316</v>
      </c>
      <c r="E232" s="28">
        <v>12</v>
      </c>
      <c r="F232" s="28">
        <v>3788</v>
      </c>
      <c r="G232" s="29"/>
    </row>
    <row r="233" spans="1:7" ht="15.75">
      <c r="A233" s="27" t="s">
        <v>856</v>
      </c>
      <c r="B233" s="28">
        <v>0</v>
      </c>
      <c r="C233" s="28">
        <v>368</v>
      </c>
      <c r="D233" s="28">
        <v>367</v>
      </c>
      <c r="E233" s="28">
        <v>12</v>
      </c>
      <c r="F233" s="28">
        <v>4405</v>
      </c>
      <c r="G233" s="29"/>
    </row>
    <row r="234" spans="1:7" ht="15.75">
      <c r="A234" s="27" t="s">
        <v>857</v>
      </c>
      <c r="B234" s="28">
        <v>0</v>
      </c>
      <c r="C234" s="28">
        <v>860</v>
      </c>
      <c r="D234" s="28">
        <v>855</v>
      </c>
      <c r="E234" s="28">
        <v>12</v>
      </c>
      <c r="F234" s="28">
        <v>10265</v>
      </c>
      <c r="G234" s="29"/>
    </row>
    <row r="235" spans="1:7" ht="15.75">
      <c r="A235" s="27" t="s">
        <v>858</v>
      </c>
      <c r="B235" s="28">
        <v>0</v>
      </c>
      <c r="C235" s="28">
        <v>1134</v>
      </c>
      <c r="D235" s="28">
        <v>1139</v>
      </c>
      <c r="E235" s="28">
        <v>12</v>
      </c>
      <c r="F235" s="28">
        <v>13663</v>
      </c>
      <c r="G235" s="29"/>
    </row>
    <row r="236" spans="1:7" ht="15.75">
      <c r="A236" s="27" t="s">
        <v>859</v>
      </c>
      <c r="B236" s="28">
        <v>0</v>
      </c>
      <c r="C236" s="28">
        <v>58</v>
      </c>
      <c r="D236" s="28">
        <v>54</v>
      </c>
      <c r="E236" s="28">
        <v>12</v>
      </c>
      <c r="F236" s="28">
        <v>652</v>
      </c>
      <c r="G236" s="29"/>
    </row>
    <row r="237" spans="1:7" ht="15.75">
      <c r="A237" s="27" t="s">
        <v>860</v>
      </c>
      <c r="B237" s="28">
        <v>0</v>
      </c>
      <c r="C237" s="28">
        <v>672</v>
      </c>
      <c r="D237" s="28">
        <v>677</v>
      </c>
      <c r="E237" s="28">
        <v>12</v>
      </c>
      <c r="F237" s="28">
        <v>8119</v>
      </c>
      <c r="G237" s="29"/>
    </row>
    <row r="238" spans="1:7" ht="15.75">
      <c r="A238" s="27" t="s">
        <v>861</v>
      </c>
      <c r="B238" s="28">
        <v>0</v>
      </c>
      <c r="C238" s="28">
        <v>914</v>
      </c>
      <c r="D238" s="28">
        <v>913</v>
      </c>
      <c r="E238" s="28">
        <v>12</v>
      </c>
      <c r="F238" s="28">
        <v>10957</v>
      </c>
      <c r="G238" s="29"/>
    </row>
    <row r="239" spans="1:7" ht="15.75">
      <c r="A239" s="27" t="s">
        <v>862</v>
      </c>
      <c r="B239" s="28">
        <v>0</v>
      </c>
      <c r="C239" s="28">
        <v>488</v>
      </c>
      <c r="D239" s="28">
        <v>490</v>
      </c>
      <c r="E239" s="28">
        <v>12</v>
      </c>
      <c r="F239" s="28">
        <v>5878</v>
      </c>
      <c r="G239" s="29"/>
    </row>
    <row r="240" spans="1:7" ht="15.75">
      <c r="A240" s="27" t="s">
        <v>863</v>
      </c>
      <c r="B240" s="28">
        <v>0</v>
      </c>
      <c r="C240" s="28">
        <v>838</v>
      </c>
      <c r="D240" s="28">
        <v>835</v>
      </c>
      <c r="E240" s="28">
        <v>12</v>
      </c>
      <c r="F240" s="28">
        <v>10023</v>
      </c>
      <c r="G240" s="29"/>
    </row>
    <row r="241" spans="1:7" ht="15.75">
      <c r="A241" s="27" t="s">
        <v>864</v>
      </c>
      <c r="B241" s="28">
        <v>0</v>
      </c>
      <c r="C241" s="28">
        <v>896</v>
      </c>
      <c r="D241" s="28">
        <v>901</v>
      </c>
      <c r="E241" s="28">
        <v>12</v>
      </c>
      <c r="F241" s="28">
        <v>10807</v>
      </c>
      <c r="G241" s="29"/>
    </row>
    <row r="242" spans="1:7" ht="15.75">
      <c r="A242" s="27" t="s">
        <v>866</v>
      </c>
      <c r="B242" s="28">
        <v>0</v>
      </c>
      <c r="C242" s="28">
        <v>972</v>
      </c>
      <c r="D242" s="28">
        <v>967</v>
      </c>
      <c r="E242" s="28">
        <v>12</v>
      </c>
      <c r="F242" s="28">
        <v>11609</v>
      </c>
      <c r="G242" s="29"/>
    </row>
    <row r="243" spans="1:7" ht="15.75">
      <c r="A243" s="27" t="s">
        <v>868</v>
      </c>
      <c r="B243" s="28">
        <v>0</v>
      </c>
      <c r="C243" s="28">
        <v>278</v>
      </c>
      <c r="D243" s="28">
        <v>280</v>
      </c>
      <c r="E243" s="28">
        <v>12</v>
      </c>
      <c r="F243" s="28">
        <v>3358</v>
      </c>
      <c r="G243" s="29"/>
    </row>
    <row r="244" spans="1:7" ht="15.75">
      <c r="A244" s="27" t="s">
        <v>865</v>
      </c>
      <c r="B244" s="28">
        <v>0</v>
      </c>
      <c r="C244" s="28">
        <v>112</v>
      </c>
      <c r="D244" s="28">
        <v>117</v>
      </c>
      <c r="E244" s="28">
        <v>12</v>
      </c>
      <c r="F244" s="28">
        <v>1399</v>
      </c>
      <c r="G244" s="29"/>
    </row>
    <row r="245" spans="1:7" ht="15.75">
      <c r="A245" s="27" t="s">
        <v>867</v>
      </c>
      <c r="B245" s="28">
        <v>0</v>
      </c>
      <c r="C245" s="28">
        <v>160</v>
      </c>
      <c r="D245" s="28">
        <v>155</v>
      </c>
      <c r="E245" s="28">
        <v>12</v>
      </c>
      <c r="F245" s="28">
        <v>1865</v>
      </c>
      <c r="G245" s="29"/>
    </row>
    <row r="246" spans="1:7" ht="15.75">
      <c r="A246" s="27" t="s">
        <v>869</v>
      </c>
      <c r="B246" s="28">
        <v>0</v>
      </c>
      <c r="C246" s="28">
        <v>180</v>
      </c>
      <c r="D246" s="28">
        <v>182</v>
      </c>
      <c r="E246" s="28">
        <v>12</v>
      </c>
      <c r="F246" s="28">
        <v>2182</v>
      </c>
      <c r="G246" s="29"/>
    </row>
    <row r="247" spans="1:7" ht="15.75">
      <c r="A247" s="27" t="s">
        <v>870</v>
      </c>
      <c r="B247" s="28">
        <v>0</v>
      </c>
      <c r="C247" s="28">
        <v>452</v>
      </c>
      <c r="D247" s="28">
        <v>456</v>
      </c>
      <c r="E247" s="28">
        <v>12</v>
      </c>
      <c r="F247" s="28">
        <v>5468</v>
      </c>
      <c r="G247" s="29"/>
    </row>
    <row r="248" spans="1:7" ht="15.75">
      <c r="A248" s="27" t="s">
        <v>871</v>
      </c>
      <c r="B248" s="28">
        <v>0</v>
      </c>
      <c r="C248" s="28">
        <v>58</v>
      </c>
      <c r="D248" s="28">
        <v>54</v>
      </c>
      <c r="E248" s="28">
        <v>12</v>
      </c>
      <c r="F248" s="28">
        <v>652</v>
      </c>
      <c r="G248" s="29"/>
    </row>
    <row r="249" spans="1:7" ht="15.75">
      <c r="A249" s="27" t="s">
        <v>872</v>
      </c>
      <c r="B249" s="28">
        <v>0</v>
      </c>
      <c r="C249" s="28">
        <v>250</v>
      </c>
      <c r="D249" s="28">
        <v>247</v>
      </c>
      <c r="E249" s="28">
        <v>12</v>
      </c>
      <c r="F249" s="28">
        <v>2967</v>
      </c>
      <c r="G249" s="29"/>
    </row>
    <row r="250" spans="1:7" ht="15.75">
      <c r="A250" s="27" t="s">
        <v>407</v>
      </c>
      <c r="B250" s="28">
        <v>0</v>
      </c>
      <c r="C250" s="28">
        <v>46</v>
      </c>
      <c r="D250" s="28">
        <v>45</v>
      </c>
      <c r="E250" s="28">
        <v>12</v>
      </c>
      <c r="F250" s="28">
        <v>541</v>
      </c>
      <c r="G250" s="29"/>
    </row>
    <row r="251" spans="1:7" ht="15.75">
      <c r="A251" s="27" t="s">
        <v>873</v>
      </c>
      <c r="B251" s="28">
        <v>0</v>
      </c>
      <c r="C251" s="28">
        <v>780</v>
      </c>
      <c r="D251" s="28">
        <v>774</v>
      </c>
      <c r="E251" s="28">
        <v>12</v>
      </c>
      <c r="F251" s="28">
        <v>9294</v>
      </c>
      <c r="G251" s="29"/>
    </row>
    <row r="252" spans="1:7" ht="15.75">
      <c r="A252" s="27" t="s">
        <v>874</v>
      </c>
      <c r="B252" s="28">
        <v>0</v>
      </c>
      <c r="C252" s="28">
        <v>278</v>
      </c>
      <c r="D252" s="28">
        <v>280</v>
      </c>
      <c r="E252" s="28">
        <v>12</v>
      </c>
      <c r="F252" s="28">
        <v>3358</v>
      </c>
      <c r="G252" s="29"/>
    </row>
    <row r="253" spans="1:7" ht="15.75">
      <c r="A253" s="27" t="s">
        <v>875</v>
      </c>
      <c r="B253" s="28">
        <v>0</v>
      </c>
      <c r="C253" s="28">
        <v>154</v>
      </c>
      <c r="D253" s="28">
        <v>159</v>
      </c>
      <c r="E253" s="28">
        <v>12</v>
      </c>
      <c r="F253" s="28">
        <v>1903</v>
      </c>
      <c r="G253" s="29"/>
    </row>
    <row r="254" spans="1:7" ht="15.75">
      <c r="A254" s="27" t="s">
        <v>876</v>
      </c>
      <c r="B254" s="28">
        <v>0</v>
      </c>
      <c r="C254" s="28">
        <v>190</v>
      </c>
      <c r="D254" s="28">
        <v>188</v>
      </c>
      <c r="E254" s="28">
        <v>12</v>
      </c>
      <c r="F254" s="28">
        <v>2258</v>
      </c>
      <c r="G254" s="29"/>
    </row>
    <row r="255" spans="1:7" ht="15.75">
      <c r="A255" s="27" t="s">
        <v>877</v>
      </c>
      <c r="B255" s="28">
        <v>0</v>
      </c>
      <c r="C255" s="28">
        <v>116</v>
      </c>
      <c r="D255" s="28">
        <v>120</v>
      </c>
      <c r="E255" s="28">
        <v>12</v>
      </c>
      <c r="F255" s="28">
        <v>1436</v>
      </c>
      <c r="G255" s="29"/>
    </row>
    <row r="256" spans="1:7" ht="15.75">
      <c r="A256" s="27" t="s">
        <v>878</v>
      </c>
      <c r="B256" s="28">
        <v>0</v>
      </c>
      <c r="C256" s="28">
        <v>116</v>
      </c>
      <c r="D256" s="28">
        <v>120</v>
      </c>
      <c r="E256" s="28">
        <v>12</v>
      </c>
      <c r="F256" s="28">
        <v>1436</v>
      </c>
      <c r="G256" s="29"/>
    </row>
    <row r="257" spans="1:7" ht="15.75">
      <c r="A257" s="27" t="s">
        <v>879</v>
      </c>
      <c r="B257" s="28">
        <v>0</v>
      </c>
      <c r="C257" s="28">
        <v>118</v>
      </c>
      <c r="D257" s="28">
        <v>113</v>
      </c>
      <c r="E257" s="28">
        <v>12</v>
      </c>
      <c r="F257" s="28">
        <v>1361</v>
      </c>
      <c r="G257" s="29"/>
    </row>
    <row r="258" spans="1:7" ht="15.75">
      <c r="A258" s="27" t="s">
        <v>880</v>
      </c>
      <c r="B258" s="28">
        <v>0</v>
      </c>
      <c r="C258" s="28">
        <v>118</v>
      </c>
      <c r="D258" s="28">
        <v>113</v>
      </c>
      <c r="E258" s="28">
        <v>12</v>
      </c>
      <c r="F258" s="28">
        <v>1361</v>
      </c>
      <c r="G258" s="29"/>
    </row>
    <row r="259" spans="1:7" ht="15.75">
      <c r="A259" s="27" t="s">
        <v>881</v>
      </c>
      <c r="B259" s="28">
        <v>0</v>
      </c>
      <c r="C259" s="28">
        <v>118</v>
      </c>
      <c r="D259" s="28">
        <v>113</v>
      </c>
      <c r="E259" s="28">
        <v>12</v>
      </c>
      <c r="F259" s="28">
        <v>1361</v>
      </c>
      <c r="G259" s="29"/>
    </row>
    <row r="260" spans="1:7" ht="15.75">
      <c r="A260" s="27" t="s">
        <v>882</v>
      </c>
      <c r="B260" s="28">
        <v>0</v>
      </c>
      <c r="C260" s="28">
        <v>98</v>
      </c>
      <c r="D260" s="28">
        <v>103</v>
      </c>
      <c r="E260" s="28">
        <v>12</v>
      </c>
      <c r="F260" s="28">
        <v>1231</v>
      </c>
      <c r="G260" s="29"/>
    </row>
    <row r="261" spans="1:7" ht="15.75">
      <c r="A261" s="27" t="s">
        <v>883</v>
      </c>
      <c r="B261" s="28">
        <v>0</v>
      </c>
      <c r="C261" s="28">
        <v>146</v>
      </c>
      <c r="D261" s="28">
        <v>141</v>
      </c>
      <c r="E261" s="28">
        <v>12</v>
      </c>
      <c r="F261" s="28">
        <v>1697</v>
      </c>
      <c r="G261" s="29"/>
    </row>
    <row r="262" spans="1:7" ht="15.75">
      <c r="A262" s="27" t="s">
        <v>884</v>
      </c>
      <c r="B262" s="28">
        <v>0</v>
      </c>
      <c r="C262" s="28">
        <v>98</v>
      </c>
      <c r="D262" s="28">
        <v>103</v>
      </c>
      <c r="E262" s="28">
        <v>12</v>
      </c>
      <c r="F262" s="28">
        <v>1231</v>
      </c>
      <c r="G262" s="29"/>
    </row>
    <row r="263" spans="1:7" ht="15.75">
      <c r="A263" s="27" t="s">
        <v>885</v>
      </c>
      <c r="B263" s="28">
        <v>0</v>
      </c>
      <c r="C263" s="28">
        <v>282</v>
      </c>
      <c r="D263" s="28">
        <v>278</v>
      </c>
      <c r="E263" s="28">
        <v>12</v>
      </c>
      <c r="F263" s="28">
        <v>3340</v>
      </c>
      <c r="G263" s="29"/>
    </row>
    <row r="264" spans="1:7" ht="15.75">
      <c r="A264" s="27" t="s">
        <v>886</v>
      </c>
      <c r="B264" s="28">
        <v>0</v>
      </c>
      <c r="C264" s="28">
        <v>628</v>
      </c>
      <c r="D264" s="28">
        <v>625</v>
      </c>
      <c r="E264" s="28">
        <v>12</v>
      </c>
      <c r="F264" s="28">
        <v>7503</v>
      </c>
      <c r="G264" s="29"/>
    </row>
    <row r="265" spans="1:7" ht="15.75">
      <c r="A265" s="27" t="s">
        <v>887</v>
      </c>
      <c r="B265" s="28">
        <v>0</v>
      </c>
      <c r="C265" s="28">
        <v>110</v>
      </c>
      <c r="D265" s="28">
        <v>112</v>
      </c>
      <c r="E265" s="28">
        <v>12</v>
      </c>
      <c r="F265" s="28">
        <v>1342</v>
      </c>
      <c r="G265" s="29"/>
    </row>
    <row r="266" spans="1:7" ht="15.75">
      <c r="A266" s="27" t="s">
        <v>888</v>
      </c>
      <c r="B266" s="28">
        <v>0</v>
      </c>
      <c r="C266" s="28">
        <v>110</v>
      </c>
      <c r="D266" s="28">
        <v>112</v>
      </c>
      <c r="E266" s="28">
        <v>12</v>
      </c>
      <c r="F266" s="28">
        <v>1342</v>
      </c>
      <c r="G266" s="29"/>
    </row>
    <row r="267" spans="1:7" ht="15.75">
      <c r="A267" s="27" t="s">
        <v>889</v>
      </c>
      <c r="B267" s="28">
        <v>0</v>
      </c>
      <c r="C267" s="28">
        <v>110</v>
      </c>
      <c r="D267" s="28">
        <v>112</v>
      </c>
      <c r="E267" s="28">
        <v>12</v>
      </c>
      <c r="F267" s="28">
        <v>1342</v>
      </c>
      <c r="G267" s="29"/>
    </row>
    <row r="268" spans="1:7" ht="15.75">
      <c r="A268" s="27" t="s">
        <v>890</v>
      </c>
      <c r="B268" s="28">
        <v>0</v>
      </c>
      <c r="C268" s="28">
        <v>154</v>
      </c>
      <c r="D268" s="28">
        <v>159</v>
      </c>
      <c r="E268" s="28">
        <v>12</v>
      </c>
      <c r="F268" s="28">
        <v>1903</v>
      </c>
      <c r="G268" s="29"/>
    </row>
    <row r="269" spans="1:7" ht="15.75">
      <c r="A269" s="27" t="s">
        <v>891</v>
      </c>
      <c r="B269" s="28">
        <v>0</v>
      </c>
      <c r="C269" s="28">
        <v>118</v>
      </c>
      <c r="D269" s="28">
        <v>113</v>
      </c>
      <c r="E269" s="28">
        <v>12</v>
      </c>
      <c r="F269" s="28">
        <v>1361</v>
      </c>
      <c r="G269" s="29"/>
    </row>
    <row r="270" spans="1:7" ht="15.75">
      <c r="A270" s="27" t="s">
        <v>892</v>
      </c>
      <c r="B270" s="28">
        <v>0</v>
      </c>
      <c r="C270" s="28">
        <v>116</v>
      </c>
      <c r="D270" s="28">
        <v>120</v>
      </c>
      <c r="E270" s="28">
        <v>12</v>
      </c>
      <c r="F270" s="28">
        <v>1436</v>
      </c>
      <c r="G270" s="29"/>
    </row>
    <row r="271" spans="1:7" ht="15.75">
      <c r="A271" s="27" t="s">
        <v>893</v>
      </c>
      <c r="B271" s="28">
        <v>0</v>
      </c>
      <c r="C271" s="28">
        <v>204</v>
      </c>
      <c r="D271" s="28">
        <v>202</v>
      </c>
      <c r="E271" s="28">
        <v>12</v>
      </c>
      <c r="F271" s="28">
        <v>2426</v>
      </c>
      <c r="G271" s="29"/>
    </row>
    <row r="272" spans="1:7" ht="15.75">
      <c r="A272" s="27" t="s">
        <v>894</v>
      </c>
      <c r="B272" s="28">
        <v>0</v>
      </c>
      <c r="C272" s="28">
        <v>140</v>
      </c>
      <c r="D272" s="28">
        <v>145</v>
      </c>
      <c r="E272" s="28">
        <v>12</v>
      </c>
      <c r="F272" s="28">
        <v>1735</v>
      </c>
      <c r="G272" s="29"/>
    </row>
    <row r="273" spans="1:7" ht="15.75">
      <c r="A273" s="27" t="s">
        <v>895</v>
      </c>
      <c r="B273" s="28">
        <v>0</v>
      </c>
      <c r="C273" s="28">
        <v>84</v>
      </c>
      <c r="D273" s="28">
        <v>89</v>
      </c>
      <c r="E273" s="28">
        <v>12</v>
      </c>
      <c r="F273" s="28">
        <v>1063</v>
      </c>
      <c r="G273" s="29"/>
    </row>
    <row r="274" spans="1:7" ht="15.75">
      <c r="A274" s="27" t="s">
        <v>896</v>
      </c>
      <c r="B274" s="28">
        <v>0</v>
      </c>
      <c r="C274" s="28">
        <v>116</v>
      </c>
      <c r="D274" s="28">
        <v>120</v>
      </c>
      <c r="E274" s="28">
        <v>12</v>
      </c>
      <c r="F274" s="28">
        <v>1436</v>
      </c>
      <c r="G274" s="29"/>
    </row>
    <row r="275" spans="1:7" ht="15.75">
      <c r="A275" s="27" t="s">
        <v>897</v>
      </c>
      <c r="B275" s="28">
        <v>0</v>
      </c>
      <c r="C275" s="28">
        <v>386</v>
      </c>
      <c r="D275" s="28">
        <v>389</v>
      </c>
      <c r="E275" s="28">
        <v>12</v>
      </c>
      <c r="F275" s="28">
        <v>4665</v>
      </c>
      <c r="G275" s="29"/>
    </row>
    <row r="276" spans="1:7" ht="15.75">
      <c r="A276" s="27" t="s">
        <v>898</v>
      </c>
      <c r="B276" s="28">
        <v>0</v>
      </c>
      <c r="C276" s="28">
        <v>46</v>
      </c>
      <c r="D276" s="28">
        <v>50</v>
      </c>
      <c r="E276" s="28">
        <v>12</v>
      </c>
      <c r="F276" s="28">
        <v>596</v>
      </c>
      <c r="G276" s="29"/>
    </row>
    <row r="277" spans="1:7" ht="15.75">
      <c r="A277" s="27" t="s">
        <v>899</v>
      </c>
      <c r="B277" s="28">
        <v>0</v>
      </c>
      <c r="C277" s="28">
        <v>742</v>
      </c>
      <c r="D277" s="28">
        <v>747</v>
      </c>
      <c r="E277" s="28">
        <v>12</v>
      </c>
      <c r="F277" s="28">
        <v>8959</v>
      </c>
      <c r="G277" s="29"/>
    </row>
    <row r="278" spans="1:7" ht="15.75">
      <c r="A278" s="27" t="s">
        <v>900</v>
      </c>
      <c r="B278" s="28">
        <v>0</v>
      </c>
      <c r="C278" s="28">
        <v>172</v>
      </c>
      <c r="D278" s="28">
        <v>171</v>
      </c>
      <c r="E278" s="28">
        <v>12</v>
      </c>
      <c r="F278" s="28">
        <v>2053</v>
      </c>
      <c r="G278" s="29"/>
    </row>
    <row r="279" spans="1:7" ht="15.75">
      <c r="A279" s="27" t="s">
        <v>901</v>
      </c>
      <c r="B279" s="28">
        <v>0</v>
      </c>
      <c r="C279" s="28">
        <v>524</v>
      </c>
      <c r="D279" s="28">
        <v>519</v>
      </c>
      <c r="E279" s="28">
        <v>12</v>
      </c>
      <c r="F279" s="28">
        <v>6233</v>
      </c>
      <c r="G279" s="29"/>
    </row>
    <row r="280" spans="1:7" ht="15.75">
      <c r="A280" s="27" t="s">
        <v>902</v>
      </c>
      <c r="B280" s="28">
        <v>0</v>
      </c>
      <c r="C280" s="28">
        <v>462</v>
      </c>
      <c r="D280" s="28">
        <v>467</v>
      </c>
      <c r="E280" s="28">
        <v>12</v>
      </c>
      <c r="F280" s="28">
        <v>5599</v>
      </c>
      <c r="G280" s="29"/>
    </row>
    <row r="281" spans="1:7" ht="15.75">
      <c r="A281" s="27" t="s">
        <v>903</v>
      </c>
      <c r="B281" s="28">
        <v>0</v>
      </c>
      <c r="C281" s="28">
        <v>418</v>
      </c>
      <c r="D281" s="28">
        <v>420</v>
      </c>
      <c r="E281" s="28">
        <v>12</v>
      </c>
      <c r="F281" s="28">
        <v>5038</v>
      </c>
      <c r="G281" s="29"/>
    </row>
    <row r="282" spans="1:7" ht="15.75">
      <c r="A282" s="27" t="s">
        <v>904</v>
      </c>
      <c r="B282" s="28">
        <v>0</v>
      </c>
      <c r="C282" s="28">
        <v>64</v>
      </c>
      <c r="D282" s="28">
        <v>62</v>
      </c>
      <c r="E282" s="28">
        <v>12</v>
      </c>
      <c r="F282" s="28">
        <v>746</v>
      </c>
      <c r="G282" s="29"/>
    </row>
    <row r="283" spans="1:7" ht="15.75">
      <c r="A283" s="27" t="s">
        <v>905</v>
      </c>
      <c r="B283" s="28">
        <v>0</v>
      </c>
      <c r="C283" s="28">
        <v>144</v>
      </c>
      <c r="D283" s="28">
        <v>148</v>
      </c>
      <c r="E283" s="28">
        <v>12</v>
      </c>
      <c r="F283" s="28">
        <v>1772</v>
      </c>
      <c r="G283" s="29"/>
    </row>
    <row r="284" spans="1:7" ht="15.75">
      <c r="A284" s="27" t="s">
        <v>906</v>
      </c>
      <c r="B284" s="28">
        <v>0</v>
      </c>
      <c r="C284" s="28">
        <v>118</v>
      </c>
      <c r="D284" s="28">
        <v>113</v>
      </c>
      <c r="E284" s="28">
        <v>12</v>
      </c>
      <c r="F284" s="28">
        <v>1361</v>
      </c>
      <c r="G284" s="29"/>
    </row>
    <row r="285" spans="1:7" ht="15.75">
      <c r="A285" s="27" t="s">
        <v>907</v>
      </c>
      <c r="B285" s="28">
        <v>0</v>
      </c>
      <c r="C285" s="28">
        <v>236</v>
      </c>
      <c r="D285" s="28">
        <v>233</v>
      </c>
      <c r="E285" s="28">
        <v>12</v>
      </c>
      <c r="F285" s="28">
        <v>2799</v>
      </c>
      <c r="G285" s="29"/>
    </row>
    <row r="286" spans="1:7" ht="15.75">
      <c r="A286" s="27" t="s">
        <v>908</v>
      </c>
      <c r="B286" s="28">
        <v>0</v>
      </c>
      <c r="C286" s="28">
        <v>666</v>
      </c>
      <c r="D286" s="28">
        <v>669</v>
      </c>
      <c r="E286" s="28">
        <v>12</v>
      </c>
      <c r="F286" s="28">
        <v>8025</v>
      </c>
      <c r="G286" s="29"/>
    </row>
    <row r="287" spans="1:7" ht="15.75">
      <c r="A287" s="27" t="s">
        <v>909</v>
      </c>
      <c r="B287" s="28">
        <v>0</v>
      </c>
      <c r="C287" s="28">
        <v>62</v>
      </c>
      <c r="D287" s="28">
        <v>57</v>
      </c>
      <c r="E287" s="28">
        <v>12</v>
      </c>
      <c r="F287" s="28">
        <v>689</v>
      </c>
      <c r="G287" s="29"/>
    </row>
    <row r="288" spans="1:7" ht="15.75">
      <c r="A288" s="27" t="s">
        <v>339</v>
      </c>
      <c r="B288" s="28">
        <v>0</v>
      </c>
      <c r="C288" s="28">
        <v>74</v>
      </c>
      <c r="D288" s="28">
        <v>78</v>
      </c>
      <c r="E288" s="28">
        <v>12</v>
      </c>
      <c r="F288" s="28">
        <v>932</v>
      </c>
      <c r="G288" s="29"/>
    </row>
    <row r="289" spans="1:7" ht="15.75">
      <c r="A289" s="27" t="s">
        <v>910</v>
      </c>
      <c r="B289" s="28">
        <v>0</v>
      </c>
      <c r="C289" s="28">
        <v>106</v>
      </c>
      <c r="D289" s="28">
        <v>109</v>
      </c>
      <c r="E289" s="28">
        <v>12</v>
      </c>
      <c r="F289" s="28">
        <v>1305</v>
      </c>
      <c r="G289" s="29"/>
    </row>
    <row r="290" spans="1:7" ht="15.75">
      <c r="A290" s="27" t="s">
        <v>911</v>
      </c>
      <c r="B290" s="28">
        <v>0</v>
      </c>
      <c r="C290" s="28">
        <v>78</v>
      </c>
      <c r="D290" s="28">
        <v>76</v>
      </c>
      <c r="E290" s="28">
        <v>12</v>
      </c>
      <c r="F290" s="28">
        <v>914</v>
      </c>
      <c r="G290" s="29"/>
    </row>
    <row r="291" spans="1:7" ht="15.75">
      <c r="A291" s="27" t="s">
        <v>912</v>
      </c>
      <c r="B291" s="28">
        <v>0</v>
      </c>
      <c r="C291" s="28">
        <v>120</v>
      </c>
      <c r="D291" s="28">
        <v>123</v>
      </c>
      <c r="E291" s="28">
        <v>12</v>
      </c>
      <c r="F291" s="28">
        <v>1473</v>
      </c>
      <c r="G291" s="29"/>
    </row>
    <row r="292" spans="1:7" ht="15.75">
      <c r="A292" s="27" t="s">
        <v>913</v>
      </c>
      <c r="B292" s="28">
        <v>0</v>
      </c>
      <c r="C292" s="28">
        <v>344</v>
      </c>
      <c r="D292" s="28">
        <v>342</v>
      </c>
      <c r="E292" s="28">
        <v>12</v>
      </c>
      <c r="F292" s="28">
        <v>4106</v>
      </c>
      <c r="G292" s="29"/>
    </row>
    <row r="293" spans="1:7" ht="15.75">
      <c r="A293" s="27" t="s">
        <v>914</v>
      </c>
      <c r="B293" s="28">
        <v>0</v>
      </c>
      <c r="C293" s="28">
        <v>400</v>
      </c>
      <c r="D293" s="28">
        <v>403</v>
      </c>
      <c r="E293" s="28">
        <v>12</v>
      </c>
      <c r="F293" s="28">
        <v>4833</v>
      </c>
      <c r="G293" s="29"/>
    </row>
    <row r="294" spans="1:7" ht="15.75">
      <c r="A294" s="27" t="s">
        <v>915</v>
      </c>
      <c r="B294" s="28">
        <v>0</v>
      </c>
      <c r="C294" s="28">
        <v>344</v>
      </c>
      <c r="D294" s="28">
        <v>347</v>
      </c>
      <c r="E294" s="28">
        <v>12</v>
      </c>
      <c r="F294" s="28">
        <v>4161</v>
      </c>
      <c r="G294" s="29"/>
    </row>
    <row r="295" spans="1:7" ht="15.75">
      <c r="A295" s="27" t="s">
        <v>916</v>
      </c>
      <c r="B295" s="28">
        <v>0</v>
      </c>
      <c r="C295" s="28">
        <v>744</v>
      </c>
      <c r="D295" s="28">
        <v>740</v>
      </c>
      <c r="E295" s="28">
        <v>12</v>
      </c>
      <c r="F295" s="28">
        <v>8884</v>
      </c>
      <c r="G295" s="29"/>
    </row>
    <row r="296" spans="1:7" ht="15.75">
      <c r="A296" s="27" t="s">
        <v>917</v>
      </c>
      <c r="B296" s="28">
        <v>0</v>
      </c>
      <c r="C296" s="28">
        <v>140</v>
      </c>
      <c r="D296" s="28">
        <v>145</v>
      </c>
      <c r="E296" s="28">
        <v>12</v>
      </c>
      <c r="F296" s="28">
        <v>1735</v>
      </c>
      <c r="G296" s="29"/>
    </row>
    <row r="297" spans="1:7" ht="15.75">
      <c r="A297" s="27" t="s">
        <v>918</v>
      </c>
      <c r="B297" s="28">
        <v>0</v>
      </c>
      <c r="C297" s="28">
        <v>128</v>
      </c>
      <c r="D297" s="28">
        <v>124</v>
      </c>
      <c r="E297" s="28">
        <v>12</v>
      </c>
      <c r="F297" s="28">
        <v>1492</v>
      </c>
      <c r="G297" s="29"/>
    </row>
    <row r="298" spans="1:7" ht="15.75">
      <c r="A298" s="27" t="s">
        <v>524</v>
      </c>
      <c r="B298" s="28">
        <v>0</v>
      </c>
      <c r="C298" s="28">
        <v>188</v>
      </c>
      <c r="D298" s="28">
        <v>183</v>
      </c>
      <c r="E298" s="28">
        <v>12</v>
      </c>
      <c r="F298" s="28">
        <v>2201</v>
      </c>
      <c r="G298" s="29"/>
    </row>
    <row r="299" spans="1:7" ht="15.75">
      <c r="A299" s="27" t="s">
        <v>919</v>
      </c>
      <c r="B299" s="28">
        <v>0</v>
      </c>
      <c r="C299" s="28">
        <v>298</v>
      </c>
      <c r="D299" s="28">
        <v>297</v>
      </c>
      <c r="E299" s="28">
        <v>12</v>
      </c>
      <c r="F299" s="28">
        <v>3565</v>
      </c>
      <c r="G299" s="29"/>
    </row>
    <row r="300" spans="1:7" ht="15.75">
      <c r="A300" s="27" t="s">
        <v>920</v>
      </c>
      <c r="B300" s="28">
        <v>0</v>
      </c>
      <c r="C300" s="28">
        <v>394</v>
      </c>
      <c r="D300" s="28">
        <v>392</v>
      </c>
      <c r="E300" s="28">
        <v>12</v>
      </c>
      <c r="F300" s="28">
        <v>4706</v>
      </c>
      <c r="G300" s="29"/>
    </row>
    <row r="301" spans="1:7" ht="15.75">
      <c r="A301" s="27" t="s">
        <v>921</v>
      </c>
      <c r="B301" s="28">
        <v>0</v>
      </c>
      <c r="C301" s="28">
        <v>379</v>
      </c>
      <c r="D301" s="28">
        <v>375</v>
      </c>
      <c r="E301" s="28">
        <v>12</v>
      </c>
      <c r="F301" s="28">
        <v>4504</v>
      </c>
      <c r="G301" s="29"/>
    </row>
    <row r="302" spans="1:7" ht="15.75">
      <c r="A302" s="27" t="s">
        <v>922</v>
      </c>
      <c r="B302" s="28">
        <v>0</v>
      </c>
      <c r="C302" s="28">
        <v>564</v>
      </c>
      <c r="D302" s="28">
        <v>561</v>
      </c>
      <c r="E302" s="28">
        <v>12</v>
      </c>
      <c r="F302" s="28">
        <v>6735</v>
      </c>
      <c r="G302" s="29"/>
    </row>
    <row r="303" spans="1:7" ht="15.75">
      <c r="A303" s="27" t="s">
        <v>923</v>
      </c>
      <c r="B303" s="28">
        <v>0</v>
      </c>
      <c r="C303" s="28">
        <v>768</v>
      </c>
      <c r="D303" s="28">
        <v>770</v>
      </c>
      <c r="E303" s="28">
        <v>12</v>
      </c>
      <c r="F303" s="28">
        <v>9238</v>
      </c>
      <c r="G303" s="29"/>
    </row>
    <row r="304" spans="1:7" ht="15.75">
      <c r="A304" s="27" t="s">
        <v>924</v>
      </c>
      <c r="B304" s="28">
        <v>0</v>
      </c>
      <c r="C304" s="28">
        <v>138</v>
      </c>
      <c r="D304" s="28">
        <v>140</v>
      </c>
      <c r="E304" s="28">
        <v>12</v>
      </c>
      <c r="F304" s="28">
        <v>1678</v>
      </c>
      <c r="G304" s="29"/>
    </row>
    <row r="305" spans="1:7" ht="15.75">
      <c r="A305" s="27" t="s">
        <v>535</v>
      </c>
      <c r="B305" s="28">
        <v>0</v>
      </c>
      <c r="C305" s="28">
        <v>348</v>
      </c>
      <c r="D305" s="28">
        <v>345</v>
      </c>
      <c r="E305" s="28">
        <v>12</v>
      </c>
      <c r="F305" s="28">
        <v>4143</v>
      </c>
      <c r="G305" s="29"/>
    </row>
    <row r="306" spans="1:7" ht="15.75">
      <c r="A306" s="27" t="s">
        <v>410</v>
      </c>
      <c r="B306" s="28">
        <v>0</v>
      </c>
      <c r="C306" s="28">
        <v>18</v>
      </c>
      <c r="D306" s="28">
        <v>22</v>
      </c>
      <c r="E306" s="28">
        <v>12</v>
      </c>
      <c r="F306" s="28">
        <v>260</v>
      </c>
      <c r="G306" s="29"/>
    </row>
    <row r="307" spans="1:7" ht="15.75">
      <c r="A307" s="27" t="s">
        <v>925</v>
      </c>
      <c r="B307" s="28">
        <v>0</v>
      </c>
      <c r="C307" s="28">
        <v>26</v>
      </c>
      <c r="D307" s="28">
        <v>28</v>
      </c>
      <c r="E307" s="28">
        <v>12</v>
      </c>
      <c r="F307" s="28">
        <v>334</v>
      </c>
      <c r="G307" s="29"/>
    </row>
    <row r="308" spans="1:7" ht="15.75">
      <c r="A308" s="27" t="s">
        <v>926</v>
      </c>
      <c r="B308" s="28">
        <v>0</v>
      </c>
      <c r="C308" s="28">
        <v>26</v>
      </c>
      <c r="D308" s="28">
        <v>23</v>
      </c>
      <c r="E308" s="28">
        <v>12</v>
      </c>
      <c r="F308" s="28">
        <v>279</v>
      </c>
      <c r="G308" s="29"/>
    </row>
    <row r="309" spans="1:7" ht="15.75">
      <c r="A309" s="27" t="s">
        <v>927</v>
      </c>
      <c r="B309" s="28">
        <v>0</v>
      </c>
      <c r="C309" s="28">
        <v>22</v>
      </c>
      <c r="D309" s="28">
        <v>20</v>
      </c>
      <c r="E309" s="28">
        <v>12</v>
      </c>
      <c r="F309" s="28">
        <v>242</v>
      </c>
      <c r="G309" s="29"/>
    </row>
    <row r="310" spans="1:7" ht="15.75">
      <c r="A310" s="27" t="s">
        <v>928</v>
      </c>
      <c r="B310" s="28">
        <v>0</v>
      </c>
      <c r="C310" s="28">
        <v>54</v>
      </c>
      <c r="D310" s="28">
        <v>56</v>
      </c>
      <c r="E310" s="28">
        <v>12</v>
      </c>
      <c r="F310" s="28">
        <v>670</v>
      </c>
      <c r="G310" s="29"/>
    </row>
    <row r="311" spans="1:7" ht="15.75">
      <c r="A311" s="27" t="s">
        <v>929</v>
      </c>
      <c r="B311" s="28">
        <v>0</v>
      </c>
      <c r="C311" s="28">
        <v>22</v>
      </c>
      <c r="D311" s="28">
        <v>20</v>
      </c>
      <c r="E311" s="28">
        <v>12</v>
      </c>
      <c r="F311" s="28">
        <v>242</v>
      </c>
      <c r="G311" s="29"/>
    </row>
    <row r="312" spans="1:7" ht="15.75">
      <c r="A312" s="27" t="s">
        <v>930</v>
      </c>
      <c r="B312" s="28">
        <v>0</v>
      </c>
      <c r="C312" s="28">
        <v>42</v>
      </c>
      <c r="D312" s="28">
        <v>47</v>
      </c>
      <c r="E312" s="28">
        <v>12</v>
      </c>
      <c r="F312" s="28">
        <v>559</v>
      </c>
      <c r="G312" s="29"/>
    </row>
    <row r="313" spans="1:7" ht="15.75">
      <c r="A313" s="27" t="s">
        <v>931</v>
      </c>
      <c r="B313" s="28">
        <v>0</v>
      </c>
      <c r="C313" s="28">
        <v>36</v>
      </c>
      <c r="D313" s="28">
        <v>34</v>
      </c>
      <c r="E313" s="28">
        <v>12</v>
      </c>
      <c r="F313" s="28">
        <v>410</v>
      </c>
      <c r="G313" s="29"/>
    </row>
    <row r="314" spans="1:7" ht="15.75">
      <c r="A314" s="27" t="s">
        <v>932</v>
      </c>
      <c r="B314" s="28">
        <v>0</v>
      </c>
      <c r="C314" s="28">
        <v>32</v>
      </c>
      <c r="D314" s="28">
        <v>31</v>
      </c>
      <c r="E314" s="28">
        <v>12</v>
      </c>
      <c r="F314" s="28">
        <v>373</v>
      </c>
      <c r="G314" s="29"/>
    </row>
    <row r="315" spans="1:7" ht="15.75">
      <c r="A315" s="27" t="s">
        <v>933</v>
      </c>
      <c r="B315" s="28">
        <v>0</v>
      </c>
      <c r="C315" s="28">
        <v>40</v>
      </c>
      <c r="D315" s="28">
        <v>37</v>
      </c>
      <c r="E315" s="28">
        <v>12</v>
      </c>
      <c r="F315" s="28">
        <v>447</v>
      </c>
      <c r="G315" s="29"/>
    </row>
    <row r="316" spans="1:7" ht="15.75">
      <c r="A316" s="27" t="s">
        <v>934</v>
      </c>
      <c r="B316" s="28">
        <v>0</v>
      </c>
      <c r="C316" s="28">
        <v>54</v>
      </c>
      <c r="D316" s="28">
        <v>51</v>
      </c>
      <c r="E316" s="28">
        <v>12</v>
      </c>
      <c r="F316" s="28">
        <v>615</v>
      </c>
      <c r="G316" s="29"/>
    </row>
    <row r="317" spans="1:7" ht="15.75">
      <c r="A317" s="27" t="s">
        <v>935</v>
      </c>
      <c r="B317" s="28">
        <v>0</v>
      </c>
      <c r="C317" s="28">
        <v>64</v>
      </c>
      <c r="D317" s="28">
        <v>62</v>
      </c>
      <c r="E317" s="28">
        <v>12</v>
      </c>
      <c r="F317" s="28">
        <v>746</v>
      </c>
      <c r="G317" s="29"/>
    </row>
    <row r="318" spans="1:7" ht="15.75">
      <c r="A318" s="27" t="s">
        <v>936</v>
      </c>
      <c r="B318" s="28">
        <v>0</v>
      </c>
      <c r="C318" s="28">
        <v>40</v>
      </c>
      <c r="D318" s="28">
        <v>37</v>
      </c>
      <c r="E318" s="28">
        <v>12</v>
      </c>
      <c r="F318" s="28">
        <v>447</v>
      </c>
      <c r="G318" s="29"/>
    </row>
    <row r="319" spans="1:7" ht="15.75">
      <c r="A319" s="27" t="s">
        <v>937</v>
      </c>
      <c r="B319" s="28">
        <v>0</v>
      </c>
      <c r="C319" s="28">
        <v>74</v>
      </c>
      <c r="D319" s="28">
        <v>73</v>
      </c>
      <c r="E319" s="28">
        <v>12</v>
      </c>
      <c r="F319" s="28">
        <v>877</v>
      </c>
      <c r="G319" s="29"/>
    </row>
    <row r="320" spans="1:7" ht="15.75">
      <c r="A320" s="27" t="s">
        <v>938</v>
      </c>
      <c r="B320" s="28">
        <v>0</v>
      </c>
      <c r="C320" s="28">
        <v>64</v>
      </c>
      <c r="D320" s="28">
        <v>62</v>
      </c>
      <c r="E320" s="28">
        <v>12</v>
      </c>
      <c r="F320" s="28">
        <v>746</v>
      </c>
      <c r="G320" s="29"/>
    </row>
    <row r="321" spans="1:7" ht="15.75">
      <c r="A321" s="27" t="s">
        <v>939</v>
      </c>
      <c r="B321" s="28">
        <v>0</v>
      </c>
      <c r="C321" s="28">
        <v>64</v>
      </c>
      <c r="D321" s="28">
        <v>62</v>
      </c>
      <c r="E321" s="28">
        <v>12</v>
      </c>
      <c r="F321" s="28">
        <v>746</v>
      </c>
      <c r="G321" s="29"/>
    </row>
    <row r="322" spans="1:7" ht="15.75">
      <c r="A322" s="27" t="s">
        <v>940</v>
      </c>
      <c r="B322" s="28">
        <v>0</v>
      </c>
      <c r="C322" s="28">
        <v>64</v>
      </c>
      <c r="D322" s="28">
        <v>62</v>
      </c>
      <c r="E322" s="28">
        <v>12</v>
      </c>
      <c r="F322" s="28">
        <v>746</v>
      </c>
      <c r="G322" s="29"/>
    </row>
    <row r="323" spans="1:7" ht="15.75">
      <c r="A323" s="27" t="s">
        <v>276</v>
      </c>
      <c r="B323" s="28">
        <v>0</v>
      </c>
      <c r="C323" s="28">
        <v>46</v>
      </c>
      <c r="D323" s="28">
        <v>45</v>
      </c>
      <c r="E323" s="28">
        <v>12</v>
      </c>
      <c r="F323" s="28">
        <v>541</v>
      </c>
      <c r="G323" s="29"/>
    </row>
    <row r="324" spans="1:7" ht="15.75">
      <c r="A324" s="27" t="s">
        <v>942</v>
      </c>
      <c r="B324" s="28">
        <v>0</v>
      </c>
      <c r="C324" s="28">
        <v>88</v>
      </c>
      <c r="D324" s="28">
        <v>87</v>
      </c>
      <c r="E324" s="28">
        <v>12</v>
      </c>
      <c r="F324" s="28">
        <v>1045</v>
      </c>
      <c r="G324" s="29"/>
    </row>
    <row r="325" spans="1:7" ht="15.75">
      <c r="A325" s="27" t="s">
        <v>943</v>
      </c>
      <c r="B325" s="28">
        <v>0</v>
      </c>
      <c r="C325" s="28">
        <v>70</v>
      </c>
      <c r="D325" s="28">
        <v>75</v>
      </c>
      <c r="E325" s="28">
        <v>12</v>
      </c>
      <c r="F325" s="28">
        <v>895</v>
      </c>
      <c r="G325" s="29"/>
    </row>
    <row r="326" spans="1:7" ht="15.75">
      <c r="A326" s="27" t="s">
        <v>944</v>
      </c>
      <c r="B326" s="28">
        <v>0</v>
      </c>
      <c r="C326" s="28">
        <v>98</v>
      </c>
      <c r="D326" s="28">
        <v>103</v>
      </c>
      <c r="E326" s="28">
        <v>12</v>
      </c>
      <c r="F326" s="28">
        <v>1231</v>
      </c>
      <c r="G326" s="29"/>
    </row>
    <row r="327" spans="1:7" ht="15.75">
      <c r="A327" s="27" t="s">
        <v>945</v>
      </c>
      <c r="B327" s="28">
        <v>0</v>
      </c>
      <c r="C327" s="28">
        <v>64</v>
      </c>
      <c r="D327" s="28">
        <v>62</v>
      </c>
      <c r="E327" s="28">
        <v>12</v>
      </c>
      <c r="F327" s="28">
        <v>746</v>
      </c>
      <c r="G327" s="29"/>
    </row>
    <row r="328" spans="1:7" ht="15.75">
      <c r="A328" s="27" t="s">
        <v>946</v>
      </c>
      <c r="B328" s="28">
        <v>0</v>
      </c>
      <c r="C328" s="28">
        <v>128</v>
      </c>
      <c r="D328" s="28">
        <v>124</v>
      </c>
      <c r="E328" s="28">
        <v>12</v>
      </c>
      <c r="F328" s="28">
        <v>1492</v>
      </c>
      <c r="G328" s="29"/>
    </row>
    <row r="329" spans="1:7" ht="15.75">
      <c r="A329" s="27" t="s">
        <v>359</v>
      </c>
      <c r="B329" s="28">
        <v>0</v>
      </c>
      <c r="C329" s="28">
        <v>64</v>
      </c>
      <c r="D329" s="28">
        <v>62</v>
      </c>
      <c r="E329" s="28">
        <v>12</v>
      </c>
      <c r="F329" s="28">
        <v>746</v>
      </c>
      <c r="G329" s="29"/>
    </row>
    <row r="330" spans="1:7" ht="15.75">
      <c r="A330" s="27" t="s">
        <v>947</v>
      </c>
      <c r="B330" s="28">
        <v>0</v>
      </c>
      <c r="C330" s="28">
        <v>106</v>
      </c>
      <c r="D330" s="28">
        <v>109</v>
      </c>
      <c r="E330" s="28">
        <v>12</v>
      </c>
      <c r="F330" s="28">
        <v>1305</v>
      </c>
      <c r="G330" s="29"/>
    </row>
    <row r="331" spans="1:7" ht="15.75">
      <c r="A331" s="27" t="s">
        <v>948</v>
      </c>
      <c r="B331" s="28">
        <v>0</v>
      </c>
      <c r="C331" s="28">
        <v>72</v>
      </c>
      <c r="D331" s="28">
        <v>68</v>
      </c>
      <c r="E331" s="28">
        <v>12</v>
      </c>
      <c r="F331" s="28">
        <v>820</v>
      </c>
      <c r="G331" s="29"/>
    </row>
    <row r="332" spans="1:7" ht="15.75">
      <c r="A332" s="27" t="s">
        <v>949</v>
      </c>
      <c r="B332" s="28">
        <v>0</v>
      </c>
      <c r="C332" s="28">
        <v>116</v>
      </c>
      <c r="D332" s="28">
        <v>115</v>
      </c>
      <c r="E332" s="28">
        <v>12</v>
      </c>
      <c r="F332" s="28">
        <v>1381</v>
      </c>
      <c r="G332" s="29"/>
    </row>
    <row r="333" spans="1:7" ht="15.75">
      <c r="A333" s="27" t="s">
        <v>950</v>
      </c>
      <c r="B333" s="28">
        <v>0</v>
      </c>
      <c r="C333" s="28">
        <v>78</v>
      </c>
      <c r="D333" s="28">
        <v>76</v>
      </c>
      <c r="E333" s="28">
        <v>12</v>
      </c>
      <c r="F333" s="28">
        <v>914</v>
      </c>
      <c r="G333" s="29"/>
    </row>
    <row r="334" spans="1:7" ht="15.75">
      <c r="A334" s="27" t="s">
        <v>951</v>
      </c>
      <c r="B334" s="28">
        <v>0</v>
      </c>
      <c r="C334" s="28">
        <v>102</v>
      </c>
      <c r="D334" s="28">
        <v>106</v>
      </c>
      <c r="E334" s="28">
        <v>12</v>
      </c>
      <c r="F334" s="28">
        <v>1268</v>
      </c>
      <c r="G334" s="29"/>
    </row>
    <row r="335" spans="1:7" ht="15.75">
      <c r="A335" s="27" t="s">
        <v>952</v>
      </c>
      <c r="B335" s="28">
        <v>0</v>
      </c>
      <c r="C335" s="28">
        <v>140</v>
      </c>
      <c r="D335" s="28">
        <v>145</v>
      </c>
      <c r="E335" s="28">
        <v>12</v>
      </c>
      <c r="F335" s="28">
        <v>1735</v>
      </c>
      <c r="G335" s="29"/>
    </row>
    <row r="336" spans="1:7" ht="15.75">
      <c r="A336" s="27" t="s">
        <v>953</v>
      </c>
      <c r="B336" s="28">
        <v>0</v>
      </c>
      <c r="C336" s="28">
        <v>160</v>
      </c>
      <c r="D336" s="28">
        <v>155</v>
      </c>
      <c r="E336" s="28">
        <v>12</v>
      </c>
      <c r="F336" s="28">
        <v>1865</v>
      </c>
      <c r="G336" s="29"/>
    </row>
    <row r="337" spans="1:7" ht="15.75">
      <c r="A337" s="27" t="s">
        <v>954</v>
      </c>
      <c r="B337" s="28">
        <v>0</v>
      </c>
      <c r="C337" s="28">
        <v>138</v>
      </c>
      <c r="D337" s="28">
        <v>140</v>
      </c>
      <c r="E337" s="28">
        <v>12</v>
      </c>
      <c r="F337" s="28">
        <v>1678</v>
      </c>
      <c r="G337" s="29"/>
    </row>
    <row r="338" spans="1:7" ht="15.75">
      <c r="A338" s="27" t="s">
        <v>955</v>
      </c>
      <c r="B338" s="28">
        <v>0</v>
      </c>
      <c r="C338" s="28">
        <v>130</v>
      </c>
      <c r="D338" s="28">
        <v>129</v>
      </c>
      <c r="E338" s="28">
        <v>12</v>
      </c>
      <c r="F338" s="28">
        <v>1549</v>
      </c>
      <c r="G338" s="29"/>
    </row>
    <row r="339" spans="1:7" ht="15.75">
      <c r="A339" s="27" t="s">
        <v>956</v>
      </c>
      <c r="B339" s="28">
        <v>0</v>
      </c>
      <c r="C339" s="28">
        <v>138</v>
      </c>
      <c r="D339" s="28">
        <v>135</v>
      </c>
      <c r="E339" s="28">
        <v>12</v>
      </c>
      <c r="F339" s="28">
        <v>1623</v>
      </c>
      <c r="G339" s="29"/>
    </row>
    <row r="340" spans="1:7" ht="15.75">
      <c r="A340" s="27" t="s">
        <v>957</v>
      </c>
      <c r="B340" s="28">
        <v>0</v>
      </c>
      <c r="C340" s="28">
        <v>156</v>
      </c>
      <c r="D340" s="28">
        <v>152</v>
      </c>
      <c r="E340" s="28">
        <v>12</v>
      </c>
      <c r="F340" s="28">
        <v>1828</v>
      </c>
      <c r="G340" s="29"/>
    </row>
    <row r="341" spans="1:7" ht="15.75">
      <c r="A341" s="27" t="s">
        <v>958</v>
      </c>
      <c r="B341" s="28">
        <v>0</v>
      </c>
      <c r="C341" s="28">
        <v>112</v>
      </c>
      <c r="D341" s="28">
        <v>117</v>
      </c>
      <c r="E341" s="28">
        <v>12</v>
      </c>
      <c r="F341" s="28">
        <v>1399</v>
      </c>
      <c r="G341" s="29"/>
    </row>
    <row r="342" spans="1:7" ht="15.75">
      <c r="A342" s="27" t="s">
        <v>959</v>
      </c>
      <c r="B342" s="28">
        <v>0</v>
      </c>
      <c r="C342" s="28">
        <v>208</v>
      </c>
      <c r="D342" s="28">
        <v>210</v>
      </c>
      <c r="E342" s="28">
        <v>12</v>
      </c>
      <c r="F342" s="28">
        <v>2518</v>
      </c>
      <c r="G342" s="29"/>
    </row>
    <row r="343" spans="1:7" ht="15.75">
      <c r="A343" s="27" t="s">
        <v>960</v>
      </c>
      <c r="B343" s="28">
        <v>0</v>
      </c>
      <c r="C343" s="28">
        <v>160</v>
      </c>
      <c r="D343" s="28">
        <v>155</v>
      </c>
      <c r="E343" s="28">
        <v>12</v>
      </c>
      <c r="F343" s="28">
        <v>1865</v>
      </c>
      <c r="G343" s="29"/>
    </row>
    <row r="344" spans="1:7" ht="15.75">
      <c r="A344" s="27" t="s">
        <v>374</v>
      </c>
      <c r="B344" s="28">
        <v>0</v>
      </c>
      <c r="C344" s="28">
        <v>162</v>
      </c>
      <c r="D344" s="28">
        <v>165</v>
      </c>
      <c r="E344" s="28">
        <v>12</v>
      </c>
      <c r="F344" s="28">
        <v>1977</v>
      </c>
      <c r="G344" s="29"/>
    </row>
    <row r="345" spans="1:7" ht="15.75">
      <c r="A345" s="27" t="s">
        <v>961</v>
      </c>
      <c r="B345" s="28">
        <v>0</v>
      </c>
      <c r="C345" s="28">
        <v>214</v>
      </c>
      <c r="D345" s="28">
        <v>218</v>
      </c>
      <c r="E345" s="28">
        <v>12</v>
      </c>
      <c r="F345" s="28">
        <v>2612</v>
      </c>
      <c r="G345" s="29"/>
    </row>
    <row r="346" spans="1:7" ht="15.75">
      <c r="A346" s="27" t="s">
        <v>310</v>
      </c>
      <c r="B346" s="28">
        <v>0</v>
      </c>
      <c r="C346" s="28">
        <v>198</v>
      </c>
      <c r="D346" s="28">
        <v>194</v>
      </c>
      <c r="E346" s="28">
        <v>12</v>
      </c>
      <c r="F346" s="28">
        <v>2332</v>
      </c>
      <c r="G346" s="29"/>
    </row>
    <row r="347" spans="1:7" ht="15.75">
      <c r="A347" s="27" t="s">
        <v>962</v>
      </c>
      <c r="B347" s="28">
        <v>0</v>
      </c>
      <c r="C347" s="28">
        <v>200</v>
      </c>
      <c r="D347" s="28">
        <v>204</v>
      </c>
      <c r="E347" s="28">
        <v>12</v>
      </c>
      <c r="F347" s="28">
        <v>2444</v>
      </c>
      <c r="G347" s="29"/>
    </row>
    <row r="348" spans="1:7" ht="15.75">
      <c r="A348" s="27" t="s">
        <v>963</v>
      </c>
      <c r="B348" s="28">
        <v>0</v>
      </c>
      <c r="C348" s="28">
        <v>202</v>
      </c>
      <c r="D348" s="28">
        <v>197</v>
      </c>
      <c r="E348" s="28">
        <v>12</v>
      </c>
      <c r="F348" s="28">
        <v>2369</v>
      </c>
      <c r="G348" s="29"/>
    </row>
    <row r="349" spans="1:7" ht="15.75">
      <c r="A349" s="27" t="s">
        <v>964</v>
      </c>
      <c r="B349" s="28">
        <v>0</v>
      </c>
      <c r="C349" s="28">
        <v>258</v>
      </c>
      <c r="D349" s="28">
        <v>253</v>
      </c>
      <c r="E349" s="28">
        <v>12</v>
      </c>
      <c r="F349" s="28">
        <v>3041</v>
      </c>
      <c r="G349" s="29"/>
    </row>
    <row r="350" spans="1:7" ht="15.75">
      <c r="A350" s="27" t="s">
        <v>965</v>
      </c>
      <c r="B350" s="28">
        <v>0</v>
      </c>
      <c r="C350" s="28">
        <v>300</v>
      </c>
      <c r="D350" s="28">
        <v>295</v>
      </c>
      <c r="E350" s="28">
        <v>12</v>
      </c>
      <c r="F350" s="28">
        <v>3545</v>
      </c>
      <c r="G350" s="29"/>
    </row>
    <row r="351" spans="1:7" ht="15.75">
      <c r="A351" s="27" t="s">
        <v>966</v>
      </c>
      <c r="B351" s="28">
        <v>0</v>
      </c>
      <c r="C351" s="28">
        <v>310</v>
      </c>
      <c r="D351" s="28">
        <v>306</v>
      </c>
      <c r="E351" s="28">
        <v>12</v>
      </c>
      <c r="F351" s="28">
        <v>3676</v>
      </c>
      <c r="G351" s="29"/>
    </row>
    <row r="352" spans="1:7" ht="15.75">
      <c r="A352" s="27" t="s">
        <v>967</v>
      </c>
      <c r="B352" s="28">
        <v>0</v>
      </c>
      <c r="C352" s="28">
        <v>298</v>
      </c>
      <c r="D352" s="28">
        <v>297</v>
      </c>
      <c r="E352" s="28">
        <v>12</v>
      </c>
      <c r="F352" s="28">
        <v>3565</v>
      </c>
      <c r="G352" s="29"/>
    </row>
    <row r="353" spans="1:7" ht="15.75">
      <c r="A353" s="27" t="s">
        <v>968</v>
      </c>
      <c r="B353" s="28">
        <v>0</v>
      </c>
      <c r="C353" s="28">
        <v>354</v>
      </c>
      <c r="D353" s="28">
        <v>353</v>
      </c>
      <c r="E353" s="28">
        <v>12</v>
      </c>
      <c r="F353" s="28">
        <v>4237</v>
      </c>
      <c r="G353" s="29"/>
    </row>
    <row r="354" spans="1:7" ht="15.75">
      <c r="A354" s="27" t="s">
        <v>969</v>
      </c>
      <c r="B354" s="28">
        <v>0</v>
      </c>
      <c r="C354" s="28">
        <v>356</v>
      </c>
      <c r="D354" s="28">
        <v>351</v>
      </c>
      <c r="E354" s="28">
        <v>12</v>
      </c>
      <c r="F354" s="28">
        <v>4217</v>
      </c>
      <c r="G354" s="29"/>
    </row>
    <row r="355" spans="1:7" ht="15.75">
      <c r="A355" s="27" t="s">
        <v>970</v>
      </c>
      <c r="B355" s="28">
        <v>0</v>
      </c>
      <c r="C355" s="28">
        <v>376</v>
      </c>
      <c r="D355" s="28">
        <v>373</v>
      </c>
      <c r="E355" s="28">
        <v>12</v>
      </c>
      <c r="F355" s="28">
        <v>4479</v>
      </c>
      <c r="G355" s="29"/>
    </row>
    <row r="356" spans="1:7" ht="15.75">
      <c r="A356" s="27" t="s">
        <v>971</v>
      </c>
      <c r="B356" s="28">
        <v>0</v>
      </c>
      <c r="C356" s="28">
        <v>424</v>
      </c>
      <c r="D356" s="28">
        <v>423</v>
      </c>
      <c r="E356" s="28">
        <v>12</v>
      </c>
      <c r="F356" s="28">
        <v>5077</v>
      </c>
      <c r="G356" s="29"/>
    </row>
    <row r="357" spans="1:7" ht="15.75">
      <c r="A357" s="27" t="s">
        <v>972</v>
      </c>
      <c r="B357" s="28">
        <v>0</v>
      </c>
      <c r="C357" s="28">
        <v>418</v>
      </c>
      <c r="D357" s="28">
        <v>420</v>
      </c>
      <c r="E357" s="28">
        <v>12</v>
      </c>
      <c r="F357" s="28">
        <v>5038</v>
      </c>
      <c r="G357" s="29"/>
    </row>
    <row r="358" spans="1:7" ht="15.75">
      <c r="A358" s="27" t="s">
        <v>973</v>
      </c>
      <c r="B358" s="28">
        <v>0</v>
      </c>
      <c r="C358" s="28">
        <v>400</v>
      </c>
      <c r="D358" s="28">
        <v>398</v>
      </c>
      <c r="E358" s="28">
        <v>12</v>
      </c>
      <c r="F358" s="28">
        <v>4778</v>
      </c>
      <c r="G358" s="29"/>
    </row>
    <row r="359" spans="1:7" ht="15.75">
      <c r="A359" s="27" t="s">
        <v>974</v>
      </c>
      <c r="B359" s="28">
        <v>0</v>
      </c>
      <c r="C359" s="28">
        <v>568</v>
      </c>
      <c r="D359" s="28">
        <v>571</v>
      </c>
      <c r="E359" s="28">
        <v>12</v>
      </c>
      <c r="F359" s="28">
        <v>6849</v>
      </c>
      <c r="G359" s="29"/>
    </row>
    <row r="360" spans="1:7" ht="15.75">
      <c r="A360" s="27" t="s">
        <v>975</v>
      </c>
      <c r="B360" s="28">
        <v>0</v>
      </c>
      <c r="C360" s="28">
        <v>450</v>
      </c>
      <c r="D360" s="28">
        <v>446</v>
      </c>
      <c r="E360" s="28">
        <v>12</v>
      </c>
      <c r="F360" s="28">
        <v>5356</v>
      </c>
      <c r="G360" s="29"/>
    </row>
    <row r="361" spans="1:7" ht="15.75">
      <c r="A361" s="27" t="s">
        <v>976</v>
      </c>
      <c r="B361" s="28">
        <v>0</v>
      </c>
      <c r="C361" s="28">
        <v>432</v>
      </c>
      <c r="D361" s="28">
        <v>429</v>
      </c>
      <c r="E361" s="28">
        <v>12</v>
      </c>
      <c r="F361" s="28">
        <v>5151</v>
      </c>
      <c r="G361" s="29"/>
    </row>
    <row r="362" spans="1:7" ht="15.75">
      <c r="A362" s="27" t="s">
        <v>977</v>
      </c>
      <c r="B362" s="28">
        <v>0</v>
      </c>
      <c r="C362" s="28">
        <v>698</v>
      </c>
      <c r="D362" s="28">
        <v>700</v>
      </c>
      <c r="E362" s="28">
        <v>12</v>
      </c>
      <c r="F362" s="28">
        <v>8398</v>
      </c>
      <c r="G362" s="29"/>
    </row>
    <row r="363" spans="1:7" ht="15.75">
      <c r="A363" s="27" t="s">
        <v>978</v>
      </c>
      <c r="B363" s="28">
        <v>0</v>
      </c>
      <c r="C363" s="28">
        <v>100</v>
      </c>
      <c r="D363" s="28">
        <v>96</v>
      </c>
      <c r="E363" s="28">
        <v>12</v>
      </c>
      <c r="F363" s="28">
        <v>1156</v>
      </c>
      <c r="G363" s="29"/>
    </row>
    <row r="364" spans="1:7" ht="15.75">
      <c r="A364" s="27" t="s">
        <v>179</v>
      </c>
      <c r="B364" s="28">
        <v>0</v>
      </c>
      <c r="C364" s="28">
        <v>70</v>
      </c>
      <c r="D364" s="28">
        <v>75</v>
      </c>
      <c r="E364" s="28">
        <v>12</v>
      </c>
      <c r="F364" s="28">
        <v>895</v>
      </c>
      <c r="G364" s="29"/>
    </row>
    <row r="365" spans="1:7" ht="15.75">
      <c r="A365" s="27" t="s">
        <v>979</v>
      </c>
      <c r="B365" s="28">
        <v>0</v>
      </c>
      <c r="C365" s="28">
        <v>204</v>
      </c>
      <c r="D365" s="28">
        <v>202</v>
      </c>
      <c r="E365" s="28">
        <v>12</v>
      </c>
      <c r="F365" s="28">
        <v>2426</v>
      </c>
      <c r="G365" s="29"/>
    </row>
    <row r="366" spans="1:7" ht="15.75">
      <c r="A366" s="27" t="s">
        <v>304</v>
      </c>
      <c r="B366" s="28">
        <v>0</v>
      </c>
      <c r="C366" s="28">
        <v>246</v>
      </c>
      <c r="D366" s="28">
        <v>244</v>
      </c>
      <c r="E366" s="28">
        <v>12</v>
      </c>
      <c r="F366" s="28">
        <v>2930</v>
      </c>
      <c r="G366" s="29"/>
    </row>
    <row r="367" spans="1:7" ht="15.75">
      <c r="A367" s="27" t="s">
        <v>315</v>
      </c>
      <c r="B367" s="28">
        <v>0</v>
      </c>
      <c r="C367" s="28">
        <v>288</v>
      </c>
      <c r="D367" s="28">
        <v>286</v>
      </c>
      <c r="E367" s="28">
        <v>12</v>
      </c>
      <c r="F367" s="28">
        <v>3434</v>
      </c>
      <c r="G367" s="29"/>
    </row>
    <row r="368" spans="1:7" ht="15.75">
      <c r="A368" s="27" t="s">
        <v>980</v>
      </c>
      <c r="B368" s="28">
        <v>0</v>
      </c>
      <c r="C368" s="28">
        <v>22</v>
      </c>
      <c r="D368" s="28">
        <v>20</v>
      </c>
      <c r="E368" s="28">
        <v>12</v>
      </c>
      <c r="F368" s="28">
        <v>242</v>
      </c>
      <c r="G368" s="29"/>
    </row>
    <row r="369" spans="1:7" ht="15.75">
      <c r="A369" s="27" t="s">
        <v>981</v>
      </c>
      <c r="B369" s="28">
        <v>0</v>
      </c>
      <c r="C369" s="28">
        <v>270</v>
      </c>
      <c r="D369" s="28">
        <v>274</v>
      </c>
      <c r="E369" s="28">
        <v>12</v>
      </c>
      <c r="F369" s="28">
        <v>3284</v>
      </c>
      <c r="G369" s="29"/>
    </row>
    <row r="370" spans="1:7" ht="15.75">
      <c r="A370" s="27" t="s">
        <v>507</v>
      </c>
      <c r="B370" s="28">
        <v>0</v>
      </c>
      <c r="C370" s="28">
        <v>106</v>
      </c>
      <c r="D370" s="28">
        <v>109</v>
      </c>
      <c r="E370" s="28">
        <v>12</v>
      </c>
      <c r="F370" s="28">
        <v>1305</v>
      </c>
      <c r="G370" s="29"/>
    </row>
    <row r="371" spans="1:7" ht="15.75">
      <c r="A371" s="27" t="s">
        <v>982</v>
      </c>
      <c r="B371" s="28">
        <v>0</v>
      </c>
      <c r="C371" s="28">
        <v>40</v>
      </c>
      <c r="D371" s="28">
        <v>37</v>
      </c>
      <c r="E371" s="28">
        <v>12</v>
      </c>
      <c r="F371" s="28">
        <v>447</v>
      </c>
      <c r="G371" s="29"/>
    </row>
    <row r="372" spans="1:7" ht="15.75">
      <c r="A372" s="27" t="s">
        <v>254</v>
      </c>
      <c r="B372" s="28">
        <v>0</v>
      </c>
      <c r="C372" s="28">
        <v>22</v>
      </c>
      <c r="D372" s="28">
        <v>25</v>
      </c>
      <c r="E372" s="28">
        <v>12</v>
      </c>
      <c r="F372" s="28">
        <v>297</v>
      </c>
      <c r="G372" s="29"/>
    </row>
    <row r="373" spans="1:7" ht="15.75">
      <c r="A373" s="27" t="s">
        <v>480</v>
      </c>
      <c r="B373" s="28">
        <v>0</v>
      </c>
      <c r="C373" s="28">
        <v>50</v>
      </c>
      <c r="D373" s="28">
        <v>48</v>
      </c>
      <c r="E373" s="28">
        <v>12</v>
      </c>
      <c r="F373" s="28">
        <v>578</v>
      </c>
      <c r="G373" s="29"/>
    </row>
    <row r="374" spans="1:7" ht="15.75">
      <c r="A374" s="27" t="s">
        <v>983</v>
      </c>
      <c r="B374" s="28">
        <v>0</v>
      </c>
      <c r="C374" s="28">
        <v>156</v>
      </c>
      <c r="D374" s="28">
        <v>152</v>
      </c>
      <c r="E374" s="28">
        <v>12</v>
      </c>
      <c r="F374" s="28">
        <v>1828</v>
      </c>
      <c r="G374" s="29"/>
    </row>
    <row r="375" spans="1:7" ht="15.75">
      <c r="A375" s="27" t="s">
        <v>984</v>
      </c>
      <c r="B375" s="28">
        <v>0</v>
      </c>
      <c r="C375" s="28">
        <v>390</v>
      </c>
      <c r="D375" s="28">
        <v>387</v>
      </c>
      <c r="E375" s="28">
        <v>12</v>
      </c>
      <c r="F375" s="28">
        <v>4647</v>
      </c>
      <c r="G375" s="29"/>
    </row>
    <row r="376" spans="1:7" ht="15.75">
      <c r="A376" s="27" t="s">
        <v>985</v>
      </c>
      <c r="B376" s="28">
        <v>0</v>
      </c>
      <c r="C376" s="28">
        <v>208</v>
      </c>
      <c r="D376" s="28">
        <v>205</v>
      </c>
      <c r="E376" s="28">
        <v>12</v>
      </c>
      <c r="F376" s="28">
        <v>2463</v>
      </c>
      <c r="G376" s="29"/>
    </row>
    <row r="377" spans="1:7" ht="15.75">
      <c r="A377" s="27" t="s">
        <v>411</v>
      </c>
      <c r="B377" s="28">
        <v>0</v>
      </c>
      <c r="C377" s="28">
        <v>60</v>
      </c>
      <c r="D377" s="28">
        <v>59</v>
      </c>
      <c r="E377" s="28">
        <v>12</v>
      </c>
      <c r="F377" s="28">
        <v>709</v>
      </c>
      <c r="G377" s="29"/>
    </row>
    <row r="378" spans="1:7" ht="15.75">
      <c r="A378" s="27" t="s">
        <v>986</v>
      </c>
      <c r="B378" s="28">
        <v>0</v>
      </c>
      <c r="C378" s="28">
        <v>70</v>
      </c>
      <c r="D378" s="28">
        <v>75</v>
      </c>
      <c r="E378" s="28">
        <v>12</v>
      </c>
      <c r="F378" s="28">
        <v>895</v>
      </c>
      <c r="G378" s="29"/>
    </row>
    <row r="379" spans="1:7" ht="15.75">
      <c r="A379" s="27" t="s">
        <v>263</v>
      </c>
      <c r="B379" s="28">
        <v>0</v>
      </c>
      <c r="C379" s="28">
        <v>96</v>
      </c>
      <c r="D379" s="28">
        <v>98</v>
      </c>
      <c r="E379" s="28">
        <v>12</v>
      </c>
      <c r="F379" s="28">
        <v>1174</v>
      </c>
      <c r="G379" s="29"/>
    </row>
    <row r="380" spans="1:7" ht="15.75">
      <c r="A380" s="27" t="s">
        <v>333</v>
      </c>
      <c r="B380" s="28">
        <v>0</v>
      </c>
      <c r="C380" s="28">
        <v>124</v>
      </c>
      <c r="D380" s="28">
        <v>121</v>
      </c>
      <c r="E380" s="28">
        <v>12</v>
      </c>
      <c r="F380" s="28">
        <v>1455</v>
      </c>
      <c r="G380" s="29"/>
    </row>
    <row r="381" spans="1:7" ht="15.75">
      <c r="A381" s="27" t="s">
        <v>278</v>
      </c>
      <c r="B381" s="28">
        <v>0</v>
      </c>
      <c r="C381" s="28">
        <v>144</v>
      </c>
      <c r="D381" s="28">
        <v>143</v>
      </c>
      <c r="E381" s="28">
        <v>12</v>
      </c>
      <c r="F381" s="28">
        <v>1717</v>
      </c>
      <c r="G381" s="29"/>
    </row>
    <row r="382" spans="1:7" ht="15.75">
      <c r="A382" s="27" t="s">
        <v>377</v>
      </c>
      <c r="B382" s="28">
        <v>0</v>
      </c>
      <c r="C382" s="28">
        <v>162</v>
      </c>
      <c r="D382" s="28">
        <v>165</v>
      </c>
      <c r="E382" s="28">
        <v>12</v>
      </c>
      <c r="F382" s="28">
        <v>1977</v>
      </c>
      <c r="G382" s="29"/>
    </row>
    <row r="383" spans="1:7" ht="15.75">
      <c r="A383" s="27" t="s">
        <v>987</v>
      </c>
      <c r="B383" s="28">
        <v>0</v>
      </c>
      <c r="C383" s="28">
        <v>186</v>
      </c>
      <c r="D383" s="28">
        <v>185</v>
      </c>
      <c r="E383" s="28">
        <v>12</v>
      </c>
      <c r="F383" s="28">
        <v>2221</v>
      </c>
      <c r="G383" s="29"/>
    </row>
    <row r="384" spans="1:7" ht="15.75">
      <c r="A384" s="27" t="s">
        <v>388</v>
      </c>
      <c r="B384" s="28">
        <v>0</v>
      </c>
      <c r="C384" s="28">
        <v>226</v>
      </c>
      <c r="D384" s="28">
        <v>222</v>
      </c>
      <c r="E384" s="28">
        <v>12</v>
      </c>
      <c r="F384" s="28">
        <v>2668</v>
      </c>
      <c r="G384" s="29"/>
    </row>
    <row r="385" spans="1:7" ht="15.75">
      <c r="A385" s="27" t="s">
        <v>988</v>
      </c>
      <c r="B385" s="28">
        <v>0</v>
      </c>
      <c r="C385" s="28">
        <v>306</v>
      </c>
      <c r="D385" s="28">
        <v>303</v>
      </c>
      <c r="E385" s="28">
        <v>12</v>
      </c>
      <c r="F385" s="28">
        <v>3639</v>
      </c>
      <c r="G385" s="29"/>
    </row>
    <row r="386" spans="1:7" ht="15.75">
      <c r="A386" s="27" t="s">
        <v>989</v>
      </c>
      <c r="B386" s="28">
        <v>0</v>
      </c>
      <c r="C386" s="28">
        <v>312</v>
      </c>
      <c r="D386" s="28">
        <v>311</v>
      </c>
      <c r="E386" s="28">
        <v>12</v>
      </c>
      <c r="F386" s="28">
        <v>3733</v>
      </c>
      <c r="G386" s="29"/>
    </row>
    <row r="387" spans="1:7" ht="15.75">
      <c r="A387" s="27" t="s">
        <v>990</v>
      </c>
      <c r="B387" s="28">
        <v>0</v>
      </c>
      <c r="C387" s="28">
        <v>620</v>
      </c>
      <c r="D387" s="28">
        <v>619</v>
      </c>
      <c r="E387" s="28">
        <v>12</v>
      </c>
      <c r="F387" s="28">
        <v>7429</v>
      </c>
      <c r="G387" s="29"/>
    </row>
    <row r="388" spans="1:7" ht="15.75">
      <c r="A388" s="27" t="s">
        <v>991</v>
      </c>
      <c r="B388" s="28">
        <v>0</v>
      </c>
      <c r="C388" s="28">
        <v>706</v>
      </c>
      <c r="D388" s="28">
        <v>701</v>
      </c>
      <c r="E388" s="28">
        <v>12</v>
      </c>
      <c r="F388" s="28">
        <v>8417</v>
      </c>
      <c r="G388" s="29"/>
    </row>
    <row r="389" spans="1:7" ht="15.75">
      <c r="A389" s="27" t="s">
        <v>486</v>
      </c>
      <c r="B389" s="28">
        <v>0</v>
      </c>
      <c r="C389" s="28">
        <v>172</v>
      </c>
      <c r="D389" s="28">
        <v>171</v>
      </c>
      <c r="E389" s="28">
        <v>12</v>
      </c>
      <c r="F389" s="28">
        <v>2053</v>
      </c>
      <c r="G389" s="29"/>
    </row>
    <row r="390" spans="1:7" ht="15.75">
      <c r="A390" s="27" t="s">
        <v>496</v>
      </c>
      <c r="B390" s="28">
        <v>0</v>
      </c>
      <c r="C390" s="28">
        <v>278</v>
      </c>
      <c r="D390" s="28">
        <v>280</v>
      </c>
      <c r="E390" s="28">
        <v>12</v>
      </c>
      <c r="F390" s="28">
        <v>3358</v>
      </c>
      <c r="G390" s="29"/>
    </row>
    <row r="391" spans="1:7" ht="15.75">
      <c r="A391" s="27" t="s">
        <v>510</v>
      </c>
      <c r="B391" s="28">
        <v>0</v>
      </c>
      <c r="C391" s="28">
        <v>292</v>
      </c>
      <c r="D391" s="28">
        <v>289</v>
      </c>
      <c r="E391" s="28">
        <v>12</v>
      </c>
      <c r="F391" s="28">
        <v>3471</v>
      </c>
      <c r="G391" s="29"/>
    </row>
    <row r="392" spans="1:7" ht="15.75">
      <c r="A392" s="27" t="s">
        <v>992</v>
      </c>
      <c r="B392" s="28">
        <v>0</v>
      </c>
      <c r="C392" s="28">
        <v>106</v>
      </c>
      <c r="D392" s="28">
        <v>109</v>
      </c>
      <c r="E392" s="28">
        <v>12</v>
      </c>
      <c r="F392" s="28">
        <v>1305</v>
      </c>
      <c r="G392" s="29"/>
    </row>
    <row r="393" spans="1:7" ht="15.75">
      <c r="A393" s="27" t="s">
        <v>404</v>
      </c>
      <c r="B393" s="28">
        <v>0</v>
      </c>
      <c r="C393" s="28">
        <v>16</v>
      </c>
      <c r="D393" s="28">
        <v>12</v>
      </c>
      <c r="E393" s="28">
        <v>12</v>
      </c>
      <c r="F393" s="28">
        <v>148</v>
      </c>
      <c r="G393" s="29"/>
    </row>
    <row r="394" spans="1:7" ht="15.75">
      <c r="A394" s="27" t="s">
        <v>993</v>
      </c>
      <c r="B394" s="28">
        <v>0</v>
      </c>
      <c r="C394" s="28">
        <v>14</v>
      </c>
      <c r="D394" s="28">
        <v>19</v>
      </c>
      <c r="E394" s="28">
        <v>12</v>
      </c>
      <c r="F394" s="28">
        <v>223</v>
      </c>
      <c r="G394" s="29"/>
    </row>
    <row r="395" spans="1:7" ht="15.75">
      <c r="A395" s="27" t="s">
        <v>260</v>
      </c>
      <c r="B395" s="28">
        <v>0</v>
      </c>
      <c r="C395" s="28">
        <v>68</v>
      </c>
      <c r="D395" s="28">
        <v>65</v>
      </c>
      <c r="E395" s="28">
        <v>12</v>
      </c>
      <c r="F395" s="28">
        <v>783</v>
      </c>
      <c r="G395" s="29"/>
    </row>
    <row r="396" spans="1:7" ht="15.75">
      <c r="A396" s="27" t="s">
        <v>994</v>
      </c>
      <c r="B396" s="28">
        <v>0</v>
      </c>
      <c r="C396" s="28">
        <v>28</v>
      </c>
      <c r="D396" s="28">
        <v>33</v>
      </c>
      <c r="E396" s="28">
        <v>12</v>
      </c>
      <c r="F396" s="28">
        <v>391</v>
      </c>
      <c r="G396" s="29"/>
    </row>
    <row r="397" spans="1:7" ht="15.75">
      <c r="A397" s="27" t="s">
        <v>995</v>
      </c>
      <c r="B397" s="28">
        <v>0</v>
      </c>
      <c r="C397" s="28">
        <v>92</v>
      </c>
      <c r="D397" s="28">
        <v>95</v>
      </c>
      <c r="E397" s="28">
        <v>12</v>
      </c>
      <c r="F397" s="28">
        <v>1137</v>
      </c>
      <c r="G397" s="29"/>
    </row>
    <row r="398" spans="1:7" ht="15.75">
      <c r="A398" s="27" t="s">
        <v>996</v>
      </c>
      <c r="B398" s="28">
        <v>0</v>
      </c>
      <c r="C398" s="28">
        <v>110</v>
      </c>
      <c r="D398" s="28">
        <v>112</v>
      </c>
      <c r="E398" s="28">
        <v>12</v>
      </c>
      <c r="F398" s="28">
        <v>1342</v>
      </c>
      <c r="G398" s="29"/>
    </row>
    <row r="399" spans="1:7" ht="15.75">
      <c r="A399" s="27" t="s">
        <v>365</v>
      </c>
      <c r="B399" s="28">
        <v>0</v>
      </c>
      <c r="C399" s="28">
        <v>130</v>
      </c>
      <c r="D399" s="28">
        <v>134</v>
      </c>
      <c r="E399" s="28">
        <v>12</v>
      </c>
      <c r="F399" s="28">
        <v>1604</v>
      </c>
      <c r="G399" s="29"/>
    </row>
    <row r="400" spans="1:7" ht="15.75">
      <c r="A400" s="27" t="s">
        <v>997</v>
      </c>
      <c r="B400" s="28">
        <v>0</v>
      </c>
      <c r="C400" s="28">
        <v>72</v>
      </c>
      <c r="D400" s="28">
        <v>68</v>
      </c>
      <c r="E400" s="28">
        <v>12</v>
      </c>
      <c r="F400" s="28">
        <v>820</v>
      </c>
      <c r="G400" s="29"/>
    </row>
    <row r="401" spans="1:7" ht="15.75">
      <c r="A401" s="27" t="s">
        <v>400</v>
      </c>
      <c r="B401" s="28">
        <v>0</v>
      </c>
      <c r="C401" s="28">
        <v>278</v>
      </c>
      <c r="D401" s="28">
        <v>275</v>
      </c>
      <c r="E401" s="28">
        <v>12</v>
      </c>
      <c r="F401" s="28">
        <v>3303</v>
      </c>
      <c r="G401" s="29"/>
    </row>
    <row r="402" spans="1:7" ht="15.75">
      <c r="A402" s="27" t="s">
        <v>998</v>
      </c>
      <c r="B402" s="28">
        <v>0</v>
      </c>
      <c r="C402" s="28">
        <v>270</v>
      </c>
      <c r="D402" s="28">
        <v>269</v>
      </c>
      <c r="E402" s="28">
        <v>12</v>
      </c>
      <c r="F402" s="28">
        <v>3229</v>
      </c>
      <c r="G402" s="29"/>
    </row>
    <row r="403" spans="1:7" ht="15.75">
      <c r="A403" s="27" t="s">
        <v>999</v>
      </c>
      <c r="B403" s="28">
        <v>0</v>
      </c>
      <c r="C403" s="28">
        <v>408</v>
      </c>
      <c r="D403" s="28">
        <v>404</v>
      </c>
      <c r="E403" s="28">
        <v>12</v>
      </c>
      <c r="F403" s="28">
        <v>4852</v>
      </c>
      <c r="G403" s="29"/>
    </row>
    <row r="404" spans="1:7" ht="15.75">
      <c r="A404" s="27" t="s">
        <v>1000</v>
      </c>
      <c r="B404" s="28">
        <v>0</v>
      </c>
      <c r="C404" s="28">
        <v>376</v>
      </c>
      <c r="D404" s="28">
        <v>373</v>
      </c>
      <c r="E404" s="28">
        <v>12</v>
      </c>
      <c r="F404" s="28">
        <v>4479</v>
      </c>
      <c r="G404" s="29"/>
    </row>
    <row r="405" spans="1:7" ht="15.75">
      <c r="A405" s="27" t="s">
        <v>1001</v>
      </c>
      <c r="B405" s="28">
        <v>0</v>
      </c>
      <c r="C405" s="28">
        <v>532</v>
      </c>
      <c r="D405" s="28">
        <v>537</v>
      </c>
      <c r="E405" s="28">
        <v>12</v>
      </c>
      <c r="F405" s="28">
        <v>6439</v>
      </c>
      <c r="G405" s="29"/>
    </row>
    <row r="406" spans="1:7" ht="15.75">
      <c r="A406" s="27" t="s">
        <v>1002</v>
      </c>
      <c r="B406" s="28">
        <v>0</v>
      </c>
      <c r="C406" s="28">
        <v>558</v>
      </c>
      <c r="D406" s="28">
        <v>560</v>
      </c>
      <c r="E406" s="28">
        <v>12</v>
      </c>
      <c r="F406" s="28">
        <v>6718</v>
      </c>
      <c r="G406" s="29"/>
    </row>
    <row r="407" spans="1:7" ht="15.75">
      <c r="A407" s="27" t="s">
        <v>1003</v>
      </c>
      <c r="B407" s="28">
        <v>0</v>
      </c>
      <c r="C407" s="28">
        <v>558</v>
      </c>
      <c r="D407" s="28">
        <v>560</v>
      </c>
      <c r="E407" s="28">
        <v>12</v>
      </c>
      <c r="F407" s="28">
        <v>6718</v>
      </c>
      <c r="G407" s="29"/>
    </row>
    <row r="408" spans="1:7" ht="15.75">
      <c r="A408" s="27" t="s">
        <v>518</v>
      </c>
      <c r="B408" s="28">
        <v>0</v>
      </c>
      <c r="C408" s="28">
        <v>88</v>
      </c>
      <c r="D408" s="28">
        <v>87</v>
      </c>
      <c r="E408" s="28">
        <v>12</v>
      </c>
      <c r="F408" s="28">
        <v>1045</v>
      </c>
      <c r="G408" s="29"/>
    </row>
    <row r="409" spans="1:7" ht="15.75">
      <c r="A409" s="27" t="s">
        <v>193</v>
      </c>
      <c r="B409" s="28">
        <v>0</v>
      </c>
      <c r="C409" s="28">
        <v>558</v>
      </c>
      <c r="D409" s="28">
        <v>560</v>
      </c>
      <c r="E409" s="28">
        <v>12</v>
      </c>
      <c r="F409" s="28">
        <v>6718</v>
      </c>
      <c r="G409" s="29"/>
    </row>
    <row r="410" spans="1:7" ht="15.75">
      <c r="A410" s="27" t="s">
        <v>196</v>
      </c>
      <c r="B410" s="28">
        <v>0</v>
      </c>
      <c r="C410" s="28">
        <v>680</v>
      </c>
      <c r="D410" s="28">
        <v>678</v>
      </c>
      <c r="E410" s="28">
        <v>12</v>
      </c>
      <c r="F410" s="28">
        <v>8138</v>
      </c>
      <c r="G410" s="29"/>
    </row>
    <row r="411" spans="1:7" ht="15.75">
      <c r="A411" s="27" t="s">
        <v>209</v>
      </c>
      <c r="B411" s="28">
        <v>0</v>
      </c>
      <c r="C411" s="28">
        <v>756</v>
      </c>
      <c r="D411" s="28">
        <v>761</v>
      </c>
      <c r="E411" s="28">
        <v>12</v>
      </c>
      <c r="F411" s="28">
        <v>9127</v>
      </c>
      <c r="G411" s="29"/>
    </row>
    <row r="412" spans="1:7" ht="15.75">
      <c r="A412" s="27" t="s">
        <v>1004</v>
      </c>
      <c r="B412" s="28">
        <v>0</v>
      </c>
      <c r="C412" s="28">
        <v>130</v>
      </c>
      <c r="D412" s="28">
        <v>129</v>
      </c>
      <c r="E412" s="28">
        <v>12</v>
      </c>
      <c r="F412" s="28">
        <v>1549</v>
      </c>
      <c r="G412" s="29"/>
    </row>
    <row r="413" spans="1:7" ht="15.75">
      <c r="A413" s="27" t="s">
        <v>447</v>
      </c>
      <c r="B413" s="28">
        <v>0</v>
      </c>
      <c r="C413" s="28">
        <v>58</v>
      </c>
      <c r="D413" s="28">
        <v>54</v>
      </c>
      <c r="E413" s="28">
        <v>12</v>
      </c>
      <c r="F413" s="28">
        <v>652</v>
      </c>
      <c r="G413" s="29"/>
    </row>
    <row r="414" spans="1:7" ht="15.75">
      <c r="A414" s="27" t="s">
        <v>1005</v>
      </c>
      <c r="B414" s="28">
        <v>0</v>
      </c>
      <c r="C414" s="28">
        <v>36</v>
      </c>
      <c r="D414" s="28">
        <v>39</v>
      </c>
      <c r="E414" s="28">
        <v>12</v>
      </c>
      <c r="F414" s="28">
        <v>465</v>
      </c>
      <c r="G414" s="29"/>
    </row>
    <row r="415" spans="1:7" ht="15.75">
      <c r="A415" s="27" t="s">
        <v>183</v>
      </c>
      <c r="B415" s="28">
        <v>0</v>
      </c>
      <c r="C415" s="28">
        <v>34</v>
      </c>
      <c r="D415" s="28">
        <v>29</v>
      </c>
      <c r="E415" s="28">
        <v>12</v>
      </c>
      <c r="F415" s="28">
        <v>353</v>
      </c>
      <c r="G415" s="29"/>
    </row>
    <row r="416" spans="1:7" ht="15.75">
      <c r="A416" s="27" t="s">
        <v>328</v>
      </c>
      <c r="B416" s="28">
        <v>0</v>
      </c>
      <c r="C416" s="28">
        <v>90</v>
      </c>
      <c r="D416" s="28">
        <v>85</v>
      </c>
      <c r="E416" s="28">
        <v>12</v>
      </c>
      <c r="F416" s="28">
        <v>1025</v>
      </c>
      <c r="G416" s="29"/>
    </row>
    <row r="417" spans="1:7" ht="15.75">
      <c r="A417" s="27" t="s">
        <v>1006</v>
      </c>
      <c r="B417" s="28">
        <v>0</v>
      </c>
      <c r="C417" s="28">
        <v>210</v>
      </c>
      <c r="D417" s="28">
        <v>215</v>
      </c>
      <c r="E417" s="28">
        <v>12</v>
      </c>
      <c r="F417" s="28">
        <v>2575</v>
      </c>
      <c r="G417" s="29"/>
    </row>
    <row r="418" spans="1:7" ht="15.75">
      <c r="A418" s="27" t="s">
        <v>1007</v>
      </c>
      <c r="B418" s="28">
        <v>0</v>
      </c>
      <c r="C418" s="28">
        <v>274</v>
      </c>
      <c r="D418" s="28">
        <v>272</v>
      </c>
      <c r="E418" s="28">
        <v>12</v>
      </c>
      <c r="F418" s="28">
        <v>3266</v>
      </c>
      <c r="G418" s="29"/>
    </row>
    <row r="419" spans="1:7" ht="15.75">
      <c r="A419" s="27" t="s">
        <v>1008</v>
      </c>
      <c r="B419" s="28">
        <v>0</v>
      </c>
      <c r="C419" s="28">
        <v>464</v>
      </c>
      <c r="D419" s="28">
        <v>460</v>
      </c>
      <c r="E419" s="28">
        <v>12</v>
      </c>
      <c r="F419" s="28">
        <v>5524</v>
      </c>
      <c r="G419" s="29"/>
    </row>
    <row r="420" spans="1:7" ht="15.75">
      <c r="A420" s="27" t="s">
        <v>1009</v>
      </c>
      <c r="B420" s="28">
        <v>0</v>
      </c>
      <c r="C420" s="28">
        <v>314</v>
      </c>
      <c r="D420" s="28">
        <v>309</v>
      </c>
      <c r="E420" s="28">
        <v>12</v>
      </c>
      <c r="F420" s="28">
        <v>3713</v>
      </c>
      <c r="G420" s="29"/>
    </row>
    <row r="421" spans="1:7" ht="15.75">
      <c r="A421" s="27" t="s">
        <v>1010</v>
      </c>
      <c r="B421" s="28">
        <v>0</v>
      </c>
      <c r="C421" s="28">
        <v>440</v>
      </c>
      <c r="D421" s="28">
        <v>435</v>
      </c>
      <c r="E421" s="28">
        <v>12</v>
      </c>
      <c r="F421" s="28">
        <v>5225</v>
      </c>
      <c r="G421" s="29"/>
    </row>
    <row r="422" spans="1:7" ht="15.75">
      <c r="A422" s="27" t="s">
        <v>1011</v>
      </c>
      <c r="B422" s="28">
        <v>0</v>
      </c>
      <c r="C422" s="28">
        <v>424</v>
      </c>
      <c r="D422" s="28">
        <v>428</v>
      </c>
      <c r="E422" s="28">
        <v>12</v>
      </c>
      <c r="F422" s="28">
        <v>5132</v>
      </c>
      <c r="G422" s="29"/>
    </row>
    <row r="423" spans="1:7" ht="15.75">
      <c r="A423" s="27" t="s">
        <v>1012</v>
      </c>
      <c r="B423" s="28">
        <v>0</v>
      </c>
      <c r="C423" s="28">
        <v>260</v>
      </c>
      <c r="D423" s="28">
        <v>263</v>
      </c>
      <c r="E423" s="28">
        <v>12</v>
      </c>
      <c r="F423" s="28">
        <v>3153</v>
      </c>
      <c r="G423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423"/>
  <sheetViews>
    <sheetView workbookViewId="0"/>
  </sheetViews>
  <sheetFormatPr baseColWidth="10" defaultColWidth="14.42578125" defaultRowHeight="15" customHeight="1"/>
  <sheetData>
    <row r="1" spans="1:11" ht="15" customHeight="1">
      <c r="A1" s="46"/>
      <c r="B1" s="46"/>
      <c r="C1" s="47"/>
      <c r="D1" s="76" t="s">
        <v>14</v>
      </c>
      <c r="E1" s="72"/>
      <c r="F1" s="72"/>
      <c r="G1" s="72"/>
      <c r="H1" s="72"/>
      <c r="I1" s="72"/>
      <c r="J1" s="72"/>
      <c r="K1" s="72"/>
    </row>
    <row r="2" spans="1:11" ht="15" customHeight="1">
      <c r="A2" s="35" t="s">
        <v>32</v>
      </c>
      <c r="B2" s="36" t="s">
        <v>35</v>
      </c>
      <c r="C2" s="36" t="s">
        <v>37</v>
      </c>
      <c r="D2" s="37" t="s">
        <v>797</v>
      </c>
      <c r="E2" s="37" t="s">
        <v>798</v>
      </c>
      <c r="F2" s="37" t="s">
        <v>799</v>
      </c>
      <c r="G2" s="37" t="s">
        <v>42</v>
      </c>
      <c r="H2" s="37">
        <v>104.9</v>
      </c>
      <c r="I2" s="37">
        <v>129.9</v>
      </c>
      <c r="J2" s="37">
        <v>199.9</v>
      </c>
      <c r="K2" s="48" t="s">
        <v>44</v>
      </c>
    </row>
    <row r="3" spans="1:11" ht="15.75">
      <c r="A3" s="39" t="s">
        <v>45</v>
      </c>
      <c r="B3" s="39" t="s">
        <v>48</v>
      </c>
      <c r="C3" s="12" t="s">
        <v>50</v>
      </c>
      <c r="D3" s="39">
        <v>309.60000000000002</v>
      </c>
      <c r="E3" s="39">
        <v>309.60000000000002</v>
      </c>
      <c r="F3" s="39">
        <v>309.60000000000002</v>
      </c>
      <c r="G3" s="39">
        <v>309.60000000000002</v>
      </c>
      <c r="H3" s="39">
        <v>309.60000000000002</v>
      </c>
      <c r="I3" s="39">
        <v>309.60000000000002</v>
      </c>
      <c r="J3" s="39">
        <v>309.60000000000002</v>
      </c>
      <c r="K3" s="39">
        <v>309.60000000000002</v>
      </c>
    </row>
    <row r="4" spans="1:11" ht="15.75">
      <c r="A4" s="49" t="s">
        <v>66</v>
      </c>
      <c r="B4" s="49" t="s">
        <v>48</v>
      </c>
      <c r="C4" s="50" t="s">
        <v>576</v>
      </c>
      <c r="D4" s="39">
        <v>179.1</v>
      </c>
      <c r="E4" s="39">
        <v>179.1</v>
      </c>
      <c r="F4" s="39">
        <v>179.1</v>
      </c>
      <c r="G4" s="39">
        <v>179.1</v>
      </c>
      <c r="H4" s="39">
        <v>179.1</v>
      </c>
      <c r="I4" s="39">
        <v>179.1</v>
      </c>
      <c r="J4" s="39">
        <v>179.1</v>
      </c>
      <c r="K4" s="39">
        <v>179.1</v>
      </c>
    </row>
    <row r="5" spans="1:11" ht="15.75">
      <c r="A5" s="49" t="s">
        <v>66</v>
      </c>
      <c r="B5" s="49" t="s">
        <v>48</v>
      </c>
      <c r="C5" s="50" t="s">
        <v>551</v>
      </c>
      <c r="D5" s="39">
        <v>209.7</v>
      </c>
      <c r="E5" s="39">
        <v>209.7</v>
      </c>
      <c r="F5" s="39">
        <v>209.7</v>
      </c>
      <c r="G5" s="39">
        <v>209.7</v>
      </c>
      <c r="H5" s="39">
        <v>209.7</v>
      </c>
      <c r="I5" s="39">
        <v>209.7</v>
      </c>
      <c r="J5" s="39">
        <v>209.7</v>
      </c>
      <c r="K5" s="39">
        <v>209.7</v>
      </c>
    </row>
    <row r="6" spans="1:11" ht="15.75">
      <c r="A6" s="49" t="s">
        <v>66</v>
      </c>
      <c r="B6" s="49" t="s">
        <v>48</v>
      </c>
      <c r="C6" s="50" t="s">
        <v>498</v>
      </c>
      <c r="D6" s="39">
        <v>259.2</v>
      </c>
      <c r="E6" s="39">
        <v>259.2</v>
      </c>
      <c r="F6" s="39">
        <v>259.2</v>
      </c>
      <c r="G6" s="39">
        <v>259.2</v>
      </c>
      <c r="H6" s="39">
        <v>259.2</v>
      </c>
      <c r="I6" s="39">
        <v>259.2</v>
      </c>
      <c r="J6" s="39">
        <v>259.2</v>
      </c>
      <c r="K6" s="39">
        <v>259.2</v>
      </c>
    </row>
    <row r="7" spans="1:11" ht="15.75">
      <c r="A7" s="49" t="s">
        <v>66</v>
      </c>
      <c r="B7" s="49" t="s">
        <v>48</v>
      </c>
      <c r="C7" s="50" t="s">
        <v>70</v>
      </c>
      <c r="D7" s="39">
        <v>339.3</v>
      </c>
      <c r="E7" s="39">
        <v>339.3</v>
      </c>
      <c r="F7" s="39">
        <v>339.3</v>
      </c>
      <c r="G7" s="39">
        <v>339.3</v>
      </c>
      <c r="H7" s="39">
        <v>339.3</v>
      </c>
      <c r="I7" s="39">
        <v>339.3</v>
      </c>
      <c r="J7" s="39">
        <v>339.3</v>
      </c>
      <c r="K7" s="39">
        <v>339.3</v>
      </c>
    </row>
    <row r="8" spans="1:11" ht="15.75">
      <c r="A8" s="49" t="s">
        <v>83</v>
      </c>
      <c r="B8" s="49" t="s">
        <v>48</v>
      </c>
      <c r="C8" s="50" t="s">
        <v>153</v>
      </c>
      <c r="D8" s="39">
        <v>749.7</v>
      </c>
      <c r="E8" s="39">
        <v>749.7</v>
      </c>
      <c r="F8" s="39">
        <v>749.7</v>
      </c>
      <c r="G8" s="39">
        <v>749.7</v>
      </c>
      <c r="H8" s="39">
        <v>749.7</v>
      </c>
      <c r="I8" s="39">
        <v>749.7</v>
      </c>
      <c r="J8" s="39">
        <v>749.7</v>
      </c>
      <c r="K8" s="39">
        <v>749.7</v>
      </c>
    </row>
    <row r="9" spans="1:11" ht="15.75">
      <c r="A9" s="49" t="s">
        <v>66</v>
      </c>
      <c r="B9" s="49" t="s">
        <v>48</v>
      </c>
      <c r="C9" s="50" t="s">
        <v>553</v>
      </c>
      <c r="D9" s="39">
        <v>189</v>
      </c>
      <c r="E9" s="39">
        <v>189</v>
      </c>
      <c r="F9" s="39">
        <v>189</v>
      </c>
      <c r="G9" s="39">
        <v>189</v>
      </c>
      <c r="H9" s="39">
        <v>189</v>
      </c>
      <c r="I9" s="39">
        <v>189</v>
      </c>
      <c r="J9" s="39">
        <v>189</v>
      </c>
      <c r="K9" s="39">
        <v>189</v>
      </c>
    </row>
    <row r="10" spans="1:11" ht="15.75">
      <c r="A10" s="49" t="s">
        <v>45</v>
      </c>
      <c r="B10" s="49" t="s">
        <v>48</v>
      </c>
      <c r="C10" s="50" t="s">
        <v>77</v>
      </c>
      <c r="D10" s="39">
        <v>829.8</v>
      </c>
      <c r="E10" s="39">
        <v>829.8</v>
      </c>
      <c r="F10" s="39">
        <v>829.8</v>
      </c>
      <c r="G10" s="39">
        <v>829.8</v>
      </c>
      <c r="H10" s="39">
        <v>829.8</v>
      </c>
      <c r="I10" s="39">
        <v>829.8</v>
      </c>
      <c r="J10" s="39">
        <v>829.8</v>
      </c>
      <c r="K10" s="39">
        <v>829.8</v>
      </c>
    </row>
    <row r="11" spans="1:11" ht="15.75">
      <c r="A11" s="49" t="s">
        <v>45</v>
      </c>
      <c r="B11" s="49" t="s">
        <v>48</v>
      </c>
      <c r="C11" s="50" t="s">
        <v>78</v>
      </c>
      <c r="D11" s="39">
        <v>409.5</v>
      </c>
      <c r="E11" s="39">
        <v>409.5</v>
      </c>
      <c r="F11" s="39">
        <v>409.5</v>
      </c>
      <c r="G11" s="39">
        <v>409.5</v>
      </c>
      <c r="H11" s="39">
        <v>409.5</v>
      </c>
      <c r="I11" s="39">
        <v>409.5</v>
      </c>
      <c r="J11" s="39">
        <v>409.5</v>
      </c>
      <c r="K11" s="39">
        <v>409.5</v>
      </c>
    </row>
    <row r="12" spans="1:11" ht="15.75">
      <c r="A12" s="49" t="s">
        <v>83</v>
      </c>
      <c r="B12" s="49" t="s">
        <v>48</v>
      </c>
      <c r="C12" s="50" t="s">
        <v>86</v>
      </c>
      <c r="D12" s="39">
        <v>899.1</v>
      </c>
      <c r="E12" s="39">
        <v>899.1</v>
      </c>
      <c r="F12" s="39">
        <v>899.1</v>
      </c>
      <c r="G12" s="39">
        <v>899.1</v>
      </c>
      <c r="H12" s="39">
        <v>899.1</v>
      </c>
      <c r="I12" s="39">
        <v>899.1</v>
      </c>
      <c r="J12" s="39">
        <v>899.1</v>
      </c>
      <c r="K12" s="39">
        <v>899.1</v>
      </c>
    </row>
    <row r="13" spans="1:11" ht="15.75">
      <c r="A13" s="49" t="s">
        <v>91</v>
      </c>
      <c r="B13" s="49" t="s">
        <v>48</v>
      </c>
      <c r="C13" s="50" t="s">
        <v>93</v>
      </c>
      <c r="D13" s="39">
        <v>1179</v>
      </c>
      <c r="E13" s="39">
        <v>1179</v>
      </c>
      <c r="F13" s="39">
        <v>1179</v>
      </c>
      <c r="G13" s="39">
        <v>1179</v>
      </c>
      <c r="H13" s="39">
        <v>1179</v>
      </c>
      <c r="I13" s="39">
        <v>1179</v>
      </c>
      <c r="J13" s="39">
        <v>1179</v>
      </c>
      <c r="K13" s="39">
        <v>1179</v>
      </c>
    </row>
    <row r="14" spans="1:11" ht="15.75">
      <c r="A14" s="49" t="s">
        <v>91</v>
      </c>
      <c r="B14" s="49" t="s">
        <v>48</v>
      </c>
      <c r="C14" s="50" t="s">
        <v>449</v>
      </c>
      <c r="D14" s="39">
        <v>1499.4</v>
      </c>
      <c r="E14" s="39">
        <v>1499.4</v>
      </c>
      <c r="F14" s="39">
        <v>1499.4</v>
      </c>
      <c r="G14" s="39">
        <v>1499.4</v>
      </c>
      <c r="H14" s="39">
        <v>1499.4</v>
      </c>
      <c r="I14" s="39">
        <v>1499.4</v>
      </c>
      <c r="J14" s="39">
        <v>1499.4</v>
      </c>
      <c r="K14" s="39">
        <v>1499.4</v>
      </c>
    </row>
    <row r="15" spans="1:11" ht="15.75">
      <c r="A15" s="49" t="s">
        <v>45</v>
      </c>
      <c r="B15" s="49" t="s">
        <v>48</v>
      </c>
      <c r="C15" s="50" t="s">
        <v>189</v>
      </c>
      <c r="D15" s="39">
        <v>249.3</v>
      </c>
      <c r="E15" s="39">
        <v>249.3</v>
      </c>
      <c r="F15" s="39">
        <v>249.3</v>
      </c>
      <c r="G15" s="39">
        <v>249.3</v>
      </c>
      <c r="H15" s="39">
        <v>249.3</v>
      </c>
      <c r="I15" s="39">
        <v>249.3</v>
      </c>
      <c r="J15" s="39">
        <v>249.3</v>
      </c>
      <c r="K15" s="39">
        <v>249.3</v>
      </c>
    </row>
    <row r="16" spans="1:11" ht="15.75">
      <c r="A16" s="49" t="s">
        <v>45</v>
      </c>
      <c r="B16" s="49" t="s">
        <v>48</v>
      </c>
      <c r="C16" s="50" t="s">
        <v>95</v>
      </c>
      <c r="D16" s="39">
        <v>249.3</v>
      </c>
      <c r="E16" s="39">
        <v>249.3</v>
      </c>
      <c r="F16" s="39">
        <v>249.3</v>
      </c>
      <c r="G16" s="39">
        <v>249.3</v>
      </c>
      <c r="H16" s="39">
        <v>249.3</v>
      </c>
      <c r="I16" s="39">
        <v>249.3</v>
      </c>
      <c r="J16" s="39">
        <v>249.3</v>
      </c>
      <c r="K16" s="39">
        <v>249.3</v>
      </c>
    </row>
    <row r="17" spans="1:11" ht="15.75">
      <c r="A17" s="49" t="s">
        <v>45</v>
      </c>
      <c r="B17" s="49" t="s">
        <v>48</v>
      </c>
      <c r="C17" s="50" t="s">
        <v>148</v>
      </c>
      <c r="D17" s="39">
        <v>599.4</v>
      </c>
      <c r="E17" s="39">
        <v>599.4</v>
      </c>
      <c r="F17" s="39">
        <v>599.4</v>
      </c>
      <c r="G17" s="39">
        <v>599.4</v>
      </c>
      <c r="H17" s="39">
        <v>599.4</v>
      </c>
      <c r="I17" s="39">
        <v>599.4</v>
      </c>
      <c r="J17" s="39">
        <v>599.4</v>
      </c>
      <c r="K17" s="39">
        <v>599.4</v>
      </c>
    </row>
    <row r="18" spans="1:11" ht="15.75">
      <c r="A18" s="49" t="s">
        <v>66</v>
      </c>
      <c r="B18" s="49" t="s">
        <v>48</v>
      </c>
      <c r="C18" s="50" t="s">
        <v>312</v>
      </c>
      <c r="D18" s="39">
        <v>189</v>
      </c>
      <c r="E18" s="39">
        <v>189</v>
      </c>
      <c r="F18" s="39">
        <v>189</v>
      </c>
      <c r="G18" s="39">
        <v>189</v>
      </c>
      <c r="H18" s="39">
        <v>189</v>
      </c>
      <c r="I18" s="39">
        <v>189</v>
      </c>
      <c r="J18" s="39">
        <v>189</v>
      </c>
      <c r="K18" s="39">
        <v>189</v>
      </c>
    </row>
    <row r="19" spans="1:11" ht="15.75">
      <c r="A19" s="49" t="s">
        <v>45</v>
      </c>
      <c r="B19" s="49" t="s">
        <v>48</v>
      </c>
      <c r="C19" s="50" t="s">
        <v>317</v>
      </c>
      <c r="D19" s="39">
        <v>259.2</v>
      </c>
      <c r="E19" s="39">
        <v>259.2</v>
      </c>
      <c r="F19" s="39">
        <v>259.2</v>
      </c>
      <c r="G19" s="39">
        <v>259.2</v>
      </c>
      <c r="H19" s="39">
        <v>259.2</v>
      </c>
      <c r="I19" s="39">
        <v>259.2</v>
      </c>
      <c r="J19" s="39">
        <v>259.2</v>
      </c>
      <c r="K19" s="39">
        <v>259.2</v>
      </c>
    </row>
    <row r="20" spans="1:11" ht="15.75">
      <c r="A20" s="49" t="s">
        <v>45</v>
      </c>
      <c r="B20" s="49" t="s">
        <v>48</v>
      </c>
      <c r="C20" s="50" t="s">
        <v>171</v>
      </c>
      <c r="D20" s="39">
        <v>439.2</v>
      </c>
      <c r="E20" s="39">
        <v>439.2</v>
      </c>
      <c r="F20" s="39">
        <v>439.2</v>
      </c>
      <c r="G20" s="39">
        <v>439.2</v>
      </c>
      <c r="H20" s="39">
        <v>439.2</v>
      </c>
      <c r="I20" s="39">
        <v>439.2</v>
      </c>
      <c r="J20" s="39">
        <v>439.2</v>
      </c>
      <c r="K20" s="39">
        <v>439.2</v>
      </c>
    </row>
    <row r="21" spans="1:11" ht="15.75">
      <c r="A21" s="49" t="s">
        <v>45</v>
      </c>
      <c r="B21" s="49" t="s">
        <v>48</v>
      </c>
      <c r="C21" s="50" t="s">
        <v>106</v>
      </c>
      <c r="D21" s="39">
        <v>469.8</v>
      </c>
      <c r="E21" s="39">
        <v>469.8</v>
      </c>
      <c r="F21" s="39">
        <v>469.8</v>
      </c>
      <c r="G21" s="39">
        <v>469.8</v>
      </c>
      <c r="H21" s="39">
        <v>469.8</v>
      </c>
      <c r="I21" s="39">
        <v>469.8</v>
      </c>
      <c r="J21" s="39">
        <v>469.8</v>
      </c>
      <c r="K21" s="39">
        <v>469.8</v>
      </c>
    </row>
    <row r="22" spans="1:11" ht="15.75">
      <c r="A22" s="49" t="s">
        <v>45</v>
      </c>
      <c r="B22" s="49" t="s">
        <v>48</v>
      </c>
      <c r="C22" s="50" t="s">
        <v>109</v>
      </c>
      <c r="D22" s="39">
        <v>799.2</v>
      </c>
      <c r="E22" s="39">
        <v>799.2</v>
      </c>
      <c r="F22" s="39">
        <v>799.2</v>
      </c>
      <c r="G22" s="39">
        <v>799.2</v>
      </c>
      <c r="H22" s="39">
        <v>799.2</v>
      </c>
      <c r="I22" s="39">
        <v>799.2</v>
      </c>
      <c r="J22" s="39">
        <v>799.2</v>
      </c>
      <c r="K22" s="39">
        <v>799.2</v>
      </c>
    </row>
    <row r="23" spans="1:11" ht="15.75">
      <c r="A23" s="49" t="s">
        <v>45</v>
      </c>
      <c r="B23" s="49" t="s">
        <v>48</v>
      </c>
      <c r="C23" s="50" t="s">
        <v>112</v>
      </c>
      <c r="D23" s="39">
        <v>309.60000000000002</v>
      </c>
      <c r="E23" s="39">
        <v>309.60000000000002</v>
      </c>
      <c r="F23" s="39">
        <v>309.60000000000002</v>
      </c>
      <c r="G23" s="39">
        <v>309.60000000000002</v>
      </c>
      <c r="H23" s="39">
        <v>309.60000000000002</v>
      </c>
      <c r="I23" s="39">
        <v>309.60000000000002</v>
      </c>
      <c r="J23" s="39">
        <v>309.60000000000002</v>
      </c>
      <c r="K23" s="39">
        <v>309.60000000000002</v>
      </c>
    </row>
    <row r="24" spans="1:11" ht="15.75">
      <c r="A24" s="49" t="s">
        <v>83</v>
      </c>
      <c r="B24" s="49" t="s">
        <v>48</v>
      </c>
      <c r="C24" s="50" t="s">
        <v>233</v>
      </c>
      <c r="D24" s="39">
        <v>249.3</v>
      </c>
      <c r="E24" s="39">
        <v>249.3</v>
      </c>
      <c r="F24" s="39">
        <v>249.3</v>
      </c>
      <c r="G24" s="39">
        <v>249.3</v>
      </c>
      <c r="H24" s="39">
        <v>249.3</v>
      </c>
      <c r="I24" s="39">
        <v>249.3</v>
      </c>
      <c r="J24" s="39">
        <v>249.3</v>
      </c>
      <c r="K24" s="39">
        <v>249.3</v>
      </c>
    </row>
    <row r="25" spans="1:11" ht="15.75">
      <c r="A25" s="49" t="s">
        <v>91</v>
      </c>
      <c r="B25" s="49" t="s">
        <v>48</v>
      </c>
      <c r="C25" s="50" t="s">
        <v>124</v>
      </c>
      <c r="D25" s="39">
        <v>1699.2</v>
      </c>
      <c r="E25" s="39">
        <v>1699.2</v>
      </c>
      <c r="F25" s="39">
        <v>1699.2</v>
      </c>
      <c r="G25" s="39">
        <v>1699.2</v>
      </c>
      <c r="H25" s="39">
        <v>1699.2</v>
      </c>
      <c r="I25" s="39">
        <v>1699.2</v>
      </c>
      <c r="J25" s="39">
        <v>1699.2</v>
      </c>
      <c r="K25" s="39">
        <v>1699.2</v>
      </c>
    </row>
    <row r="26" spans="1:11" ht="15.75">
      <c r="A26" s="49" t="s">
        <v>83</v>
      </c>
      <c r="B26" s="49" t="s">
        <v>48</v>
      </c>
      <c r="C26" s="50" t="s">
        <v>126</v>
      </c>
      <c r="D26" s="39">
        <v>959.4</v>
      </c>
      <c r="E26" s="39">
        <v>959.4</v>
      </c>
      <c r="F26" s="39">
        <v>959.4</v>
      </c>
      <c r="G26" s="39">
        <v>959.4</v>
      </c>
      <c r="H26" s="39">
        <v>959.4</v>
      </c>
      <c r="I26" s="39">
        <v>959.4</v>
      </c>
      <c r="J26" s="39">
        <v>959.4</v>
      </c>
      <c r="K26" s="39">
        <v>959.4</v>
      </c>
    </row>
    <row r="27" spans="1:11" ht="15.75">
      <c r="A27" s="49" t="s">
        <v>83</v>
      </c>
      <c r="B27" s="49" t="s">
        <v>48</v>
      </c>
      <c r="C27" s="50" t="s">
        <v>135</v>
      </c>
      <c r="D27" s="39">
        <v>999</v>
      </c>
      <c r="E27" s="39">
        <v>999</v>
      </c>
      <c r="F27" s="39">
        <v>999</v>
      </c>
      <c r="G27" s="39">
        <v>999</v>
      </c>
      <c r="H27" s="39">
        <v>999</v>
      </c>
      <c r="I27" s="39">
        <v>999</v>
      </c>
      <c r="J27" s="39">
        <v>999</v>
      </c>
      <c r="K27" s="39">
        <v>999</v>
      </c>
    </row>
    <row r="28" spans="1:11" ht="15.75">
      <c r="A28" s="49" t="s">
        <v>83</v>
      </c>
      <c r="B28" s="49" t="s">
        <v>48</v>
      </c>
      <c r="C28" s="50" t="s">
        <v>182</v>
      </c>
      <c r="D28" s="39">
        <v>409.5</v>
      </c>
      <c r="E28" s="39">
        <v>409.5</v>
      </c>
      <c r="F28" s="39">
        <v>409.5</v>
      </c>
      <c r="G28" s="39">
        <v>409.5</v>
      </c>
      <c r="H28" s="39">
        <v>409.5</v>
      </c>
      <c r="I28" s="39">
        <v>409.5</v>
      </c>
      <c r="J28" s="39">
        <v>409.5</v>
      </c>
      <c r="K28" s="39">
        <v>409.5</v>
      </c>
    </row>
    <row r="29" spans="1:11" ht="15.75">
      <c r="A29" s="49" t="s">
        <v>83</v>
      </c>
      <c r="B29" s="49" t="s">
        <v>48</v>
      </c>
      <c r="C29" s="50" t="s">
        <v>165</v>
      </c>
      <c r="D29" s="39">
        <v>499.5</v>
      </c>
      <c r="E29" s="39">
        <v>499.5</v>
      </c>
      <c r="F29" s="39">
        <v>499.5</v>
      </c>
      <c r="G29" s="39">
        <v>499.5</v>
      </c>
      <c r="H29" s="39">
        <v>499.5</v>
      </c>
      <c r="I29" s="39">
        <v>499.5</v>
      </c>
      <c r="J29" s="39">
        <v>499.5</v>
      </c>
      <c r="K29" s="39">
        <v>499.5</v>
      </c>
    </row>
    <row r="30" spans="1:11" ht="15.75">
      <c r="A30" s="49" t="s">
        <v>83</v>
      </c>
      <c r="B30" s="49" t="s">
        <v>48</v>
      </c>
      <c r="C30" s="50" t="s">
        <v>427</v>
      </c>
      <c r="D30" s="39">
        <v>1899</v>
      </c>
      <c r="E30" s="39">
        <v>1899</v>
      </c>
      <c r="F30" s="39">
        <v>1899</v>
      </c>
      <c r="G30" s="39">
        <v>1899</v>
      </c>
      <c r="H30" s="39">
        <v>1899</v>
      </c>
      <c r="I30" s="39">
        <v>1899</v>
      </c>
      <c r="J30" s="39">
        <v>1899</v>
      </c>
      <c r="K30" s="39">
        <v>1899</v>
      </c>
    </row>
    <row r="31" spans="1:11" ht="15.75">
      <c r="A31" s="49" t="s">
        <v>45</v>
      </c>
      <c r="B31" s="49" t="s">
        <v>48</v>
      </c>
      <c r="C31" s="50" t="s">
        <v>138</v>
      </c>
      <c r="D31" s="39">
        <v>739.8</v>
      </c>
      <c r="E31" s="39">
        <v>739.8</v>
      </c>
      <c r="F31" s="39">
        <v>739.8</v>
      </c>
      <c r="G31" s="39">
        <v>739.8</v>
      </c>
      <c r="H31" s="39">
        <v>739.8</v>
      </c>
      <c r="I31" s="39">
        <v>739.8</v>
      </c>
      <c r="J31" s="39">
        <v>739.8</v>
      </c>
      <c r="K31" s="39">
        <v>739.8</v>
      </c>
    </row>
    <row r="32" spans="1:11" ht="15.75">
      <c r="A32" s="49" t="s">
        <v>83</v>
      </c>
      <c r="B32" s="49" t="s">
        <v>48</v>
      </c>
      <c r="C32" s="50" t="s">
        <v>169</v>
      </c>
      <c r="D32" s="39">
        <v>879.3</v>
      </c>
      <c r="E32" s="39">
        <v>879.3</v>
      </c>
      <c r="F32" s="39">
        <v>879.3</v>
      </c>
      <c r="G32" s="39">
        <v>879.3</v>
      </c>
      <c r="H32" s="39">
        <v>879.3</v>
      </c>
      <c r="I32" s="39">
        <v>879.3</v>
      </c>
      <c r="J32" s="39">
        <v>879.3</v>
      </c>
      <c r="K32" s="39">
        <v>879.3</v>
      </c>
    </row>
    <row r="33" spans="1:11" ht="15.75">
      <c r="A33" s="49" t="s">
        <v>91</v>
      </c>
      <c r="B33" s="49" t="s">
        <v>48</v>
      </c>
      <c r="C33" s="50" t="s">
        <v>195</v>
      </c>
      <c r="D33" s="39">
        <v>799.2</v>
      </c>
      <c r="E33" s="39">
        <v>799.2</v>
      </c>
      <c r="F33" s="39">
        <v>799.2</v>
      </c>
      <c r="G33" s="39">
        <v>799.2</v>
      </c>
      <c r="H33" s="39">
        <v>799.2</v>
      </c>
      <c r="I33" s="39">
        <v>799.2</v>
      </c>
      <c r="J33" s="39">
        <v>799.2</v>
      </c>
      <c r="K33" s="39">
        <v>799.2</v>
      </c>
    </row>
    <row r="34" spans="1:11" ht="15.75">
      <c r="A34" s="49" t="s">
        <v>45</v>
      </c>
      <c r="B34" s="49" t="s">
        <v>48</v>
      </c>
      <c r="C34" s="50" t="s">
        <v>275</v>
      </c>
      <c r="D34" s="39">
        <v>339.3</v>
      </c>
      <c r="E34" s="39">
        <v>339.3</v>
      </c>
      <c r="F34" s="39">
        <v>339.3</v>
      </c>
      <c r="G34" s="39">
        <v>339.3</v>
      </c>
      <c r="H34" s="39">
        <v>339.3</v>
      </c>
      <c r="I34" s="39">
        <v>339.3</v>
      </c>
      <c r="J34" s="39">
        <v>339.3</v>
      </c>
      <c r="K34" s="39">
        <v>339.3</v>
      </c>
    </row>
    <row r="35" spans="1:11" ht="15.75">
      <c r="A35" s="49" t="s">
        <v>91</v>
      </c>
      <c r="B35" s="49" t="s">
        <v>48</v>
      </c>
      <c r="C35" s="50" t="s">
        <v>175</v>
      </c>
      <c r="D35" s="39">
        <v>2999.7</v>
      </c>
      <c r="E35" s="39">
        <v>2999.7</v>
      </c>
      <c r="F35" s="39">
        <v>2999.7</v>
      </c>
      <c r="G35" s="39">
        <v>2999.7</v>
      </c>
      <c r="H35" s="39">
        <v>2999.7</v>
      </c>
      <c r="I35" s="39">
        <v>2999.7</v>
      </c>
      <c r="J35" s="39">
        <v>2999.7</v>
      </c>
      <c r="K35" s="39">
        <v>2999.7</v>
      </c>
    </row>
    <row r="36" spans="1:11" ht="15.75">
      <c r="A36" s="49" t="s">
        <v>66</v>
      </c>
      <c r="B36" s="49" t="s">
        <v>48</v>
      </c>
      <c r="C36" s="50" t="s">
        <v>554</v>
      </c>
      <c r="D36" s="39">
        <v>149.4</v>
      </c>
      <c r="E36" s="39">
        <v>149.4</v>
      </c>
      <c r="F36" s="39">
        <v>149.4</v>
      </c>
      <c r="G36" s="39">
        <v>149.4</v>
      </c>
      <c r="H36" s="39">
        <v>149.4</v>
      </c>
      <c r="I36" s="39">
        <v>149.4</v>
      </c>
      <c r="J36" s="39">
        <v>149.4</v>
      </c>
      <c r="K36" s="39">
        <v>149.4</v>
      </c>
    </row>
    <row r="37" spans="1:11" ht="15.75">
      <c r="A37" s="49" t="s">
        <v>83</v>
      </c>
      <c r="B37" s="49" t="s">
        <v>48</v>
      </c>
      <c r="C37" s="50" t="s">
        <v>250</v>
      </c>
      <c r="D37" s="39">
        <v>669.6</v>
      </c>
      <c r="E37" s="39">
        <v>669.6</v>
      </c>
      <c r="F37" s="39">
        <v>669.6</v>
      </c>
      <c r="G37" s="39">
        <v>669.6</v>
      </c>
      <c r="H37" s="39">
        <v>669.6</v>
      </c>
      <c r="I37" s="39">
        <v>669.6</v>
      </c>
      <c r="J37" s="39">
        <v>669.6</v>
      </c>
      <c r="K37" s="39">
        <v>669.6</v>
      </c>
    </row>
    <row r="38" spans="1:11" ht="15.75">
      <c r="A38" s="49" t="s">
        <v>91</v>
      </c>
      <c r="B38" s="49" t="s">
        <v>48</v>
      </c>
      <c r="C38" s="50" t="s">
        <v>279</v>
      </c>
      <c r="D38" s="39">
        <v>3999.6</v>
      </c>
      <c r="E38" s="39">
        <v>3999.6</v>
      </c>
      <c r="F38" s="39">
        <v>3999.6</v>
      </c>
      <c r="G38" s="39">
        <v>3999.6</v>
      </c>
      <c r="H38" s="39">
        <v>3999.6</v>
      </c>
      <c r="I38" s="39">
        <v>3999.6</v>
      </c>
      <c r="J38" s="39">
        <v>3999.6</v>
      </c>
      <c r="K38" s="39">
        <v>3999.6</v>
      </c>
    </row>
    <row r="39" spans="1:11" ht="15.75">
      <c r="A39" s="49" t="s">
        <v>66</v>
      </c>
      <c r="B39" s="49" t="s">
        <v>48</v>
      </c>
      <c r="C39" s="50" t="s">
        <v>236</v>
      </c>
      <c r="D39" s="39">
        <v>89.1</v>
      </c>
      <c r="E39" s="39">
        <v>89.1</v>
      </c>
      <c r="F39" s="39">
        <v>89.1</v>
      </c>
      <c r="G39" s="39">
        <v>89.1</v>
      </c>
      <c r="H39" s="39">
        <v>89.1</v>
      </c>
      <c r="I39" s="39">
        <v>89.1</v>
      </c>
      <c r="J39" s="39">
        <v>89.1</v>
      </c>
      <c r="K39" s="39">
        <v>89.1</v>
      </c>
    </row>
    <row r="40" spans="1:11" ht="15.75">
      <c r="A40" s="49" t="s">
        <v>211</v>
      </c>
      <c r="B40" s="49" t="s">
        <v>48</v>
      </c>
      <c r="C40" s="50" t="s">
        <v>320</v>
      </c>
      <c r="D40" s="39">
        <v>159.30000000000001</v>
      </c>
      <c r="E40" s="39">
        <v>159.30000000000001</v>
      </c>
      <c r="F40" s="39">
        <v>159.30000000000001</v>
      </c>
      <c r="G40" s="39">
        <v>159.30000000000001</v>
      </c>
      <c r="H40" s="39">
        <v>159.30000000000001</v>
      </c>
      <c r="I40" s="39">
        <v>159.30000000000001</v>
      </c>
      <c r="J40" s="39">
        <v>159.30000000000001</v>
      </c>
      <c r="K40" s="39">
        <v>159.30000000000001</v>
      </c>
    </row>
    <row r="41" spans="1:11" ht="15.75">
      <c r="A41" s="49" t="s">
        <v>45</v>
      </c>
      <c r="B41" s="49" t="s">
        <v>48</v>
      </c>
      <c r="C41" s="50" t="s">
        <v>331</v>
      </c>
      <c r="D41" s="39">
        <v>399.6</v>
      </c>
      <c r="E41" s="39">
        <v>399.6</v>
      </c>
      <c r="F41" s="39">
        <v>399.6</v>
      </c>
      <c r="G41" s="39">
        <v>399.6</v>
      </c>
      <c r="H41" s="39">
        <v>399.6</v>
      </c>
      <c r="I41" s="39">
        <v>399.6</v>
      </c>
      <c r="J41" s="39">
        <v>399.6</v>
      </c>
      <c r="K41" s="39">
        <v>399.6</v>
      </c>
    </row>
    <row r="42" spans="1:11" ht="15.75">
      <c r="A42" s="49" t="s">
        <v>91</v>
      </c>
      <c r="B42" s="49" t="s">
        <v>48</v>
      </c>
      <c r="C42" s="50" t="s">
        <v>376</v>
      </c>
      <c r="D42" s="39">
        <v>1599.3</v>
      </c>
      <c r="E42" s="39">
        <v>1599.3</v>
      </c>
      <c r="F42" s="39">
        <v>1599.3</v>
      </c>
      <c r="G42" s="39">
        <v>1599.3</v>
      </c>
      <c r="H42" s="39">
        <v>1599.3</v>
      </c>
      <c r="I42" s="39">
        <v>1599.3</v>
      </c>
      <c r="J42" s="39">
        <v>1599.3</v>
      </c>
      <c r="K42" s="39">
        <v>1599.3</v>
      </c>
    </row>
    <row r="43" spans="1:11" ht="15.75">
      <c r="A43" s="49" t="s">
        <v>91</v>
      </c>
      <c r="B43" s="49" t="s">
        <v>48</v>
      </c>
      <c r="C43" s="50" t="s">
        <v>387</v>
      </c>
      <c r="D43" s="39">
        <v>1699.2</v>
      </c>
      <c r="E43" s="39">
        <v>1699.2</v>
      </c>
      <c r="F43" s="39">
        <v>1699.2</v>
      </c>
      <c r="G43" s="39">
        <v>1699.2</v>
      </c>
      <c r="H43" s="39">
        <v>1699.2</v>
      </c>
      <c r="I43" s="39">
        <v>1699.2</v>
      </c>
      <c r="J43" s="39">
        <v>1699.2</v>
      </c>
      <c r="K43" s="39">
        <v>1699.2</v>
      </c>
    </row>
    <row r="44" spans="1:11" ht="15.75">
      <c r="A44" s="49" t="s">
        <v>83</v>
      </c>
      <c r="B44" s="49" t="s">
        <v>48</v>
      </c>
      <c r="C44" s="50" t="s">
        <v>334</v>
      </c>
      <c r="D44" s="39">
        <v>699.3</v>
      </c>
      <c r="E44" s="39">
        <v>699.3</v>
      </c>
      <c r="F44" s="39">
        <v>699.3</v>
      </c>
      <c r="G44" s="39">
        <v>699.3</v>
      </c>
      <c r="H44" s="39">
        <v>699.3</v>
      </c>
      <c r="I44" s="39">
        <v>699.3</v>
      </c>
      <c r="J44" s="39">
        <v>699.3</v>
      </c>
      <c r="K44" s="39">
        <v>699.3</v>
      </c>
    </row>
    <row r="45" spans="1:11" ht="15.75">
      <c r="A45" s="49" t="s">
        <v>45</v>
      </c>
      <c r="B45" s="49" t="s">
        <v>48</v>
      </c>
      <c r="C45" s="50" t="s">
        <v>393</v>
      </c>
      <c r="D45" s="39">
        <v>459</v>
      </c>
      <c r="E45" s="39">
        <v>459</v>
      </c>
      <c r="F45" s="39">
        <v>459</v>
      </c>
      <c r="G45" s="39">
        <v>459</v>
      </c>
      <c r="H45" s="39">
        <v>459</v>
      </c>
      <c r="I45" s="39">
        <v>459</v>
      </c>
      <c r="J45" s="39">
        <v>459</v>
      </c>
      <c r="K45" s="39">
        <v>459</v>
      </c>
    </row>
    <row r="46" spans="1:11" ht="15.75">
      <c r="A46" s="49" t="s">
        <v>66</v>
      </c>
      <c r="B46" s="49" t="s">
        <v>48</v>
      </c>
      <c r="C46" s="50" t="s">
        <v>181</v>
      </c>
      <c r="D46" s="39">
        <v>219.6</v>
      </c>
      <c r="E46" s="39">
        <v>219.6</v>
      </c>
      <c r="F46" s="39">
        <v>219.6</v>
      </c>
      <c r="G46" s="39">
        <v>219.6</v>
      </c>
      <c r="H46" s="39">
        <v>219.6</v>
      </c>
      <c r="I46" s="39">
        <v>219.6</v>
      </c>
      <c r="J46" s="39">
        <v>219.6</v>
      </c>
      <c r="K46" s="39">
        <v>219.6</v>
      </c>
    </row>
    <row r="47" spans="1:11" ht="15.75">
      <c r="A47" s="49" t="s">
        <v>83</v>
      </c>
      <c r="B47" s="49" t="s">
        <v>48</v>
      </c>
      <c r="C47" s="50" t="s">
        <v>402</v>
      </c>
      <c r="D47" s="39">
        <v>449.1</v>
      </c>
      <c r="E47" s="39">
        <v>449.1</v>
      </c>
      <c r="F47" s="39">
        <v>449.1</v>
      </c>
      <c r="G47" s="39">
        <v>449.1</v>
      </c>
      <c r="H47" s="39">
        <v>449.1</v>
      </c>
      <c r="I47" s="39">
        <v>449.1</v>
      </c>
      <c r="J47" s="39">
        <v>449.1</v>
      </c>
      <c r="K47" s="39">
        <v>449.1</v>
      </c>
    </row>
    <row r="48" spans="1:11" ht="15.75">
      <c r="A48" s="49" t="s">
        <v>45</v>
      </c>
      <c r="B48" s="49" t="s">
        <v>48</v>
      </c>
      <c r="C48" s="50" t="s">
        <v>206</v>
      </c>
      <c r="D48" s="39">
        <v>189</v>
      </c>
      <c r="E48" s="39">
        <v>189</v>
      </c>
      <c r="F48" s="39">
        <v>189</v>
      </c>
      <c r="G48" s="39">
        <v>189</v>
      </c>
      <c r="H48" s="39">
        <v>189</v>
      </c>
      <c r="I48" s="39">
        <v>189</v>
      </c>
      <c r="J48" s="39">
        <v>189</v>
      </c>
      <c r="K48" s="39">
        <v>189</v>
      </c>
    </row>
    <row r="49" spans="1:11" ht="15.75">
      <c r="A49" s="49" t="s">
        <v>211</v>
      </c>
      <c r="B49" s="49" t="s">
        <v>48</v>
      </c>
      <c r="C49" s="50" t="s">
        <v>212</v>
      </c>
      <c r="D49" s="39">
        <v>199.8</v>
      </c>
      <c r="E49" s="39">
        <v>199.8</v>
      </c>
      <c r="F49" s="39">
        <v>199.8</v>
      </c>
      <c r="G49" s="39">
        <v>199.8</v>
      </c>
      <c r="H49" s="39">
        <v>199.8</v>
      </c>
      <c r="I49" s="39">
        <v>199.8</v>
      </c>
      <c r="J49" s="39">
        <v>199.8</v>
      </c>
      <c r="K49" s="39">
        <v>199.8</v>
      </c>
    </row>
    <row r="50" spans="1:11" ht="15.75">
      <c r="A50" s="49" t="s">
        <v>83</v>
      </c>
      <c r="B50" s="49" t="s">
        <v>48</v>
      </c>
      <c r="C50" s="50" t="s">
        <v>409</v>
      </c>
      <c r="D50" s="39">
        <v>489.6</v>
      </c>
      <c r="E50" s="39">
        <v>489.6</v>
      </c>
      <c r="F50" s="39">
        <v>489.6</v>
      </c>
      <c r="G50" s="39">
        <v>489.6</v>
      </c>
      <c r="H50" s="39">
        <v>489.6</v>
      </c>
      <c r="I50" s="39">
        <v>489.6</v>
      </c>
      <c r="J50" s="39">
        <v>489.6</v>
      </c>
      <c r="K50" s="39">
        <v>489.6</v>
      </c>
    </row>
    <row r="51" spans="1:11" ht="15.75">
      <c r="A51" s="49" t="s">
        <v>83</v>
      </c>
      <c r="B51" s="49" t="s">
        <v>48</v>
      </c>
      <c r="C51" s="50" t="s">
        <v>406</v>
      </c>
      <c r="D51" s="39">
        <v>499.5</v>
      </c>
      <c r="E51" s="39">
        <v>499.5</v>
      </c>
      <c r="F51" s="39">
        <v>499.5</v>
      </c>
      <c r="G51" s="39">
        <v>499.5</v>
      </c>
      <c r="H51" s="39">
        <v>499.5</v>
      </c>
      <c r="I51" s="39">
        <v>499.5</v>
      </c>
      <c r="J51" s="39">
        <v>499.5</v>
      </c>
      <c r="K51" s="39">
        <v>499.5</v>
      </c>
    </row>
    <row r="52" spans="1:11" ht="15.75">
      <c r="A52" s="49" t="s">
        <v>45</v>
      </c>
      <c r="B52" s="49" t="s">
        <v>48</v>
      </c>
      <c r="C52" s="50" t="s">
        <v>257</v>
      </c>
      <c r="D52" s="39">
        <v>329.4</v>
      </c>
      <c r="E52" s="39">
        <v>329.4</v>
      </c>
      <c r="F52" s="39">
        <v>329.4</v>
      </c>
      <c r="G52" s="39">
        <v>329.4</v>
      </c>
      <c r="H52" s="39">
        <v>329.4</v>
      </c>
      <c r="I52" s="39">
        <v>329.4</v>
      </c>
      <c r="J52" s="39">
        <v>329.4</v>
      </c>
      <c r="K52" s="39">
        <v>329.4</v>
      </c>
    </row>
    <row r="53" spans="1:11" ht="15.75">
      <c r="A53" s="49" t="s">
        <v>45</v>
      </c>
      <c r="B53" s="49" t="s">
        <v>48</v>
      </c>
      <c r="C53" s="50" t="s">
        <v>141</v>
      </c>
      <c r="D53" s="39">
        <v>309.60000000000002</v>
      </c>
      <c r="E53" s="39">
        <v>309.60000000000002</v>
      </c>
      <c r="F53" s="39">
        <v>309.60000000000002</v>
      </c>
      <c r="G53" s="39">
        <v>309.60000000000002</v>
      </c>
      <c r="H53" s="39">
        <v>309.60000000000002</v>
      </c>
      <c r="I53" s="39">
        <v>309.60000000000002</v>
      </c>
      <c r="J53" s="39">
        <v>309.60000000000002</v>
      </c>
      <c r="K53" s="39">
        <v>309.60000000000002</v>
      </c>
    </row>
    <row r="54" spans="1:11" ht="15.75">
      <c r="A54" s="49" t="s">
        <v>91</v>
      </c>
      <c r="B54" s="49" t="s">
        <v>48</v>
      </c>
      <c r="C54" s="50" t="s">
        <v>214</v>
      </c>
      <c r="D54" s="39">
        <v>1279.8</v>
      </c>
      <c r="E54" s="39">
        <v>1279.8</v>
      </c>
      <c r="F54" s="39">
        <v>1279.8</v>
      </c>
      <c r="G54" s="39">
        <v>1279.8</v>
      </c>
      <c r="H54" s="39">
        <v>1279.8</v>
      </c>
      <c r="I54" s="39">
        <v>1279.8</v>
      </c>
      <c r="J54" s="39">
        <v>1279.8</v>
      </c>
      <c r="K54" s="39">
        <v>1279.8</v>
      </c>
    </row>
    <row r="55" spans="1:11" ht="15.75">
      <c r="A55" s="49" t="s">
        <v>45</v>
      </c>
      <c r="B55" s="49" t="s">
        <v>48</v>
      </c>
      <c r="C55" s="50" t="s">
        <v>413</v>
      </c>
      <c r="D55" s="39">
        <v>249.3</v>
      </c>
      <c r="E55" s="39">
        <v>249.3</v>
      </c>
      <c r="F55" s="39">
        <v>249.3</v>
      </c>
      <c r="G55" s="39">
        <v>249.3</v>
      </c>
      <c r="H55" s="39">
        <v>249.3</v>
      </c>
      <c r="I55" s="39">
        <v>249.3</v>
      </c>
      <c r="J55" s="39">
        <v>249.3</v>
      </c>
      <c r="K55" s="39">
        <v>249.3</v>
      </c>
    </row>
    <row r="56" spans="1:11" ht="15.75">
      <c r="A56" s="49" t="s">
        <v>45</v>
      </c>
      <c r="B56" s="49" t="s">
        <v>48</v>
      </c>
      <c r="C56" s="50" t="s">
        <v>578</v>
      </c>
      <c r="D56" s="39">
        <v>469.8</v>
      </c>
      <c r="E56" s="39">
        <v>469.8</v>
      </c>
      <c r="F56" s="39">
        <v>469.8</v>
      </c>
      <c r="G56" s="39">
        <v>469.8</v>
      </c>
      <c r="H56" s="39">
        <v>469.8</v>
      </c>
      <c r="I56" s="39">
        <v>469.8</v>
      </c>
      <c r="J56" s="39">
        <v>469.8</v>
      </c>
      <c r="K56" s="39">
        <v>469.8</v>
      </c>
    </row>
    <row r="57" spans="1:11" ht="15.75">
      <c r="A57" s="49" t="s">
        <v>45</v>
      </c>
      <c r="B57" s="49" t="s">
        <v>48</v>
      </c>
      <c r="C57" s="50" t="s">
        <v>514</v>
      </c>
      <c r="D57" s="39">
        <v>229.5</v>
      </c>
      <c r="E57" s="39">
        <v>229.5</v>
      </c>
      <c r="F57" s="39">
        <v>229.5</v>
      </c>
      <c r="G57" s="39">
        <v>229.5</v>
      </c>
      <c r="H57" s="39">
        <v>229.5</v>
      </c>
      <c r="I57" s="39">
        <v>229.5</v>
      </c>
      <c r="J57" s="39">
        <v>229.5</v>
      </c>
      <c r="K57" s="39">
        <v>229.5</v>
      </c>
    </row>
    <row r="58" spans="1:11" ht="15.75">
      <c r="A58" s="49" t="s">
        <v>45</v>
      </c>
      <c r="B58" s="49" t="s">
        <v>48</v>
      </c>
      <c r="C58" s="50" t="s">
        <v>520</v>
      </c>
      <c r="D58" s="39">
        <v>299.7</v>
      </c>
      <c r="E58" s="39">
        <v>299.7</v>
      </c>
      <c r="F58" s="39">
        <v>299.7</v>
      </c>
      <c r="G58" s="39">
        <v>299.7</v>
      </c>
      <c r="H58" s="39">
        <v>299.7</v>
      </c>
      <c r="I58" s="39">
        <v>299.7</v>
      </c>
      <c r="J58" s="39">
        <v>299.7</v>
      </c>
      <c r="K58" s="39">
        <v>299.7</v>
      </c>
    </row>
    <row r="59" spans="1:11" ht="15.75">
      <c r="A59" s="49" t="s">
        <v>45</v>
      </c>
      <c r="B59" s="49" t="s">
        <v>48</v>
      </c>
      <c r="C59" s="50" t="s">
        <v>262</v>
      </c>
      <c r="D59" s="39">
        <v>419.4</v>
      </c>
      <c r="E59" s="39">
        <v>419.4</v>
      </c>
      <c r="F59" s="39">
        <v>419.4</v>
      </c>
      <c r="G59" s="39">
        <v>419.4</v>
      </c>
      <c r="H59" s="39">
        <v>419.4</v>
      </c>
      <c r="I59" s="39">
        <v>419.4</v>
      </c>
      <c r="J59" s="39">
        <v>419.4</v>
      </c>
      <c r="K59" s="39">
        <v>419.4</v>
      </c>
    </row>
    <row r="60" spans="1:11" ht="15.75">
      <c r="A60" s="49" t="s">
        <v>83</v>
      </c>
      <c r="B60" s="49" t="s">
        <v>48</v>
      </c>
      <c r="C60" s="50" t="s">
        <v>457</v>
      </c>
      <c r="D60" s="39">
        <v>639</v>
      </c>
      <c r="E60" s="39">
        <v>639</v>
      </c>
      <c r="F60" s="39">
        <v>639</v>
      </c>
      <c r="G60" s="39">
        <v>639</v>
      </c>
      <c r="H60" s="39">
        <v>639</v>
      </c>
      <c r="I60" s="39">
        <v>639</v>
      </c>
      <c r="J60" s="39">
        <v>639</v>
      </c>
      <c r="K60" s="39">
        <v>639</v>
      </c>
    </row>
    <row r="61" spans="1:11" ht="15.75">
      <c r="A61" s="49" t="s">
        <v>45</v>
      </c>
      <c r="B61" s="49" t="s">
        <v>48</v>
      </c>
      <c r="C61" s="50" t="s">
        <v>460</v>
      </c>
      <c r="D61" s="39">
        <v>249.3</v>
      </c>
      <c r="E61" s="39">
        <v>249.3</v>
      </c>
      <c r="F61" s="39">
        <v>249.3</v>
      </c>
      <c r="G61" s="39">
        <v>249.3</v>
      </c>
      <c r="H61" s="39">
        <v>249.3</v>
      </c>
      <c r="I61" s="39">
        <v>249.3</v>
      </c>
      <c r="J61" s="39">
        <v>249.3</v>
      </c>
      <c r="K61" s="39">
        <v>249.3</v>
      </c>
    </row>
    <row r="62" spans="1:11" ht="15.75">
      <c r="A62" s="49" t="s">
        <v>45</v>
      </c>
      <c r="B62" s="49" t="s">
        <v>48</v>
      </c>
      <c r="C62" s="50" t="s">
        <v>432</v>
      </c>
      <c r="D62" s="39">
        <v>419.4</v>
      </c>
      <c r="E62" s="39">
        <v>419.4</v>
      </c>
      <c r="F62" s="39">
        <v>419.4</v>
      </c>
      <c r="G62" s="39">
        <v>419.4</v>
      </c>
      <c r="H62" s="39">
        <v>419.4</v>
      </c>
      <c r="I62" s="39">
        <v>419.4</v>
      </c>
      <c r="J62" s="39">
        <v>419.4</v>
      </c>
      <c r="K62" s="39">
        <v>419.4</v>
      </c>
    </row>
    <row r="63" spans="1:11" ht="15.75">
      <c r="A63" s="49" t="s">
        <v>91</v>
      </c>
      <c r="B63" s="49" t="s">
        <v>48</v>
      </c>
      <c r="C63" s="50" t="s">
        <v>309</v>
      </c>
      <c r="D63" s="39">
        <v>969.3</v>
      </c>
      <c r="E63" s="39">
        <v>969.3</v>
      </c>
      <c r="F63" s="39">
        <v>969.3</v>
      </c>
      <c r="G63" s="39">
        <v>969.3</v>
      </c>
      <c r="H63" s="39">
        <v>969.3</v>
      </c>
      <c r="I63" s="39">
        <v>969.3</v>
      </c>
      <c r="J63" s="39">
        <v>969.3</v>
      </c>
      <c r="K63" s="39">
        <v>969.3</v>
      </c>
    </row>
    <row r="64" spans="1:11" ht="15.75">
      <c r="A64" s="49" t="s">
        <v>91</v>
      </c>
      <c r="B64" s="49" t="s">
        <v>48</v>
      </c>
      <c r="C64" s="50" t="s">
        <v>597</v>
      </c>
      <c r="D64" s="39">
        <v>699.3</v>
      </c>
      <c r="E64" s="39">
        <v>699.3</v>
      </c>
      <c r="F64" s="39">
        <v>699.3</v>
      </c>
      <c r="G64" s="39">
        <v>699.3</v>
      </c>
      <c r="H64" s="39">
        <v>699.3</v>
      </c>
      <c r="I64" s="39">
        <v>699.3</v>
      </c>
      <c r="J64" s="39">
        <v>699.3</v>
      </c>
      <c r="K64" s="39">
        <v>699.3</v>
      </c>
    </row>
    <row r="65" spans="1:11" ht="15.75">
      <c r="A65" s="49" t="s">
        <v>91</v>
      </c>
      <c r="B65" s="49" t="s">
        <v>48</v>
      </c>
      <c r="C65" s="50" t="s">
        <v>338</v>
      </c>
      <c r="D65" s="39">
        <v>3499.2</v>
      </c>
      <c r="E65" s="39">
        <v>3499.2</v>
      </c>
      <c r="F65" s="39">
        <v>3499.2</v>
      </c>
      <c r="G65" s="39">
        <v>3499.2</v>
      </c>
      <c r="H65" s="39">
        <v>3499.2</v>
      </c>
      <c r="I65" s="39">
        <v>3499.2</v>
      </c>
      <c r="J65" s="39">
        <v>3499.2</v>
      </c>
      <c r="K65" s="39">
        <v>3499.2</v>
      </c>
    </row>
    <row r="66" spans="1:11" ht="15.75">
      <c r="A66" s="49" t="s">
        <v>91</v>
      </c>
      <c r="B66" s="49" t="s">
        <v>48</v>
      </c>
      <c r="C66" s="50" t="s">
        <v>294</v>
      </c>
      <c r="D66" s="39">
        <v>4689</v>
      </c>
      <c r="E66" s="39">
        <v>4689</v>
      </c>
      <c r="F66" s="39">
        <v>4689</v>
      </c>
      <c r="G66" s="39">
        <v>4689</v>
      </c>
      <c r="H66" s="39">
        <v>4689</v>
      </c>
      <c r="I66" s="39">
        <v>4689</v>
      </c>
      <c r="J66" s="39">
        <v>4689</v>
      </c>
      <c r="K66" s="39">
        <v>4689</v>
      </c>
    </row>
    <row r="67" spans="1:11" ht="15.75">
      <c r="A67" s="49" t="s">
        <v>91</v>
      </c>
      <c r="B67" s="49" t="s">
        <v>48</v>
      </c>
      <c r="C67" s="50" t="s">
        <v>217</v>
      </c>
      <c r="D67" s="39">
        <v>4379.3999999999996</v>
      </c>
      <c r="E67" s="39">
        <v>4379.3999999999996</v>
      </c>
      <c r="F67" s="39">
        <v>4379.3999999999996</v>
      </c>
      <c r="G67" s="39">
        <v>4379.3999999999996</v>
      </c>
      <c r="H67" s="39">
        <v>4379.3999999999996</v>
      </c>
      <c r="I67" s="39">
        <v>4379.3999999999996</v>
      </c>
      <c r="J67" s="39">
        <v>4379.3999999999996</v>
      </c>
      <c r="K67" s="39">
        <v>4379.3999999999996</v>
      </c>
    </row>
    <row r="68" spans="1:11" ht="15.75">
      <c r="A68" s="49" t="s">
        <v>91</v>
      </c>
      <c r="B68" s="49" t="s">
        <v>48</v>
      </c>
      <c r="C68" s="50" t="s">
        <v>526</v>
      </c>
      <c r="D68" s="39">
        <v>3299.4</v>
      </c>
      <c r="E68" s="39">
        <v>3299.4</v>
      </c>
      <c r="F68" s="39">
        <v>3299.4</v>
      </c>
      <c r="G68" s="39">
        <v>3299.4</v>
      </c>
      <c r="H68" s="39">
        <v>3299.4</v>
      </c>
      <c r="I68" s="39">
        <v>3299.4</v>
      </c>
      <c r="J68" s="39">
        <v>3299.4</v>
      </c>
      <c r="K68" s="39">
        <v>3299.4</v>
      </c>
    </row>
    <row r="69" spans="1:11" ht="15.75">
      <c r="A69" s="49" t="s">
        <v>91</v>
      </c>
      <c r="B69" s="49" t="s">
        <v>48</v>
      </c>
      <c r="C69" s="50" t="s">
        <v>364</v>
      </c>
      <c r="D69" s="39">
        <v>5189.3999999999996</v>
      </c>
      <c r="E69" s="39">
        <v>5189.3999999999996</v>
      </c>
      <c r="F69" s="39">
        <v>5189.3999999999996</v>
      </c>
      <c r="G69" s="39">
        <v>5189.3999999999996</v>
      </c>
      <c r="H69" s="39">
        <v>5189.3999999999996</v>
      </c>
      <c r="I69" s="39">
        <v>5189.3999999999996</v>
      </c>
      <c r="J69" s="39">
        <v>5189.3999999999996</v>
      </c>
      <c r="K69" s="39">
        <v>5189.3999999999996</v>
      </c>
    </row>
    <row r="70" spans="1:11" ht="15.75">
      <c r="A70" s="49" t="s">
        <v>91</v>
      </c>
      <c r="B70" s="49" t="s">
        <v>48</v>
      </c>
      <c r="C70" s="50" t="s">
        <v>231</v>
      </c>
      <c r="D70" s="39">
        <v>6979.5</v>
      </c>
      <c r="E70" s="39">
        <v>6979.5</v>
      </c>
      <c r="F70" s="39">
        <v>6979.5</v>
      </c>
      <c r="G70" s="39">
        <v>6979.5</v>
      </c>
      <c r="H70" s="39">
        <v>6979.5</v>
      </c>
      <c r="I70" s="39">
        <v>6979.5</v>
      </c>
      <c r="J70" s="39">
        <v>6979.5</v>
      </c>
      <c r="K70" s="39">
        <v>6979.5</v>
      </c>
    </row>
    <row r="71" spans="1:11" ht="15.75">
      <c r="A71" s="49" t="s">
        <v>91</v>
      </c>
      <c r="B71" s="49" t="s">
        <v>48</v>
      </c>
      <c r="C71" s="50" t="s">
        <v>484</v>
      </c>
      <c r="D71" s="39">
        <v>1499.4</v>
      </c>
      <c r="E71" s="39">
        <v>1499.4</v>
      </c>
      <c r="F71" s="39">
        <v>1499.4</v>
      </c>
      <c r="G71" s="39">
        <v>1499.4</v>
      </c>
      <c r="H71" s="39">
        <v>1499.4</v>
      </c>
      <c r="I71" s="39">
        <v>1499.4</v>
      </c>
      <c r="J71" s="39">
        <v>1499.4</v>
      </c>
      <c r="K71" s="39">
        <v>1499.4</v>
      </c>
    </row>
    <row r="72" spans="1:11" ht="15.75">
      <c r="A72" s="49" t="s">
        <v>91</v>
      </c>
      <c r="B72" s="49" t="s">
        <v>48</v>
      </c>
      <c r="C72" s="50" t="s">
        <v>487</v>
      </c>
      <c r="D72" s="39">
        <v>1869.3</v>
      </c>
      <c r="E72" s="39">
        <v>1869.3</v>
      </c>
      <c r="F72" s="39">
        <v>1869.3</v>
      </c>
      <c r="G72" s="39">
        <v>1869.3</v>
      </c>
      <c r="H72" s="39">
        <v>1869.3</v>
      </c>
      <c r="I72" s="39">
        <v>1869.3</v>
      </c>
      <c r="J72" s="39">
        <v>1869.3</v>
      </c>
      <c r="K72" s="39">
        <v>1869.3</v>
      </c>
    </row>
    <row r="73" spans="1:11" ht="15.75">
      <c r="A73" s="49" t="s">
        <v>91</v>
      </c>
      <c r="B73" s="49" t="s">
        <v>48</v>
      </c>
      <c r="C73" s="50" t="s">
        <v>247</v>
      </c>
      <c r="D73" s="39">
        <v>3599.1</v>
      </c>
      <c r="E73" s="39">
        <v>3599.1</v>
      </c>
      <c r="F73" s="39">
        <v>3599.1</v>
      </c>
      <c r="G73" s="39">
        <v>3599.1</v>
      </c>
      <c r="H73" s="39">
        <v>3599.1</v>
      </c>
      <c r="I73" s="39">
        <v>3599.1</v>
      </c>
      <c r="J73" s="39">
        <v>3599.1</v>
      </c>
      <c r="K73" s="39">
        <v>3599.1</v>
      </c>
    </row>
    <row r="74" spans="1:11" ht="15.75">
      <c r="A74" s="49" t="s">
        <v>45</v>
      </c>
      <c r="B74" s="49" t="s">
        <v>48</v>
      </c>
      <c r="C74" s="50" t="s">
        <v>350</v>
      </c>
      <c r="D74" s="39">
        <v>649.79999999999995</v>
      </c>
      <c r="E74" s="39">
        <v>649.79999999999995</v>
      </c>
      <c r="F74" s="39">
        <v>649.79999999999995</v>
      </c>
      <c r="G74" s="39">
        <v>649.79999999999995</v>
      </c>
      <c r="H74" s="39">
        <v>649.79999999999995</v>
      </c>
      <c r="I74" s="39">
        <v>649.79999999999995</v>
      </c>
      <c r="J74" s="39">
        <v>649.79999999999995</v>
      </c>
      <c r="K74" s="39">
        <v>649.79999999999995</v>
      </c>
    </row>
    <row r="75" spans="1:11" ht="15.75">
      <c r="A75" s="49" t="s">
        <v>91</v>
      </c>
      <c r="B75" s="49" t="s">
        <v>48</v>
      </c>
      <c r="C75" s="50" t="s">
        <v>465</v>
      </c>
      <c r="D75" s="39">
        <v>979.2</v>
      </c>
      <c r="E75" s="39">
        <v>979.2</v>
      </c>
      <c r="F75" s="39">
        <v>979.2</v>
      </c>
      <c r="G75" s="39">
        <v>979.2</v>
      </c>
      <c r="H75" s="39">
        <v>979.2</v>
      </c>
      <c r="I75" s="39">
        <v>979.2</v>
      </c>
      <c r="J75" s="39">
        <v>979.2</v>
      </c>
      <c r="K75" s="39">
        <v>979.2</v>
      </c>
    </row>
    <row r="76" spans="1:11" ht="15.75">
      <c r="A76" s="49" t="s">
        <v>91</v>
      </c>
      <c r="B76" s="49" t="s">
        <v>48</v>
      </c>
      <c r="C76" s="50" t="s">
        <v>439</v>
      </c>
      <c r="D76" s="39">
        <v>1799.1</v>
      </c>
      <c r="E76" s="39">
        <v>1799.1</v>
      </c>
      <c r="F76" s="39">
        <v>1799.1</v>
      </c>
      <c r="G76" s="39">
        <v>1799.1</v>
      </c>
      <c r="H76" s="39">
        <v>1799.1</v>
      </c>
      <c r="I76" s="39">
        <v>1799.1</v>
      </c>
      <c r="J76" s="39">
        <v>1799.1</v>
      </c>
      <c r="K76" s="39">
        <v>1799.1</v>
      </c>
    </row>
    <row r="77" spans="1:11" ht="15.75">
      <c r="A77" s="49" t="s">
        <v>83</v>
      </c>
      <c r="B77" s="49" t="s">
        <v>48</v>
      </c>
      <c r="C77" s="50" t="s">
        <v>417</v>
      </c>
      <c r="D77" s="39">
        <v>909</v>
      </c>
      <c r="E77" s="39">
        <v>909</v>
      </c>
      <c r="F77" s="39">
        <v>909</v>
      </c>
      <c r="G77" s="39">
        <v>909</v>
      </c>
      <c r="H77" s="39">
        <v>909</v>
      </c>
      <c r="I77" s="39">
        <v>909</v>
      </c>
      <c r="J77" s="39">
        <v>909</v>
      </c>
      <c r="K77" s="39">
        <v>909</v>
      </c>
    </row>
    <row r="78" spans="1:11" ht="15.75">
      <c r="A78" s="49" t="s">
        <v>45</v>
      </c>
      <c r="B78" s="49" t="s">
        <v>48</v>
      </c>
      <c r="C78" s="50" t="s">
        <v>298</v>
      </c>
      <c r="D78" s="39">
        <v>299.7</v>
      </c>
      <c r="E78" s="39">
        <v>299.7</v>
      </c>
      <c r="F78" s="39">
        <v>299.7</v>
      </c>
      <c r="G78" s="39">
        <v>299.7</v>
      </c>
      <c r="H78" s="39">
        <v>299.7</v>
      </c>
      <c r="I78" s="39">
        <v>299.7</v>
      </c>
      <c r="J78" s="39">
        <v>299.7</v>
      </c>
      <c r="K78" s="39">
        <v>299.7</v>
      </c>
    </row>
    <row r="79" spans="1:11" ht="15.75">
      <c r="A79" s="49" t="s">
        <v>83</v>
      </c>
      <c r="B79" s="49" t="s">
        <v>48</v>
      </c>
      <c r="C79" s="50" t="s">
        <v>355</v>
      </c>
      <c r="D79" s="39">
        <v>599.4</v>
      </c>
      <c r="E79" s="39">
        <v>599.4</v>
      </c>
      <c r="F79" s="39">
        <v>599.4</v>
      </c>
      <c r="G79" s="39">
        <v>599.4</v>
      </c>
      <c r="H79" s="39">
        <v>599.4</v>
      </c>
      <c r="I79" s="39">
        <v>599.4</v>
      </c>
      <c r="J79" s="39">
        <v>599.4</v>
      </c>
      <c r="K79" s="39">
        <v>599.4</v>
      </c>
    </row>
    <row r="80" spans="1:11" ht="15.75">
      <c r="A80" s="49" t="s">
        <v>91</v>
      </c>
      <c r="B80" s="49" t="s">
        <v>48</v>
      </c>
      <c r="C80" s="50" t="s">
        <v>468</v>
      </c>
      <c r="D80" s="39">
        <v>579.6</v>
      </c>
      <c r="E80" s="39">
        <v>579.6</v>
      </c>
      <c r="F80" s="39">
        <v>579.6</v>
      </c>
      <c r="G80" s="39">
        <v>579.6</v>
      </c>
      <c r="H80" s="39">
        <v>579.6</v>
      </c>
      <c r="I80" s="39">
        <v>579.6</v>
      </c>
      <c r="J80" s="39">
        <v>579.6</v>
      </c>
      <c r="K80" s="39">
        <v>579.6</v>
      </c>
    </row>
    <row r="81" spans="1:11" ht="15.75">
      <c r="A81" s="49" t="s">
        <v>83</v>
      </c>
      <c r="B81" s="49" t="s">
        <v>48</v>
      </c>
      <c r="C81" s="50" t="s">
        <v>579</v>
      </c>
      <c r="D81" s="39">
        <v>569.70000000000005</v>
      </c>
      <c r="E81" s="39">
        <v>569.70000000000005</v>
      </c>
      <c r="F81" s="39">
        <v>569.70000000000005</v>
      </c>
      <c r="G81" s="39">
        <v>569.70000000000005</v>
      </c>
      <c r="H81" s="39">
        <v>569.70000000000005</v>
      </c>
      <c r="I81" s="39">
        <v>569.70000000000005</v>
      </c>
      <c r="J81" s="39">
        <v>569.70000000000005</v>
      </c>
      <c r="K81" s="39">
        <v>569.70000000000005</v>
      </c>
    </row>
    <row r="82" spans="1:11" ht="15.75">
      <c r="A82" s="49" t="s">
        <v>45</v>
      </c>
      <c r="B82" s="49" t="s">
        <v>48</v>
      </c>
      <c r="C82" s="50" t="s">
        <v>476</v>
      </c>
      <c r="D82" s="39">
        <v>399.6</v>
      </c>
      <c r="E82" s="39">
        <v>399.6</v>
      </c>
      <c r="F82" s="39">
        <v>399.6</v>
      </c>
      <c r="G82" s="39">
        <v>399.6</v>
      </c>
      <c r="H82" s="39">
        <v>399.6</v>
      </c>
      <c r="I82" s="39">
        <v>399.6</v>
      </c>
      <c r="J82" s="39">
        <v>399.6</v>
      </c>
      <c r="K82" s="39">
        <v>399.6</v>
      </c>
    </row>
    <row r="83" spans="1:11" ht="15.75">
      <c r="A83" s="49" t="s">
        <v>45</v>
      </c>
      <c r="B83" s="49" t="s">
        <v>48</v>
      </c>
      <c r="C83" s="50" t="s">
        <v>423</v>
      </c>
      <c r="D83" s="39">
        <v>389.7</v>
      </c>
      <c r="E83" s="39">
        <v>389.7</v>
      </c>
      <c r="F83" s="39">
        <v>389.7</v>
      </c>
      <c r="G83" s="39">
        <v>389.7</v>
      </c>
      <c r="H83" s="39">
        <v>389.7</v>
      </c>
      <c r="I83" s="39">
        <v>389.7</v>
      </c>
      <c r="J83" s="39">
        <v>389.7</v>
      </c>
      <c r="K83" s="39">
        <v>389.7</v>
      </c>
    </row>
    <row r="84" spans="1:11" ht="15.75">
      <c r="A84" s="49" t="s">
        <v>66</v>
      </c>
      <c r="B84" s="49" t="s">
        <v>48</v>
      </c>
      <c r="C84" s="50" t="s">
        <v>560</v>
      </c>
      <c r="D84" s="39">
        <v>249.3</v>
      </c>
      <c r="E84" s="39">
        <v>249.3</v>
      </c>
      <c r="F84" s="39">
        <v>249.3</v>
      </c>
      <c r="G84" s="39">
        <v>249.3</v>
      </c>
      <c r="H84" s="39">
        <v>249.3</v>
      </c>
      <c r="I84" s="39">
        <v>249.3</v>
      </c>
      <c r="J84" s="39">
        <v>249.3</v>
      </c>
      <c r="K84" s="39">
        <v>249.3</v>
      </c>
    </row>
    <row r="85" spans="1:11" ht="15.75">
      <c r="A85" s="49" t="s">
        <v>45</v>
      </c>
      <c r="B85" s="49" t="s">
        <v>48</v>
      </c>
      <c r="C85" s="50" t="s">
        <v>495</v>
      </c>
      <c r="D85" s="39">
        <v>329.4</v>
      </c>
      <c r="E85" s="39">
        <v>329.4</v>
      </c>
      <c r="F85" s="39">
        <v>329.4</v>
      </c>
      <c r="G85" s="39">
        <v>329.4</v>
      </c>
      <c r="H85" s="39">
        <v>329.4</v>
      </c>
      <c r="I85" s="39">
        <v>329.4</v>
      </c>
      <c r="J85" s="39">
        <v>329.4</v>
      </c>
      <c r="K85" s="39">
        <v>329.4</v>
      </c>
    </row>
    <row r="86" spans="1:11" ht="15.75">
      <c r="A86" s="49" t="s">
        <v>91</v>
      </c>
      <c r="B86" s="49" t="s">
        <v>48</v>
      </c>
      <c r="C86" s="50" t="s">
        <v>529</v>
      </c>
      <c r="D86" s="39">
        <v>1999.8</v>
      </c>
      <c r="E86" s="39">
        <v>1999.8</v>
      </c>
      <c r="F86" s="39">
        <v>1999.8</v>
      </c>
      <c r="G86" s="39">
        <v>1999.8</v>
      </c>
      <c r="H86" s="39">
        <v>1999.8</v>
      </c>
      <c r="I86" s="39">
        <v>1999.8</v>
      </c>
      <c r="J86" s="39">
        <v>1999.8</v>
      </c>
      <c r="K86" s="39">
        <v>1999.8</v>
      </c>
    </row>
    <row r="87" spans="1:11" ht="15.75">
      <c r="A87" s="49" t="s">
        <v>91</v>
      </c>
      <c r="B87" s="49" t="s">
        <v>48</v>
      </c>
      <c r="C87" s="50" t="s">
        <v>533</v>
      </c>
      <c r="D87" s="39">
        <v>2599.1999999999998</v>
      </c>
      <c r="E87" s="39">
        <v>2599.1999999999998</v>
      </c>
      <c r="F87" s="39">
        <v>2599.1999999999998</v>
      </c>
      <c r="G87" s="39">
        <v>2599.1999999999998</v>
      </c>
      <c r="H87" s="39">
        <v>2599.1999999999998</v>
      </c>
      <c r="I87" s="39">
        <v>2599.1999999999998</v>
      </c>
      <c r="J87" s="39">
        <v>2599.1999999999998</v>
      </c>
      <c r="K87" s="39">
        <v>2599.1999999999998</v>
      </c>
    </row>
    <row r="88" spans="1:11" ht="15.75">
      <c r="A88" s="49" t="s">
        <v>91</v>
      </c>
      <c r="B88" s="49" t="s">
        <v>48</v>
      </c>
      <c r="C88" s="50" t="s">
        <v>601</v>
      </c>
      <c r="D88" s="39">
        <v>3339</v>
      </c>
      <c r="E88" s="39">
        <v>3339</v>
      </c>
      <c r="F88" s="39">
        <v>3339</v>
      </c>
      <c r="G88" s="39">
        <v>3339</v>
      </c>
      <c r="H88" s="39">
        <v>3339</v>
      </c>
      <c r="I88" s="39">
        <v>3339</v>
      </c>
      <c r="J88" s="39">
        <v>3339</v>
      </c>
      <c r="K88" s="39">
        <v>3339</v>
      </c>
    </row>
    <row r="89" spans="1:11" ht="15.75">
      <c r="A89" s="49" t="s">
        <v>45</v>
      </c>
      <c r="B89" s="49" t="s">
        <v>48</v>
      </c>
      <c r="C89" s="50" t="s">
        <v>443</v>
      </c>
      <c r="D89" s="39">
        <v>499.5</v>
      </c>
      <c r="E89" s="39">
        <v>499.5</v>
      </c>
      <c r="F89" s="39">
        <v>499.5</v>
      </c>
      <c r="G89" s="39">
        <v>499.5</v>
      </c>
      <c r="H89" s="39">
        <v>499.5</v>
      </c>
      <c r="I89" s="39">
        <v>499.5</v>
      </c>
      <c r="J89" s="39">
        <v>499.5</v>
      </c>
      <c r="K89" s="39">
        <v>499.5</v>
      </c>
    </row>
    <row r="90" spans="1:11" ht="15.75">
      <c r="A90" s="49" t="s">
        <v>45</v>
      </c>
      <c r="B90" s="49" t="s">
        <v>48</v>
      </c>
      <c r="C90" s="50" t="s">
        <v>580</v>
      </c>
      <c r="D90" s="39">
        <v>409.5</v>
      </c>
      <c r="E90" s="39">
        <v>409.5</v>
      </c>
      <c r="F90" s="39">
        <v>409.5</v>
      </c>
      <c r="G90" s="39">
        <v>409.5</v>
      </c>
      <c r="H90" s="39">
        <v>409.5</v>
      </c>
      <c r="I90" s="39">
        <v>409.5</v>
      </c>
      <c r="J90" s="39">
        <v>409.5</v>
      </c>
      <c r="K90" s="39">
        <v>409.5</v>
      </c>
    </row>
    <row r="91" spans="1:11" ht="15.75">
      <c r="A91" s="49" t="s">
        <v>45</v>
      </c>
      <c r="B91" s="49" t="s">
        <v>48</v>
      </c>
      <c r="C91" s="50" t="s">
        <v>506</v>
      </c>
      <c r="D91" s="39">
        <v>439.2</v>
      </c>
      <c r="E91" s="39">
        <v>439.2</v>
      </c>
      <c r="F91" s="39">
        <v>439.2</v>
      </c>
      <c r="G91" s="39">
        <v>439.2</v>
      </c>
      <c r="H91" s="39">
        <v>439.2</v>
      </c>
      <c r="I91" s="39">
        <v>439.2</v>
      </c>
      <c r="J91" s="39">
        <v>439.2</v>
      </c>
      <c r="K91" s="39">
        <v>439.2</v>
      </c>
    </row>
    <row r="92" spans="1:11" ht="15.75">
      <c r="A92" s="49" t="s">
        <v>66</v>
      </c>
      <c r="B92" s="49" t="s">
        <v>48</v>
      </c>
      <c r="C92" s="50" t="s">
        <v>371</v>
      </c>
      <c r="D92" s="39">
        <v>259.2</v>
      </c>
      <c r="E92" s="39">
        <v>259.2</v>
      </c>
      <c r="F92" s="39">
        <v>259.2</v>
      </c>
      <c r="G92" s="39">
        <v>259.2</v>
      </c>
      <c r="H92" s="39">
        <v>259.2</v>
      </c>
      <c r="I92" s="39">
        <v>259.2</v>
      </c>
      <c r="J92" s="39">
        <v>259.2</v>
      </c>
      <c r="K92" s="39">
        <v>259.2</v>
      </c>
    </row>
    <row r="93" spans="1:11" ht="15.75">
      <c r="A93" s="49" t="s">
        <v>45</v>
      </c>
      <c r="B93" s="49" t="s">
        <v>48</v>
      </c>
      <c r="C93" s="50" t="s">
        <v>581</v>
      </c>
      <c r="D93" s="39">
        <v>279</v>
      </c>
      <c r="E93" s="39">
        <v>279</v>
      </c>
      <c r="F93" s="39">
        <v>279</v>
      </c>
      <c r="G93" s="39">
        <v>279</v>
      </c>
      <c r="H93" s="39">
        <v>279</v>
      </c>
      <c r="I93" s="39">
        <v>279</v>
      </c>
      <c r="J93" s="39">
        <v>279</v>
      </c>
      <c r="K93" s="39">
        <v>279</v>
      </c>
    </row>
    <row r="94" spans="1:11" ht="15.75">
      <c r="A94" s="49" t="s">
        <v>45</v>
      </c>
      <c r="B94" s="49" t="s">
        <v>48</v>
      </c>
      <c r="C94" s="50" t="s">
        <v>586</v>
      </c>
      <c r="D94" s="39">
        <v>549</v>
      </c>
      <c r="E94" s="39">
        <v>549</v>
      </c>
      <c r="F94" s="39">
        <v>549</v>
      </c>
      <c r="G94" s="39">
        <v>549</v>
      </c>
      <c r="H94" s="39">
        <v>549</v>
      </c>
      <c r="I94" s="39">
        <v>549</v>
      </c>
      <c r="J94" s="39">
        <v>549</v>
      </c>
      <c r="K94" s="39">
        <v>549</v>
      </c>
    </row>
    <row r="95" spans="1:11" ht="15.75">
      <c r="A95" s="49" t="s">
        <v>83</v>
      </c>
      <c r="B95" s="49" t="s">
        <v>48</v>
      </c>
      <c r="C95" s="50" t="s">
        <v>602</v>
      </c>
      <c r="D95" s="39">
        <v>739.8</v>
      </c>
      <c r="E95" s="39">
        <v>739.8</v>
      </c>
      <c r="F95" s="39">
        <v>739.8</v>
      </c>
      <c r="G95" s="39">
        <v>739.8</v>
      </c>
      <c r="H95" s="39">
        <v>739.8</v>
      </c>
      <c r="I95" s="39">
        <v>739.8</v>
      </c>
      <c r="J95" s="39">
        <v>739.8</v>
      </c>
      <c r="K95" s="39">
        <v>739.8</v>
      </c>
    </row>
    <row r="96" spans="1:11" ht="15.75">
      <c r="A96" s="49" t="s">
        <v>45</v>
      </c>
      <c r="B96" s="49" t="s">
        <v>48</v>
      </c>
      <c r="C96" s="50" t="s">
        <v>509</v>
      </c>
      <c r="D96" s="39">
        <v>329.4</v>
      </c>
      <c r="E96" s="39">
        <v>329.4</v>
      </c>
      <c r="F96" s="39">
        <v>329.4</v>
      </c>
      <c r="G96" s="39">
        <v>329.4</v>
      </c>
      <c r="H96" s="39">
        <v>329.4</v>
      </c>
      <c r="I96" s="39">
        <v>329.4</v>
      </c>
      <c r="J96" s="39">
        <v>329.4</v>
      </c>
      <c r="K96" s="39">
        <v>329.4</v>
      </c>
    </row>
    <row r="97" spans="1:11" ht="15.75">
      <c r="A97" s="49" t="s">
        <v>91</v>
      </c>
      <c r="B97" s="49" t="s">
        <v>48</v>
      </c>
      <c r="C97" s="50" t="s">
        <v>537</v>
      </c>
      <c r="D97" s="39">
        <v>2999.7</v>
      </c>
      <c r="E97" s="39">
        <v>2999.7</v>
      </c>
      <c r="F97" s="39">
        <v>2999.7</v>
      </c>
      <c r="G97" s="39">
        <v>2999.7</v>
      </c>
      <c r="H97" s="39">
        <v>2999.7</v>
      </c>
      <c r="I97" s="39">
        <v>2999.7</v>
      </c>
      <c r="J97" s="39">
        <v>2999.7</v>
      </c>
      <c r="K97" s="39">
        <v>2999.7</v>
      </c>
    </row>
    <row r="98" spans="1:11" ht="15.75">
      <c r="A98" s="49" t="s">
        <v>91</v>
      </c>
      <c r="B98" s="49" t="s">
        <v>48</v>
      </c>
      <c r="C98" s="50" t="s">
        <v>538</v>
      </c>
      <c r="D98" s="39">
        <v>3299.4</v>
      </c>
      <c r="E98" s="39">
        <v>3299.4</v>
      </c>
      <c r="F98" s="39">
        <v>3299.4</v>
      </c>
      <c r="G98" s="39">
        <v>3299.4</v>
      </c>
      <c r="H98" s="39">
        <v>3299.4</v>
      </c>
      <c r="I98" s="39">
        <v>3299.4</v>
      </c>
      <c r="J98" s="39">
        <v>3299.4</v>
      </c>
      <c r="K98" s="39">
        <v>3299.4</v>
      </c>
    </row>
    <row r="99" spans="1:11" ht="15.75">
      <c r="A99" s="49" t="s">
        <v>91</v>
      </c>
      <c r="B99" s="49" t="s">
        <v>48</v>
      </c>
      <c r="C99" s="50" t="s">
        <v>548</v>
      </c>
      <c r="D99" s="39">
        <v>3789</v>
      </c>
      <c r="E99" s="39">
        <v>3789</v>
      </c>
      <c r="F99" s="39">
        <v>3789</v>
      </c>
      <c r="G99" s="39">
        <v>3789</v>
      </c>
      <c r="H99" s="39">
        <v>3789</v>
      </c>
      <c r="I99" s="39">
        <v>3789</v>
      </c>
      <c r="J99" s="39">
        <v>3789</v>
      </c>
      <c r="K99" s="39">
        <v>3789</v>
      </c>
    </row>
    <row r="100" spans="1:11" ht="15.75">
      <c r="A100" s="49" t="s">
        <v>45</v>
      </c>
      <c r="B100" s="49" t="s">
        <v>48</v>
      </c>
      <c r="C100" s="50" t="s">
        <v>588</v>
      </c>
      <c r="D100" s="39">
        <v>289.8</v>
      </c>
      <c r="E100" s="39">
        <v>289.8</v>
      </c>
      <c r="F100" s="39">
        <v>289.8</v>
      </c>
      <c r="G100" s="39">
        <v>289.8</v>
      </c>
      <c r="H100" s="39">
        <v>289.8</v>
      </c>
      <c r="I100" s="39">
        <v>289.8</v>
      </c>
      <c r="J100" s="39">
        <v>289.8</v>
      </c>
      <c r="K100" s="39">
        <v>289.8</v>
      </c>
    </row>
    <row r="101" spans="1:11" ht="15.75">
      <c r="A101" s="49" t="s">
        <v>45</v>
      </c>
      <c r="B101" s="49" t="s">
        <v>48</v>
      </c>
      <c r="C101" s="50" t="s">
        <v>549</v>
      </c>
      <c r="D101" s="39">
        <v>299.7</v>
      </c>
      <c r="E101" s="39">
        <v>299.7</v>
      </c>
      <c r="F101" s="39">
        <v>299.7</v>
      </c>
      <c r="G101" s="39">
        <v>299.7</v>
      </c>
      <c r="H101" s="39">
        <v>299.7</v>
      </c>
      <c r="I101" s="39">
        <v>299.7</v>
      </c>
      <c r="J101" s="39">
        <v>299.7</v>
      </c>
      <c r="K101" s="39">
        <v>299.7</v>
      </c>
    </row>
    <row r="102" spans="1:11" ht="15.75">
      <c r="A102" s="49" t="s">
        <v>66</v>
      </c>
      <c r="B102" s="49" t="s">
        <v>48</v>
      </c>
      <c r="C102" s="50" t="s">
        <v>562</v>
      </c>
      <c r="D102" s="39">
        <v>299.7</v>
      </c>
      <c r="E102" s="39">
        <v>299.7</v>
      </c>
      <c r="F102" s="39">
        <v>299.7</v>
      </c>
      <c r="G102" s="39">
        <v>299.7</v>
      </c>
      <c r="H102" s="39">
        <v>299.7</v>
      </c>
      <c r="I102" s="39">
        <v>299.7</v>
      </c>
      <c r="J102" s="39">
        <v>299.7</v>
      </c>
      <c r="K102" s="39">
        <v>299.7</v>
      </c>
    </row>
    <row r="103" spans="1:11" ht="15.75">
      <c r="A103" s="49" t="s">
        <v>91</v>
      </c>
      <c r="B103" s="49" t="s">
        <v>48</v>
      </c>
      <c r="C103" s="50" t="s">
        <v>611</v>
      </c>
      <c r="D103" s="39">
        <v>1439.1</v>
      </c>
      <c r="E103" s="39">
        <v>1439.1</v>
      </c>
      <c r="F103" s="39">
        <v>1439.1</v>
      </c>
      <c r="G103" s="39">
        <v>1439.1</v>
      </c>
      <c r="H103" s="39">
        <v>1439.1</v>
      </c>
      <c r="I103" s="39">
        <v>1439.1</v>
      </c>
      <c r="J103" s="39">
        <v>1439.1</v>
      </c>
      <c r="K103" s="39">
        <v>1439.1</v>
      </c>
    </row>
    <row r="104" spans="1:11" ht="15.75">
      <c r="A104" s="49" t="s">
        <v>91</v>
      </c>
      <c r="B104" s="49" t="s">
        <v>48</v>
      </c>
      <c r="C104" s="50" t="s">
        <v>569</v>
      </c>
      <c r="D104" s="39">
        <v>4299.3</v>
      </c>
      <c r="E104" s="39">
        <v>4299.3</v>
      </c>
      <c r="F104" s="39">
        <v>4299.3</v>
      </c>
      <c r="G104" s="39">
        <v>4299.3</v>
      </c>
      <c r="H104" s="39">
        <v>4299.3</v>
      </c>
      <c r="I104" s="39">
        <v>4299.3</v>
      </c>
      <c r="J104" s="39">
        <v>4299.3</v>
      </c>
      <c r="K104" s="39">
        <v>4299.3</v>
      </c>
    </row>
    <row r="105" spans="1:11" ht="15.75">
      <c r="A105" s="49" t="s">
        <v>91</v>
      </c>
      <c r="B105" s="49" t="s">
        <v>48</v>
      </c>
      <c r="C105" s="50" t="s">
        <v>478</v>
      </c>
      <c r="D105" s="39">
        <v>6379.2</v>
      </c>
      <c r="E105" s="39">
        <v>6379.2</v>
      </c>
      <c r="F105" s="39">
        <v>6379.2</v>
      </c>
      <c r="G105" s="39">
        <v>6379.2</v>
      </c>
      <c r="H105" s="39">
        <v>6379.2</v>
      </c>
      <c r="I105" s="39">
        <v>6379.2</v>
      </c>
      <c r="J105" s="39">
        <v>6379.2</v>
      </c>
      <c r="K105" s="39">
        <v>6379.2</v>
      </c>
    </row>
    <row r="106" spans="1:11" ht="15.75">
      <c r="A106" s="49" t="s">
        <v>83</v>
      </c>
      <c r="B106" s="49" t="s">
        <v>48</v>
      </c>
      <c r="C106" s="50" t="s">
        <v>612</v>
      </c>
      <c r="D106" s="39">
        <v>569.70000000000005</v>
      </c>
      <c r="E106" s="39">
        <v>569.70000000000005</v>
      </c>
      <c r="F106" s="39">
        <v>569.70000000000005</v>
      </c>
      <c r="G106" s="39">
        <v>569.70000000000005</v>
      </c>
      <c r="H106" s="39">
        <v>569.70000000000005</v>
      </c>
      <c r="I106" s="39">
        <v>569.70000000000005</v>
      </c>
      <c r="J106" s="39">
        <v>569.70000000000005</v>
      </c>
      <c r="K106" s="39">
        <v>569.70000000000005</v>
      </c>
    </row>
    <row r="107" spans="1:11" ht="15.75">
      <c r="A107" s="49" t="s">
        <v>66</v>
      </c>
      <c r="B107" s="49" t="s">
        <v>48</v>
      </c>
      <c r="C107" s="50" t="s">
        <v>596</v>
      </c>
      <c r="D107" s="39">
        <v>299.7</v>
      </c>
      <c r="E107" s="39">
        <v>299.7</v>
      </c>
      <c r="F107" s="39">
        <v>299.7</v>
      </c>
      <c r="G107" s="39">
        <v>299.7</v>
      </c>
      <c r="H107" s="39">
        <v>299.7</v>
      </c>
      <c r="I107" s="39">
        <v>299.7</v>
      </c>
      <c r="J107" s="39">
        <v>299.7</v>
      </c>
      <c r="K107" s="39">
        <v>299.7</v>
      </c>
    </row>
    <row r="108" spans="1:11" ht="15.75">
      <c r="A108" s="49" t="s">
        <v>83</v>
      </c>
      <c r="B108" s="49" t="s">
        <v>48</v>
      </c>
      <c r="C108" s="50" t="s">
        <v>589</v>
      </c>
      <c r="D108" s="39">
        <v>1799.1</v>
      </c>
      <c r="E108" s="39">
        <v>1799.1</v>
      </c>
      <c r="F108" s="39">
        <v>1799.1</v>
      </c>
      <c r="G108" s="39">
        <v>1799.1</v>
      </c>
      <c r="H108" s="39">
        <v>1799.1</v>
      </c>
      <c r="I108" s="39">
        <v>1799.1</v>
      </c>
      <c r="J108" s="39">
        <v>1799.1</v>
      </c>
      <c r="K108" s="39">
        <v>1799.1</v>
      </c>
    </row>
    <row r="109" spans="1:11" ht="15.75">
      <c r="A109" s="49" t="s">
        <v>91</v>
      </c>
      <c r="B109" s="49" t="s">
        <v>48</v>
      </c>
      <c r="C109" s="50" t="s">
        <v>613</v>
      </c>
      <c r="D109" s="39">
        <v>1999.8</v>
      </c>
      <c r="E109" s="39">
        <v>1999.8</v>
      </c>
      <c r="F109" s="39">
        <v>1999.8</v>
      </c>
      <c r="G109" s="39">
        <v>1999.8</v>
      </c>
      <c r="H109" s="39">
        <v>1999.8</v>
      </c>
      <c r="I109" s="39">
        <v>1999.8</v>
      </c>
      <c r="J109" s="39">
        <v>1999.8</v>
      </c>
      <c r="K109" s="39">
        <v>1999.8</v>
      </c>
    </row>
    <row r="110" spans="1:11" ht="15.75">
      <c r="A110" s="49" t="s">
        <v>83</v>
      </c>
      <c r="B110" s="49" t="s">
        <v>48</v>
      </c>
      <c r="C110" s="50" t="s">
        <v>619</v>
      </c>
      <c r="D110" s="39">
        <v>479.7</v>
      </c>
      <c r="E110" s="39">
        <v>479.7</v>
      </c>
      <c r="F110" s="39">
        <v>479.7</v>
      </c>
      <c r="G110" s="39">
        <v>479.7</v>
      </c>
      <c r="H110" s="39">
        <v>479.7</v>
      </c>
      <c r="I110" s="39">
        <v>479.7</v>
      </c>
      <c r="J110" s="39">
        <v>479.7</v>
      </c>
      <c r="K110" s="39">
        <v>479.7</v>
      </c>
    </row>
    <row r="111" spans="1:11" ht="15.75">
      <c r="A111" s="49" t="s">
        <v>83</v>
      </c>
      <c r="B111" s="49" t="s">
        <v>48</v>
      </c>
      <c r="C111" s="50" t="s">
        <v>620</v>
      </c>
      <c r="D111" s="39">
        <v>499.5</v>
      </c>
      <c r="E111" s="39">
        <v>499.5</v>
      </c>
      <c r="F111" s="39">
        <v>499.5</v>
      </c>
      <c r="G111" s="39">
        <v>499.5</v>
      </c>
      <c r="H111" s="39">
        <v>499.5</v>
      </c>
      <c r="I111" s="39">
        <v>499.5</v>
      </c>
      <c r="J111" s="39">
        <v>499.5</v>
      </c>
      <c r="K111" s="39">
        <v>499.5</v>
      </c>
    </row>
    <row r="112" spans="1:11" ht="15.75">
      <c r="A112" s="49" t="s">
        <v>91</v>
      </c>
      <c r="B112" s="49" t="s">
        <v>48</v>
      </c>
      <c r="C112" s="50" t="s">
        <v>628</v>
      </c>
      <c r="D112" s="39">
        <v>1299.5999999999999</v>
      </c>
      <c r="E112" s="39">
        <v>1299.5999999999999</v>
      </c>
      <c r="F112" s="39">
        <v>1299.5999999999999</v>
      </c>
      <c r="G112" s="39">
        <v>1299.5999999999999</v>
      </c>
      <c r="H112" s="39">
        <v>1299.5999999999999</v>
      </c>
      <c r="I112" s="39">
        <v>1299.5999999999999</v>
      </c>
      <c r="J112" s="39">
        <v>1299.5999999999999</v>
      </c>
      <c r="K112" s="39">
        <v>1299.5999999999999</v>
      </c>
    </row>
    <row r="113" spans="1:11" ht="15.75">
      <c r="A113" s="49" t="s">
        <v>91</v>
      </c>
      <c r="B113" s="49" t="s">
        <v>48</v>
      </c>
      <c r="C113" s="50" t="s">
        <v>630</v>
      </c>
      <c r="D113" s="39">
        <v>2379.6</v>
      </c>
      <c r="E113" s="39">
        <v>2379.6</v>
      </c>
      <c r="F113" s="39">
        <v>2379.6</v>
      </c>
      <c r="G113" s="39">
        <v>2379.6</v>
      </c>
      <c r="H113" s="39">
        <v>2379.6</v>
      </c>
      <c r="I113" s="39">
        <v>2379.6</v>
      </c>
      <c r="J113" s="39">
        <v>2379.6</v>
      </c>
      <c r="K113" s="39">
        <v>2379.6</v>
      </c>
    </row>
    <row r="114" spans="1:11" ht="15.75">
      <c r="A114" s="49" t="s">
        <v>83</v>
      </c>
      <c r="B114" s="49" t="s">
        <v>48</v>
      </c>
      <c r="C114" s="50" t="s">
        <v>634</v>
      </c>
      <c r="D114" s="39">
        <v>559.79999999999995</v>
      </c>
      <c r="E114" s="39">
        <v>559.79999999999995</v>
      </c>
      <c r="F114" s="39">
        <v>559.79999999999995</v>
      </c>
      <c r="G114" s="39">
        <v>559.79999999999995</v>
      </c>
      <c r="H114" s="39">
        <v>559.79999999999995</v>
      </c>
      <c r="I114" s="39">
        <v>559.79999999999995</v>
      </c>
      <c r="J114" s="39">
        <v>559.79999999999995</v>
      </c>
      <c r="K114" s="39">
        <v>559.79999999999995</v>
      </c>
    </row>
    <row r="115" spans="1:11" ht="15.75">
      <c r="A115" s="49" t="s">
        <v>83</v>
      </c>
      <c r="B115" s="49" t="s">
        <v>48</v>
      </c>
      <c r="C115" s="50" t="s">
        <v>635</v>
      </c>
      <c r="D115" s="39">
        <v>579.6</v>
      </c>
      <c r="E115" s="39">
        <v>579.6</v>
      </c>
      <c r="F115" s="39">
        <v>579.6</v>
      </c>
      <c r="G115" s="39">
        <v>579.6</v>
      </c>
      <c r="H115" s="39">
        <v>579.6</v>
      </c>
      <c r="I115" s="39">
        <v>579.6</v>
      </c>
      <c r="J115" s="39">
        <v>579.6</v>
      </c>
      <c r="K115" s="39">
        <v>579.6</v>
      </c>
    </row>
    <row r="116" spans="1:11" ht="15.75">
      <c r="A116" s="49" t="s">
        <v>83</v>
      </c>
      <c r="B116" s="49" t="s">
        <v>48</v>
      </c>
      <c r="C116" s="50" t="s">
        <v>641</v>
      </c>
      <c r="D116" s="39">
        <v>879.3</v>
      </c>
      <c r="E116" s="39">
        <v>879.3</v>
      </c>
      <c r="F116" s="39">
        <v>879.3</v>
      </c>
      <c r="G116" s="39">
        <v>879.3</v>
      </c>
      <c r="H116" s="39">
        <v>879.3</v>
      </c>
      <c r="I116" s="39">
        <v>879.3</v>
      </c>
      <c r="J116" s="39">
        <v>879.3</v>
      </c>
      <c r="K116" s="39">
        <v>879.3</v>
      </c>
    </row>
    <row r="117" spans="1:11" ht="15.75">
      <c r="A117" s="49" t="s">
        <v>45</v>
      </c>
      <c r="B117" s="49" t="s">
        <v>48</v>
      </c>
      <c r="C117" s="50" t="s">
        <v>646</v>
      </c>
      <c r="D117" s="39">
        <v>489.6</v>
      </c>
      <c r="E117" s="39">
        <v>489.6</v>
      </c>
      <c r="F117" s="39">
        <v>489.6</v>
      </c>
      <c r="G117" s="39">
        <v>489.6</v>
      </c>
      <c r="H117" s="39">
        <v>489.6</v>
      </c>
      <c r="I117" s="39">
        <v>489.6</v>
      </c>
      <c r="J117" s="39">
        <v>489.6</v>
      </c>
      <c r="K117" s="39">
        <v>489.6</v>
      </c>
    </row>
    <row r="118" spans="1:11" ht="15.75">
      <c r="A118" s="49" t="s">
        <v>83</v>
      </c>
      <c r="B118" s="42" t="s">
        <v>649</v>
      </c>
      <c r="C118" s="50" t="s">
        <v>653</v>
      </c>
      <c r="D118" s="39">
        <v>519.29999999999995</v>
      </c>
      <c r="E118" s="39">
        <v>519.29999999999995</v>
      </c>
      <c r="F118" s="39">
        <v>519.29999999999995</v>
      </c>
      <c r="G118" s="39">
        <v>519.29999999999995</v>
      </c>
      <c r="H118" s="39">
        <v>519.29999999999995</v>
      </c>
      <c r="I118" s="39">
        <v>519.29999999999995</v>
      </c>
      <c r="J118" s="39">
        <v>519.29999999999995</v>
      </c>
      <c r="K118" s="39">
        <v>519.29999999999995</v>
      </c>
    </row>
    <row r="119" spans="1:11" ht="15.75">
      <c r="A119" s="49" t="s">
        <v>91</v>
      </c>
      <c r="B119" s="49" t="s">
        <v>48</v>
      </c>
      <c r="C119" s="50" t="s">
        <v>655</v>
      </c>
      <c r="D119" s="39">
        <v>4319.1000000000004</v>
      </c>
      <c r="E119" s="39">
        <v>4319.1000000000004</v>
      </c>
      <c r="F119" s="39">
        <v>4319.1000000000004</v>
      </c>
      <c r="G119" s="39">
        <v>4319.1000000000004</v>
      </c>
      <c r="H119" s="39">
        <v>4319.1000000000004</v>
      </c>
      <c r="I119" s="39">
        <v>4319.1000000000004</v>
      </c>
      <c r="J119" s="39">
        <v>4319.1000000000004</v>
      </c>
      <c r="K119" s="39">
        <v>4319.1000000000004</v>
      </c>
    </row>
    <row r="120" spans="1:11" ht="15.75">
      <c r="A120" s="49" t="s">
        <v>91</v>
      </c>
      <c r="B120" s="49" t="s">
        <v>48</v>
      </c>
      <c r="C120" s="50" t="s">
        <v>664</v>
      </c>
      <c r="D120" s="39">
        <v>6619.5</v>
      </c>
      <c r="E120" s="39">
        <v>6619.5</v>
      </c>
      <c r="F120" s="39">
        <v>6619.5</v>
      </c>
      <c r="G120" s="39">
        <v>6619.5</v>
      </c>
      <c r="H120" s="39">
        <v>6619.5</v>
      </c>
      <c r="I120" s="39">
        <v>6619.5</v>
      </c>
      <c r="J120" s="39">
        <v>6619.5</v>
      </c>
      <c r="K120" s="39">
        <v>6619.5</v>
      </c>
    </row>
    <row r="121" spans="1:11" ht="15.75">
      <c r="A121" s="49" t="s">
        <v>91</v>
      </c>
      <c r="B121" s="42" t="s">
        <v>941</v>
      </c>
      <c r="C121" s="50" t="s">
        <v>666</v>
      </c>
      <c r="D121" s="39">
        <v>809.1</v>
      </c>
      <c r="E121" s="39">
        <v>809.1</v>
      </c>
      <c r="F121" s="39">
        <v>809.1</v>
      </c>
      <c r="G121" s="39">
        <v>809.1</v>
      </c>
      <c r="H121" s="39">
        <v>809.1</v>
      </c>
      <c r="I121" s="39">
        <v>809.1</v>
      </c>
      <c r="J121" s="39">
        <v>809.1</v>
      </c>
      <c r="K121" s="39">
        <v>809.1</v>
      </c>
    </row>
    <row r="122" spans="1:11" ht="15.75">
      <c r="A122" s="49" t="s">
        <v>91</v>
      </c>
      <c r="B122" s="42" t="s">
        <v>941</v>
      </c>
      <c r="C122" s="50" t="s">
        <v>672</v>
      </c>
      <c r="D122" s="39">
        <v>1209.5999999999999</v>
      </c>
      <c r="E122" s="39">
        <v>1209.5999999999999</v>
      </c>
      <c r="F122" s="39">
        <v>1209.5999999999999</v>
      </c>
      <c r="G122" s="39">
        <v>1209.5999999999999</v>
      </c>
      <c r="H122" s="39">
        <v>1209.5999999999999</v>
      </c>
      <c r="I122" s="39">
        <v>1209.5999999999999</v>
      </c>
      <c r="J122" s="39">
        <v>1209.5999999999999</v>
      </c>
      <c r="K122" s="39">
        <v>1209.5999999999999</v>
      </c>
    </row>
    <row r="123" spans="1:11" ht="15.75">
      <c r="A123" s="49" t="s">
        <v>91</v>
      </c>
      <c r="B123" s="42" t="s">
        <v>941</v>
      </c>
      <c r="C123" s="50" t="s">
        <v>674</v>
      </c>
      <c r="D123" s="39">
        <v>1019.7</v>
      </c>
      <c r="E123" s="39">
        <v>1019.7</v>
      </c>
      <c r="F123" s="39">
        <v>1019.7</v>
      </c>
      <c r="G123" s="39">
        <v>1019.7</v>
      </c>
      <c r="H123" s="39">
        <v>1019.7</v>
      </c>
      <c r="I123" s="39">
        <v>1019.7</v>
      </c>
      <c r="J123" s="39">
        <v>1019.7</v>
      </c>
      <c r="K123" s="39">
        <v>1019.7</v>
      </c>
    </row>
    <row r="124" spans="1:11" ht="15.75">
      <c r="A124" s="49" t="s">
        <v>91</v>
      </c>
      <c r="B124" s="42" t="s">
        <v>941</v>
      </c>
      <c r="C124" s="50" t="s">
        <v>675</v>
      </c>
      <c r="D124" s="39">
        <v>1729.8</v>
      </c>
      <c r="E124" s="39">
        <v>1729.8</v>
      </c>
      <c r="F124" s="39">
        <v>1729.8</v>
      </c>
      <c r="G124" s="39">
        <v>1729.8</v>
      </c>
      <c r="H124" s="39">
        <v>1729.8</v>
      </c>
      <c r="I124" s="39">
        <v>1729.8</v>
      </c>
      <c r="J124" s="39">
        <v>1729.8</v>
      </c>
      <c r="K124" s="39">
        <v>1729.8</v>
      </c>
    </row>
    <row r="125" spans="1:11" ht="15.75">
      <c r="A125" s="49" t="s">
        <v>91</v>
      </c>
      <c r="B125" s="42" t="s">
        <v>941</v>
      </c>
      <c r="C125" s="50" t="s">
        <v>676</v>
      </c>
      <c r="D125" s="39">
        <v>1849.5</v>
      </c>
      <c r="E125" s="39">
        <v>1849.5</v>
      </c>
      <c r="F125" s="39">
        <v>1849.5</v>
      </c>
      <c r="G125" s="39">
        <v>1849.5</v>
      </c>
      <c r="H125" s="39">
        <v>1849.5</v>
      </c>
      <c r="I125" s="39">
        <v>1849.5</v>
      </c>
      <c r="J125" s="39">
        <v>1849.5</v>
      </c>
      <c r="K125" s="39">
        <v>1849.5</v>
      </c>
    </row>
    <row r="126" spans="1:11" ht="15.75">
      <c r="A126" s="49" t="s">
        <v>91</v>
      </c>
      <c r="B126" s="42" t="s">
        <v>941</v>
      </c>
      <c r="C126" s="50" t="s">
        <v>679</v>
      </c>
      <c r="D126" s="39">
        <v>2019.6</v>
      </c>
      <c r="E126" s="39">
        <v>2019.6</v>
      </c>
      <c r="F126" s="39">
        <v>2019.6</v>
      </c>
      <c r="G126" s="39">
        <v>2019.6</v>
      </c>
      <c r="H126" s="39">
        <v>2019.6</v>
      </c>
      <c r="I126" s="39">
        <v>2019.6</v>
      </c>
      <c r="J126" s="39">
        <v>2019.6</v>
      </c>
      <c r="K126" s="39">
        <v>2019.6</v>
      </c>
    </row>
    <row r="127" spans="1:11" ht="15.75">
      <c r="A127" s="49" t="s">
        <v>91</v>
      </c>
      <c r="B127" s="42" t="s">
        <v>941</v>
      </c>
      <c r="C127" s="50" t="s">
        <v>686</v>
      </c>
      <c r="D127" s="39">
        <v>1499.4</v>
      </c>
      <c r="E127" s="39">
        <v>1499.4</v>
      </c>
      <c r="F127" s="39">
        <v>1499.4</v>
      </c>
      <c r="G127" s="39">
        <v>1499.4</v>
      </c>
      <c r="H127" s="39">
        <v>1499.4</v>
      </c>
      <c r="I127" s="39">
        <v>1499.4</v>
      </c>
      <c r="J127" s="39">
        <v>1499.4</v>
      </c>
      <c r="K127" s="39">
        <v>1499.4</v>
      </c>
    </row>
    <row r="128" spans="1:11" ht="15.75">
      <c r="A128" s="49" t="s">
        <v>91</v>
      </c>
      <c r="B128" s="42" t="s">
        <v>941</v>
      </c>
      <c r="C128" s="50" t="s">
        <v>687</v>
      </c>
      <c r="D128" s="39">
        <v>1789.2</v>
      </c>
      <c r="E128" s="39">
        <v>1789.2</v>
      </c>
      <c r="F128" s="39">
        <v>1789.2</v>
      </c>
      <c r="G128" s="39">
        <v>1789.2</v>
      </c>
      <c r="H128" s="39">
        <v>1789.2</v>
      </c>
      <c r="I128" s="39">
        <v>1789.2</v>
      </c>
      <c r="J128" s="39">
        <v>1789.2</v>
      </c>
      <c r="K128" s="39">
        <v>1789.2</v>
      </c>
    </row>
    <row r="129" spans="1:11" ht="15.75">
      <c r="A129" s="49" t="s">
        <v>91</v>
      </c>
      <c r="B129" s="42" t="s">
        <v>941</v>
      </c>
      <c r="C129" s="50" t="s">
        <v>689</v>
      </c>
      <c r="D129" s="39">
        <v>1669.5</v>
      </c>
      <c r="E129" s="39">
        <v>1669.5</v>
      </c>
      <c r="F129" s="39">
        <v>1669.5</v>
      </c>
      <c r="G129" s="39">
        <v>1669.5</v>
      </c>
      <c r="H129" s="39">
        <v>1669.5</v>
      </c>
      <c r="I129" s="39">
        <v>1669.5</v>
      </c>
      <c r="J129" s="39">
        <v>1669.5</v>
      </c>
      <c r="K129" s="39">
        <v>1669.5</v>
      </c>
    </row>
    <row r="130" spans="1:11" ht="15.75">
      <c r="A130" s="49" t="s">
        <v>91</v>
      </c>
      <c r="B130" s="42" t="s">
        <v>941</v>
      </c>
      <c r="C130" s="50" t="s">
        <v>695</v>
      </c>
      <c r="D130" s="39">
        <v>1959.3</v>
      </c>
      <c r="E130" s="39">
        <v>1959.3</v>
      </c>
      <c r="F130" s="39">
        <v>1959.3</v>
      </c>
      <c r="G130" s="39">
        <v>1959.3</v>
      </c>
      <c r="H130" s="39">
        <v>1959.3</v>
      </c>
      <c r="I130" s="39">
        <v>1959.3</v>
      </c>
      <c r="J130" s="39">
        <v>1959.3</v>
      </c>
      <c r="K130" s="39">
        <v>1959.3</v>
      </c>
    </row>
    <row r="131" spans="1:11" ht="15.75">
      <c r="A131" s="49" t="s">
        <v>91</v>
      </c>
      <c r="B131" s="42" t="s">
        <v>941</v>
      </c>
      <c r="C131" s="50" t="s">
        <v>696</v>
      </c>
      <c r="D131" s="39">
        <v>2129.4</v>
      </c>
      <c r="E131" s="39">
        <v>2129.4</v>
      </c>
      <c r="F131" s="39">
        <v>2129.4</v>
      </c>
      <c r="G131" s="39">
        <v>2129.4</v>
      </c>
      <c r="H131" s="39">
        <v>2129.4</v>
      </c>
      <c r="I131" s="39">
        <v>2129.4</v>
      </c>
      <c r="J131" s="39">
        <v>2129.4</v>
      </c>
      <c r="K131" s="39">
        <v>2129.4</v>
      </c>
    </row>
    <row r="132" spans="1:11" ht="15.75">
      <c r="A132" s="49" t="s">
        <v>91</v>
      </c>
      <c r="B132" s="42" t="s">
        <v>941</v>
      </c>
      <c r="C132" s="50" t="s">
        <v>702</v>
      </c>
      <c r="D132" s="39">
        <v>2299.5</v>
      </c>
      <c r="E132" s="39">
        <v>2299.5</v>
      </c>
      <c r="F132" s="39">
        <v>2299.5</v>
      </c>
      <c r="G132" s="39">
        <v>2299.5</v>
      </c>
      <c r="H132" s="39">
        <v>2299.5</v>
      </c>
      <c r="I132" s="39">
        <v>2299.5</v>
      </c>
      <c r="J132" s="39">
        <v>2299.5</v>
      </c>
      <c r="K132" s="39">
        <v>2299.5</v>
      </c>
    </row>
    <row r="133" spans="1:11" ht="15.75">
      <c r="A133" s="49" t="s">
        <v>91</v>
      </c>
      <c r="B133" s="42" t="s">
        <v>941</v>
      </c>
      <c r="C133" s="50" t="s">
        <v>705</v>
      </c>
      <c r="D133" s="39">
        <v>2479.5</v>
      </c>
      <c r="E133" s="39">
        <v>2479.5</v>
      </c>
      <c r="F133" s="39">
        <v>2479.5</v>
      </c>
      <c r="G133" s="39">
        <v>2479.5</v>
      </c>
      <c r="H133" s="39">
        <v>2479.5</v>
      </c>
      <c r="I133" s="39">
        <v>2479.5</v>
      </c>
      <c r="J133" s="39">
        <v>2479.5</v>
      </c>
      <c r="K133" s="39">
        <v>2479.5</v>
      </c>
    </row>
    <row r="134" spans="1:11" ht="15.75">
      <c r="A134" s="49" t="s">
        <v>91</v>
      </c>
      <c r="B134" s="42" t="s">
        <v>941</v>
      </c>
      <c r="C134" s="50" t="s">
        <v>707</v>
      </c>
      <c r="D134" s="39">
        <v>459</v>
      </c>
      <c r="E134" s="39">
        <v>459</v>
      </c>
      <c r="F134" s="39">
        <v>459</v>
      </c>
      <c r="G134" s="39">
        <v>459</v>
      </c>
      <c r="H134" s="39">
        <v>459</v>
      </c>
      <c r="I134" s="39">
        <v>459</v>
      </c>
      <c r="J134" s="39">
        <v>459</v>
      </c>
      <c r="K134" s="39">
        <v>459</v>
      </c>
    </row>
    <row r="135" spans="1:11" ht="15.75">
      <c r="A135" s="49" t="s">
        <v>91</v>
      </c>
      <c r="B135" s="42" t="s">
        <v>941</v>
      </c>
      <c r="C135" s="50" t="s">
        <v>715</v>
      </c>
      <c r="D135" s="39">
        <v>1849.5</v>
      </c>
      <c r="E135" s="39">
        <v>1849.5</v>
      </c>
      <c r="F135" s="39">
        <v>1849.5</v>
      </c>
      <c r="G135" s="39">
        <v>1849.5</v>
      </c>
      <c r="H135" s="39">
        <v>1849.5</v>
      </c>
      <c r="I135" s="39">
        <v>1849.5</v>
      </c>
      <c r="J135" s="39">
        <v>1849.5</v>
      </c>
      <c r="K135" s="39">
        <v>1849.5</v>
      </c>
    </row>
    <row r="136" spans="1:11" ht="15.75">
      <c r="A136" s="49" t="s">
        <v>91</v>
      </c>
      <c r="B136" s="42" t="s">
        <v>649</v>
      </c>
      <c r="C136" s="50" t="s">
        <v>717</v>
      </c>
      <c r="D136" s="39">
        <v>599.4</v>
      </c>
      <c r="E136" s="39">
        <v>599.4</v>
      </c>
      <c r="F136" s="39">
        <v>599.4</v>
      </c>
      <c r="G136" s="39">
        <v>599.4</v>
      </c>
      <c r="H136" s="39">
        <v>599.4</v>
      </c>
      <c r="I136" s="39">
        <v>599.4</v>
      </c>
      <c r="J136" s="39">
        <v>599.4</v>
      </c>
      <c r="K136" s="39">
        <v>599.4</v>
      </c>
    </row>
    <row r="137" spans="1:11" ht="15.75">
      <c r="A137" s="49" t="s">
        <v>45</v>
      </c>
      <c r="B137" s="49" t="s">
        <v>48</v>
      </c>
      <c r="C137" s="50" t="s">
        <v>724</v>
      </c>
      <c r="D137" s="39">
        <v>499.5</v>
      </c>
      <c r="E137" s="39">
        <v>499.5</v>
      </c>
      <c r="F137" s="39">
        <v>499.5</v>
      </c>
      <c r="G137" s="39">
        <v>499.5</v>
      </c>
      <c r="H137" s="39">
        <v>499.5</v>
      </c>
      <c r="I137" s="39">
        <v>499.5</v>
      </c>
      <c r="J137" s="39">
        <v>499.5</v>
      </c>
      <c r="K137" s="39">
        <v>499.5</v>
      </c>
    </row>
    <row r="138" spans="1:11" ht="15.75">
      <c r="A138" s="49" t="s">
        <v>45</v>
      </c>
      <c r="B138" s="49" t="s">
        <v>48</v>
      </c>
      <c r="C138" s="50" t="s">
        <v>725</v>
      </c>
      <c r="D138" s="39">
        <v>549</v>
      </c>
      <c r="E138" s="39">
        <v>549</v>
      </c>
      <c r="F138" s="39">
        <v>549</v>
      </c>
      <c r="G138" s="39">
        <v>549</v>
      </c>
      <c r="H138" s="39">
        <v>549</v>
      </c>
      <c r="I138" s="39">
        <v>549</v>
      </c>
      <c r="J138" s="39">
        <v>549</v>
      </c>
      <c r="K138" s="39">
        <v>549</v>
      </c>
    </row>
    <row r="139" spans="1:11" ht="15.75">
      <c r="A139" s="49" t="s">
        <v>83</v>
      </c>
      <c r="B139" s="49" t="s">
        <v>48</v>
      </c>
      <c r="C139" s="50" t="s">
        <v>731</v>
      </c>
      <c r="D139" s="39">
        <v>699.3</v>
      </c>
      <c r="E139" s="39">
        <v>699.3</v>
      </c>
      <c r="F139" s="39">
        <v>699.3</v>
      </c>
      <c r="G139" s="39">
        <v>699.3</v>
      </c>
      <c r="H139" s="39">
        <v>699.3</v>
      </c>
      <c r="I139" s="39">
        <v>699.3</v>
      </c>
      <c r="J139" s="39">
        <v>699.3</v>
      </c>
      <c r="K139" s="39">
        <v>699.3</v>
      </c>
    </row>
    <row r="140" spans="1:11" ht="15.75">
      <c r="A140" s="49" t="s">
        <v>91</v>
      </c>
      <c r="B140" s="49" t="s">
        <v>48</v>
      </c>
      <c r="C140" s="50" t="s">
        <v>734</v>
      </c>
      <c r="D140" s="39">
        <v>4229.1000000000004</v>
      </c>
      <c r="E140" s="39">
        <v>4229.1000000000004</v>
      </c>
      <c r="F140" s="39">
        <v>4229.1000000000004</v>
      </c>
      <c r="G140" s="39">
        <v>4229.1000000000004</v>
      </c>
      <c r="H140" s="39">
        <v>4229.1000000000004</v>
      </c>
      <c r="I140" s="39">
        <v>4229.1000000000004</v>
      </c>
      <c r="J140" s="39">
        <v>4229.1000000000004</v>
      </c>
      <c r="K140" s="39">
        <v>4229.1000000000004</v>
      </c>
    </row>
    <row r="141" spans="1:11" ht="15.75">
      <c r="A141" s="49" t="s">
        <v>91</v>
      </c>
      <c r="B141" s="42" t="s">
        <v>941</v>
      </c>
      <c r="C141" s="50" t="s">
        <v>738</v>
      </c>
      <c r="D141" s="39">
        <v>499.5</v>
      </c>
      <c r="E141" s="39">
        <v>499.5</v>
      </c>
      <c r="F141" s="39">
        <v>499.5</v>
      </c>
      <c r="G141" s="39">
        <v>499.5</v>
      </c>
      <c r="H141" s="39">
        <v>499.5</v>
      </c>
      <c r="I141" s="39">
        <v>499.5</v>
      </c>
      <c r="J141" s="39">
        <v>499.5</v>
      </c>
      <c r="K141" s="39">
        <v>499.5</v>
      </c>
    </row>
    <row r="142" spans="1:11" ht="15.75">
      <c r="A142" s="49" t="s">
        <v>91</v>
      </c>
      <c r="B142" s="42" t="s">
        <v>941</v>
      </c>
      <c r="C142" s="50" t="s">
        <v>740</v>
      </c>
      <c r="D142" s="39">
        <v>399.6</v>
      </c>
      <c r="E142" s="39">
        <v>399.6</v>
      </c>
      <c r="F142" s="39">
        <v>399.6</v>
      </c>
      <c r="G142" s="39">
        <v>399.6</v>
      </c>
      <c r="H142" s="39">
        <v>399.6</v>
      </c>
      <c r="I142" s="39">
        <v>399.6</v>
      </c>
      <c r="J142" s="39">
        <v>399.6</v>
      </c>
      <c r="K142" s="39">
        <v>399.6</v>
      </c>
    </row>
    <row r="143" spans="1:11" ht="15.75">
      <c r="A143" s="49" t="s">
        <v>83</v>
      </c>
      <c r="B143" s="49" t="s">
        <v>48</v>
      </c>
      <c r="C143" s="50" t="s">
        <v>745</v>
      </c>
      <c r="D143" s="39">
        <v>889.2</v>
      </c>
      <c r="E143" s="39">
        <v>889.2</v>
      </c>
      <c r="F143" s="39">
        <v>889.2</v>
      </c>
      <c r="G143" s="39">
        <v>889.2</v>
      </c>
      <c r="H143" s="39">
        <v>889.2</v>
      </c>
      <c r="I143" s="39">
        <v>889.2</v>
      </c>
      <c r="J143" s="39">
        <v>889.2</v>
      </c>
      <c r="K143" s="39">
        <v>889.2</v>
      </c>
    </row>
    <row r="144" spans="1:11" ht="15.75">
      <c r="A144" s="49" t="s">
        <v>83</v>
      </c>
      <c r="B144" s="49" t="s">
        <v>48</v>
      </c>
      <c r="C144" s="50" t="s">
        <v>746</v>
      </c>
      <c r="D144" s="39">
        <v>1392.3</v>
      </c>
      <c r="E144" s="39">
        <v>1392.3</v>
      </c>
      <c r="F144" s="39">
        <v>1392.3</v>
      </c>
      <c r="G144" s="39">
        <v>1392.3</v>
      </c>
      <c r="H144" s="39">
        <v>1392.3</v>
      </c>
      <c r="I144" s="39">
        <v>1392.3</v>
      </c>
      <c r="J144" s="39">
        <v>1392.3</v>
      </c>
      <c r="K144" s="39">
        <v>1392.3</v>
      </c>
    </row>
    <row r="145" spans="1:11" ht="15.75">
      <c r="A145" s="49" t="s">
        <v>91</v>
      </c>
      <c r="B145" s="49" t="s">
        <v>48</v>
      </c>
      <c r="C145" s="50" t="s">
        <v>750</v>
      </c>
      <c r="D145" s="39">
        <v>2229.3000000000002</v>
      </c>
      <c r="E145" s="39">
        <v>2229.3000000000002</v>
      </c>
      <c r="F145" s="39">
        <v>2229.3000000000002</v>
      </c>
      <c r="G145" s="39">
        <v>2229.3000000000002</v>
      </c>
      <c r="H145" s="39">
        <v>2229.3000000000002</v>
      </c>
      <c r="I145" s="39">
        <v>2229.3000000000002</v>
      </c>
      <c r="J145" s="39">
        <v>2229.3000000000002</v>
      </c>
      <c r="K145" s="39">
        <v>2229.3000000000002</v>
      </c>
    </row>
    <row r="146" spans="1:11" ht="15.75">
      <c r="A146" s="49" t="s">
        <v>66</v>
      </c>
      <c r="B146" s="49" t="s">
        <v>48</v>
      </c>
      <c r="C146" s="50" t="s">
        <v>751</v>
      </c>
      <c r="D146" s="39">
        <v>179.1</v>
      </c>
      <c r="E146" s="39">
        <v>179.1</v>
      </c>
      <c r="F146" s="39">
        <v>179.1</v>
      </c>
      <c r="G146" s="39">
        <v>179.1</v>
      </c>
      <c r="H146" s="39">
        <v>179.1</v>
      </c>
      <c r="I146" s="39">
        <v>179.1</v>
      </c>
      <c r="J146" s="39">
        <v>179.1</v>
      </c>
      <c r="K146" s="39">
        <v>179.1</v>
      </c>
    </row>
    <row r="147" spans="1:11" ht="15.75">
      <c r="A147" s="49" t="s">
        <v>45</v>
      </c>
      <c r="B147" s="49" t="s">
        <v>48</v>
      </c>
      <c r="C147" s="50" t="s">
        <v>758</v>
      </c>
      <c r="D147" s="39">
        <v>329.4</v>
      </c>
      <c r="E147" s="39">
        <v>329.4</v>
      </c>
      <c r="F147" s="39">
        <v>329.4</v>
      </c>
      <c r="G147" s="39">
        <v>329.4</v>
      </c>
      <c r="H147" s="39">
        <v>329.4</v>
      </c>
      <c r="I147" s="39">
        <v>329.4</v>
      </c>
      <c r="J147" s="39">
        <v>329.4</v>
      </c>
      <c r="K147" s="39">
        <v>329.4</v>
      </c>
    </row>
    <row r="148" spans="1:11" ht="15.75">
      <c r="A148" s="49" t="s">
        <v>83</v>
      </c>
      <c r="B148" s="49" t="s">
        <v>48</v>
      </c>
      <c r="C148" s="50" t="s">
        <v>759</v>
      </c>
      <c r="D148" s="39">
        <v>999</v>
      </c>
      <c r="E148" s="39">
        <v>999</v>
      </c>
      <c r="F148" s="39">
        <v>999</v>
      </c>
      <c r="G148" s="39">
        <v>999</v>
      </c>
      <c r="H148" s="39">
        <v>999</v>
      </c>
      <c r="I148" s="39">
        <v>999</v>
      </c>
      <c r="J148" s="39">
        <v>999</v>
      </c>
      <c r="K148" s="39">
        <v>999</v>
      </c>
    </row>
    <row r="149" spans="1:11" ht="15.75">
      <c r="A149" s="49" t="s">
        <v>66</v>
      </c>
      <c r="B149" s="49" t="s">
        <v>48</v>
      </c>
      <c r="C149" s="50" t="s">
        <v>763</v>
      </c>
      <c r="D149" s="39">
        <v>299.7</v>
      </c>
      <c r="E149" s="39">
        <v>299.7</v>
      </c>
      <c r="F149" s="39">
        <v>299.7</v>
      </c>
      <c r="G149" s="39">
        <v>299.7</v>
      </c>
      <c r="H149" s="39">
        <v>299.7</v>
      </c>
      <c r="I149" s="39">
        <v>299.7</v>
      </c>
      <c r="J149" s="39">
        <v>299.7</v>
      </c>
      <c r="K149" s="39">
        <v>299.7</v>
      </c>
    </row>
    <row r="150" spans="1:11" ht="15.75">
      <c r="A150" s="49" t="s">
        <v>45</v>
      </c>
      <c r="B150" s="49" t="s">
        <v>48</v>
      </c>
      <c r="C150" s="50" t="s">
        <v>765</v>
      </c>
      <c r="D150" s="39">
        <v>379.8</v>
      </c>
      <c r="E150" s="39">
        <v>379.8</v>
      </c>
      <c r="F150" s="39">
        <v>379.8</v>
      </c>
      <c r="G150" s="39">
        <v>379.8</v>
      </c>
      <c r="H150" s="39">
        <v>379.8</v>
      </c>
      <c r="I150" s="39">
        <v>379.8</v>
      </c>
      <c r="J150" s="39">
        <v>379.8</v>
      </c>
      <c r="K150" s="39">
        <v>379.8</v>
      </c>
    </row>
    <row r="151" spans="1:11" ht="15.75">
      <c r="A151" s="49" t="s">
        <v>83</v>
      </c>
      <c r="B151" s="49" t="s">
        <v>48</v>
      </c>
      <c r="C151" s="50" t="s">
        <v>769</v>
      </c>
      <c r="D151" s="39">
        <v>709.2</v>
      </c>
      <c r="E151" s="39">
        <v>709.2</v>
      </c>
      <c r="F151" s="39">
        <v>709.2</v>
      </c>
      <c r="G151" s="39">
        <v>709.2</v>
      </c>
      <c r="H151" s="39">
        <v>709.2</v>
      </c>
      <c r="I151" s="39">
        <v>709.2</v>
      </c>
      <c r="J151" s="39">
        <v>709.2</v>
      </c>
      <c r="K151" s="39">
        <v>709.2</v>
      </c>
    </row>
    <row r="152" spans="1:11" ht="15.75">
      <c r="A152" s="49" t="s">
        <v>45</v>
      </c>
      <c r="B152" s="49" t="s">
        <v>48</v>
      </c>
      <c r="C152" s="50" t="s">
        <v>772</v>
      </c>
      <c r="D152" s="39">
        <v>499.5</v>
      </c>
      <c r="E152" s="39">
        <v>499.5</v>
      </c>
      <c r="F152" s="39">
        <v>499.5</v>
      </c>
      <c r="G152" s="39">
        <v>499.5</v>
      </c>
      <c r="H152" s="39">
        <v>499.5</v>
      </c>
      <c r="I152" s="39">
        <v>499.5</v>
      </c>
      <c r="J152" s="39">
        <v>499.5</v>
      </c>
      <c r="K152" s="39">
        <v>499.5</v>
      </c>
    </row>
    <row r="153" spans="1:11" ht="15.75">
      <c r="A153" s="49" t="s">
        <v>91</v>
      </c>
      <c r="B153" s="49" t="s">
        <v>48</v>
      </c>
      <c r="C153" s="50" t="s">
        <v>773</v>
      </c>
      <c r="D153" s="39">
        <v>1299.5999999999999</v>
      </c>
      <c r="E153" s="39">
        <v>1299.5999999999999</v>
      </c>
      <c r="F153" s="39">
        <v>1299.5999999999999</v>
      </c>
      <c r="G153" s="39">
        <v>1299.5999999999999</v>
      </c>
      <c r="H153" s="39">
        <v>1299.5999999999999</v>
      </c>
      <c r="I153" s="39">
        <v>1299.5999999999999</v>
      </c>
      <c r="J153" s="39">
        <v>1299.5999999999999</v>
      </c>
      <c r="K153" s="39">
        <v>1299.5999999999999</v>
      </c>
    </row>
    <row r="154" spans="1:11" ht="15.75">
      <c r="A154" s="49" t="s">
        <v>45</v>
      </c>
      <c r="B154" s="49" t="s">
        <v>48</v>
      </c>
      <c r="C154" s="50" t="s">
        <v>774</v>
      </c>
      <c r="D154" s="39">
        <v>529.20000000000005</v>
      </c>
      <c r="E154" s="39">
        <v>529.20000000000005</v>
      </c>
      <c r="F154" s="39">
        <v>529.20000000000005</v>
      </c>
      <c r="G154" s="39">
        <v>529.20000000000005</v>
      </c>
      <c r="H154" s="39">
        <v>529.20000000000005</v>
      </c>
      <c r="I154" s="39">
        <v>529.20000000000005</v>
      </c>
      <c r="J154" s="39">
        <v>529.20000000000005</v>
      </c>
      <c r="K154" s="39">
        <v>529.20000000000005</v>
      </c>
    </row>
    <row r="155" spans="1:11" ht="15.75">
      <c r="A155" s="49" t="s">
        <v>66</v>
      </c>
      <c r="B155" s="49" t="s">
        <v>48</v>
      </c>
      <c r="C155" s="50" t="s">
        <v>775</v>
      </c>
      <c r="D155" s="39">
        <v>259.2</v>
      </c>
      <c r="E155" s="39">
        <v>259.2</v>
      </c>
      <c r="F155" s="39">
        <v>259.2</v>
      </c>
      <c r="G155" s="39">
        <v>259.2</v>
      </c>
      <c r="H155" s="39">
        <v>259.2</v>
      </c>
      <c r="I155" s="39">
        <v>259.2</v>
      </c>
      <c r="J155" s="39">
        <v>259.2</v>
      </c>
      <c r="K155" s="39">
        <v>259.2</v>
      </c>
    </row>
    <row r="156" spans="1:11" ht="15.75">
      <c r="A156" s="49" t="s">
        <v>45</v>
      </c>
      <c r="B156" s="49" t="s">
        <v>48</v>
      </c>
      <c r="C156" s="50" t="s">
        <v>776</v>
      </c>
      <c r="D156" s="39">
        <v>329.4</v>
      </c>
      <c r="E156" s="39">
        <v>329.4</v>
      </c>
      <c r="F156" s="39">
        <v>329.4</v>
      </c>
      <c r="G156" s="39">
        <v>329.4</v>
      </c>
      <c r="H156" s="39">
        <v>329.4</v>
      </c>
      <c r="I156" s="39">
        <v>329.4</v>
      </c>
      <c r="J156" s="39">
        <v>329.4</v>
      </c>
      <c r="K156" s="39">
        <v>329.4</v>
      </c>
    </row>
    <row r="157" spans="1:11" ht="15.75">
      <c r="A157" s="49" t="s">
        <v>91</v>
      </c>
      <c r="B157" s="49" t="s">
        <v>48</v>
      </c>
      <c r="C157" s="50" t="s">
        <v>777</v>
      </c>
      <c r="D157" s="39">
        <v>1409.4</v>
      </c>
      <c r="E157" s="39">
        <v>1409.4</v>
      </c>
      <c r="F157" s="39">
        <v>1409.4</v>
      </c>
      <c r="G157" s="39">
        <v>1409.4</v>
      </c>
      <c r="H157" s="39">
        <v>1409.4</v>
      </c>
      <c r="I157" s="39">
        <v>1409.4</v>
      </c>
      <c r="J157" s="39">
        <v>1409.4</v>
      </c>
      <c r="K157" s="39">
        <v>1409.4</v>
      </c>
    </row>
    <row r="158" spans="1:11" ht="15.75">
      <c r="A158" s="49" t="s">
        <v>91</v>
      </c>
      <c r="B158" s="49" t="s">
        <v>48</v>
      </c>
      <c r="C158" s="50" t="s">
        <v>778</v>
      </c>
      <c r="D158" s="39">
        <v>3249</v>
      </c>
      <c r="E158" s="39">
        <v>3249</v>
      </c>
      <c r="F158" s="39">
        <v>3249</v>
      </c>
      <c r="G158" s="39">
        <v>3249</v>
      </c>
      <c r="H158" s="39">
        <v>3249</v>
      </c>
      <c r="I158" s="39">
        <v>3249</v>
      </c>
      <c r="J158" s="39">
        <v>3249</v>
      </c>
      <c r="K158" s="39">
        <v>3249</v>
      </c>
    </row>
    <row r="159" spans="1:11" ht="15.75">
      <c r="A159" s="49" t="s">
        <v>91</v>
      </c>
      <c r="B159" s="49" t="s">
        <v>48</v>
      </c>
      <c r="C159" s="50" t="s">
        <v>779</v>
      </c>
      <c r="D159" s="39">
        <v>2169</v>
      </c>
      <c r="E159" s="39">
        <v>2169</v>
      </c>
      <c r="F159" s="39">
        <v>2169</v>
      </c>
      <c r="G159" s="39">
        <v>2169</v>
      </c>
      <c r="H159" s="39">
        <v>2169</v>
      </c>
      <c r="I159" s="39">
        <v>2169</v>
      </c>
      <c r="J159" s="39">
        <v>2169</v>
      </c>
      <c r="K159" s="39">
        <v>2169</v>
      </c>
    </row>
    <row r="160" spans="1:11" ht="15.75">
      <c r="A160" s="49" t="s">
        <v>45</v>
      </c>
      <c r="B160" s="49" t="s">
        <v>48</v>
      </c>
      <c r="C160" s="50" t="s">
        <v>780</v>
      </c>
      <c r="D160" s="39">
        <v>349.2</v>
      </c>
      <c r="E160" s="39">
        <v>349.2</v>
      </c>
      <c r="F160" s="39">
        <v>349.2</v>
      </c>
      <c r="G160" s="39">
        <v>349.2</v>
      </c>
      <c r="H160" s="39">
        <v>349.2</v>
      </c>
      <c r="I160" s="39">
        <v>349.2</v>
      </c>
      <c r="J160" s="39">
        <v>349.2</v>
      </c>
      <c r="K160" s="39">
        <v>349.2</v>
      </c>
    </row>
    <row r="161" spans="1:11" ht="15.75">
      <c r="A161" s="49" t="s">
        <v>91</v>
      </c>
      <c r="B161" s="49" t="s">
        <v>48</v>
      </c>
      <c r="C161" s="50" t="s">
        <v>781</v>
      </c>
      <c r="D161" s="39">
        <v>3499.2</v>
      </c>
      <c r="E161" s="39">
        <v>3499.2</v>
      </c>
      <c r="F161" s="39">
        <v>3499.2</v>
      </c>
      <c r="G161" s="39">
        <v>3499.2</v>
      </c>
      <c r="H161" s="39">
        <v>3499.2</v>
      </c>
      <c r="I161" s="39">
        <v>3499.2</v>
      </c>
      <c r="J161" s="39">
        <v>3499.2</v>
      </c>
      <c r="K161" s="39">
        <v>3499.2</v>
      </c>
    </row>
    <row r="162" spans="1:11" ht="15.75">
      <c r="A162" s="49" t="s">
        <v>91</v>
      </c>
      <c r="B162" s="49" t="s">
        <v>48</v>
      </c>
      <c r="C162" s="50" t="s">
        <v>782</v>
      </c>
      <c r="D162" s="39">
        <v>2999.7</v>
      </c>
      <c r="E162" s="39">
        <v>2999.7</v>
      </c>
      <c r="F162" s="39">
        <v>2999.7</v>
      </c>
      <c r="G162" s="39">
        <v>2999.7</v>
      </c>
      <c r="H162" s="39">
        <v>2999.7</v>
      </c>
      <c r="I162" s="39">
        <v>2999.7</v>
      </c>
      <c r="J162" s="39">
        <v>2999.7</v>
      </c>
      <c r="K162" s="39">
        <v>2999.7</v>
      </c>
    </row>
    <row r="163" spans="1:11" ht="15.75">
      <c r="A163" s="49" t="s">
        <v>91</v>
      </c>
      <c r="B163" s="49" t="s">
        <v>48</v>
      </c>
      <c r="C163" s="50" t="s">
        <v>783</v>
      </c>
      <c r="D163" s="39">
        <v>959.4</v>
      </c>
      <c r="E163" s="39">
        <v>959.4</v>
      </c>
      <c r="F163" s="39">
        <v>959.4</v>
      </c>
      <c r="G163" s="39">
        <v>959.4</v>
      </c>
      <c r="H163" s="39">
        <v>959.4</v>
      </c>
      <c r="I163" s="39">
        <v>959.4</v>
      </c>
      <c r="J163" s="39">
        <v>959.4</v>
      </c>
      <c r="K163" s="39">
        <v>959.4</v>
      </c>
    </row>
    <row r="164" spans="1:11" ht="15.75">
      <c r="A164" s="49" t="s">
        <v>91</v>
      </c>
      <c r="B164" s="49" t="s">
        <v>48</v>
      </c>
      <c r="C164" s="50" t="s">
        <v>784</v>
      </c>
      <c r="D164" s="39">
        <v>1048.5</v>
      </c>
      <c r="E164" s="39">
        <v>1048.5</v>
      </c>
      <c r="F164" s="39">
        <v>1048.5</v>
      </c>
      <c r="G164" s="39">
        <v>1048.5</v>
      </c>
      <c r="H164" s="39">
        <v>1048.5</v>
      </c>
      <c r="I164" s="39">
        <v>1048.5</v>
      </c>
      <c r="J164" s="39">
        <v>1048.5</v>
      </c>
      <c r="K164" s="39">
        <v>1048.5</v>
      </c>
    </row>
    <row r="165" spans="1:11" ht="15.75">
      <c r="A165" s="49" t="s">
        <v>45</v>
      </c>
      <c r="B165" s="49" t="s">
        <v>48</v>
      </c>
      <c r="C165" s="50" t="s">
        <v>785</v>
      </c>
      <c r="D165" s="39">
        <v>279</v>
      </c>
      <c r="E165" s="39">
        <v>279</v>
      </c>
      <c r="F165" s="39">
        <v>279</v>
      </c>
      <c r="G165" s="39">
        <v>279</v>
      </c>
      <c r="H165" s="39">
        <v>279</v>
      </c>
      <c r="I165" s="39">
        <v>279</v>
      </c>
      <c r="J165" s="39">
        <v>279</v>
      </c>
      <c r="K165" s="39">
        <v>279</v>
      </c>
    </row>
    <row r="166" spans="1:11" ht="15.75">
      <c r="A166" s="49" t="s">
        <v>66</v>
      </c>
      <c r="B166" s="49" t="s">
        <v>48</v>
      </c>
      <c r="C166" s="50" t="s">
        <v>786</v>
      </c>
      <c r="D166" s="39">
        <v>299.7</v>
      </c>
      <c r="E166" s="39">
        <v>299.7</v>
      </c>
      <c r="F166" s="39">
        <v>299.7</v>
      </c>
      <c r="G166" s="39">
        <v>299.7</v>
      </c>
      <c r="H166" s="39">
        <v>299.7</v>
      </c>
      <c r="I166" s="39">
        <v>299.7</v>
      </c>
      <c r="J166" s="39">
        <v>299.7</v>
      </c>
      <c r="K166" s="39">
        <v>299.7</v>
      </c>
    </row>
    <row r="167" spans="1:11" ht="15.75">
      <c r="A167" s="49" t="s">
        <v>91</v>
      </c>
      <c r="B167" s="49" t="s">
        <v>48</v>
      </c>
      <c r="C167" s="50" t="s">
        <v>787</v>
      </c>
      <c r="D167" s="39">
        <v>1279.8</v>
      </c>
      <c r="E167" s="39">
        <v>1279.8</v>
      </c>
      <c r="F167" s="39">
        <v>1279.8</v>
      </c>
      <c r="G167" s="39">
        <v>1279.8</v>
      </c>
      <c r="H167" s="39">
        <v>1279.8</v>
      </c>
      <c r="I167" s="39">
        <v>1279.8</v>
      </c>
      <c r="J167" s="39">
        <v>1279.8</v>
      </c>
      <c r="K167" s="39">
        <v>1279.8</v>
      </c>
    </row>
    <row r="168" spans="1:11" ht="15.75">
      <c r="A168" s="49" t="s">
        <v>45</v>
      </c>
      <c r="B168" s="49" t="s">
        <v>48</v>
      </c>
      <c r="C168" s="50" t="s">
        <v>788</v>
      </c>
      <c r="D168" s="39">
        <v>499.5</v>
      </c>
      <c r="E168" s="39">
        <v>499.5</v>
      </c>
      <c r="F168" s="39">
        <v>499.5</v>
      </c>
      <c r="G168" s="39">
        <v>499.5</v>
      </c>
      <c r="H168" s="39">
        <v>499.5</v>
      </c>
      <c r="I168" s="39">
        <v>499.5</v>
      </c>
      <c r="J168" s="39">
        <v>499.5</v>
      </c>
      <c r="K168" s="39">
        <v>499.5</v>
      </c>
    </row>
    <row r="169" spans="1:11" ht="15.75">
      <c r="A169" s="49" t="s">
        <v>91</v>
      </c>
      <c r="B169" s="49" t="s">
        <v>48</v>
      </c>
      <c r="C169" s="50" t="s">
        <v>789</v>
      </c>
      <c r="D169" s="39">
        <v>799.2</v>
      </c>
      <c r="E169" s="39">
        <v>799.2</v>
      </c>
      <c r="F169" s="39">
        <v>799.2</v>
      </c>
      <c r="G169" s="39">
        <v>799.2</v>
      </c>
      <c r="H169" s="39">
        <v>799.2</v>
      </c>
      <c r="I169" s="39">
        <v>799.2</v>
      </c>
      <c r="J169" s="39">
        <v>799.2</v>
      </c>
      <c r="K169" s="39">
        <v>799.2</v>
      </c>
    </row>
    <row r="170" spans="1:11" ht="15.75">
      <c r="A170" s="49" t="s">
        <v>91</v>
      </c>
      <c r="B170" s="42" t="s">
        <v>941</v>
      </c>
      <c r="C170" s="50" t="s">
        <v>790</v>
      </c>
      <c r="D170" s="39">
        <v>499.5</v>
      </c>
      <c r="E170" s="39">
        <v>499.5</v>
      </c>
      <c r="F170" s="39">
        <v>499.5</v>
      </c>
      <c r="G170" s="39">
        <v>499.5</v>
      </c>
      <c r="H170" s="39">
        <v>499.5</v>
      </c>
      <c r="I170" s="39">
        <v>499.5</v>
      </c>
      <c r="J170" s="39">
        <v>499.5</v>
      </c>
      <c r="K170" s="39">
        <v>499.5</v>
      </c>
    </row>
    <row r="171" spans="1:11" ht="15.75">
      <c r="A171" s="49" t="s">
        <v>91</v>
      </c>
      <c r="B171" s="42" t="s">
        <v>941</v>
      </c>
      <c r="C171" s="50" t="s">
        <v>791</v>
      </c>
      <c r="D171" s="39">
        <v>899.1</v>
      </c>
      <c r="E171" s="39">
        <v>899.1</v>
      </c>
      <c r="F171" s="39">
        <v>899.1</v>
      </c>
      <c r="G171" s="39">
        <v>899.1</v>
      </c>
      <c r="H171" s="39">
        <v>899.1</v>
      </c>
      <c r="I171" s="39">
        <v>899.1</v>
      </c>
      <c r="J171" s="39">
        <v>899.1</v>
      </c>
      <c r="K171" s="39">
        <v>899.1</v>
      </c>
    </row>
    <row r="172" spans="1:11" ht="15.75">
      <c r="A172" s="49" t="s">
        <v>83</v>
      </c>
      <c r="B172" s="42" t="s">
        <v>941</v>
      </c>
      <c r="C172" s="50" t="s">
        <v>792</v>
      </c>
      <c r="D172" s="39">
        <v>499.5</v>
      </c>
      <c r="E172" s="39">
        <v>499.5</v>
      </c>
      <c r="F172" s="39">
        <v>499.5</v>
      </c>
      <c r="G172" s="39">
        <v>499.5</v>
      </c>
      <c r="H172" s="39">
        <v>499.5</v>
      </c>
      <c r="I172" s="39">
        <v>499.5</v>
      </c>
      <c r="J172" s="39">
        <v>499.5</v>
      </c>
      <c r="K172" s="39">
        <v>499.5</v>
      </c>
    </row>
    <row r="173" spans="1:11" ht="15.75">
      <c r="A173" s="49" t="s">
        <v>83</v>
      </c>
      <c r="B173" s="49" t="s">
        <v>48</v>
      </c>
      <c r="C173" s="50" t="s">
        <v>793</v>
      </c>
      <c r="D173" s="39">
        <v>1199.7</v>
      </c>
      <c r="E173" s="39">
        <v>1199.7</v>
      </c>
      <c r="F173" s="39">
        <v>1199.7</v>
      </c>
      <c r="G173" s="39">
        <v>1199.7</v>
      </c>
      <c r="H173" s="39">
        <v>1199.7</v>
      </c>
      <c r="I173" s="39">
        <v>1199.7</v>
      </c>
      <c r="J173" s="39">
        <v>1199.7</v>
      </c>
      <c r="K173" s="39">
        <v>1199.7</v>
      </c>
    </row>
    <row r="174" spans="1:11" ht="15.75">
      <c r="A174" s="49" t="s">
        <v>91</v>
      </c>
      <c r="B174" s="42" t="s">
        <v>649</v>
      </c>
      <c r="C174" s="50" t="s">
        <v>794</v>
      </c>
      <c r="D174" s="39">
        <v>3029.4</v>
      </c>
      <c r="E174" s="39">
        <v>3029.4</v>
      </c>
      <c r="F174" s="39">
        <v>3029.4</v>
      </c>
      <c r="G174" s="39">
        <v>3029.4</v>
      </c>
      <c r="H174" s="39">
        <v>3029.4</v>
      </c>
      <c r="I174" s="39">
        <v>3029.4</v>
      </c>
      <c r="J174" s="39">
        <v>3029.4</v>
      </c>
      <c r="K174" s="39">
        <v>3029.4</v>
      </c>
    </row>
    <row r="175" spans="1:11" ht="15.75">
      <c r="A175" s="49" t="s">
        <v>83</v>
      </c>
      <c r="B175" s="49" t="s">
        <v>48</v>
      </c>
      <c r="C175" s="50" t="s">
        <v>795</v>
      </c>
      <c r="D175" s="39">
        <v>1019.7</v>
      </c>
      <c r="E175" s="39">
        <v>1019.7</v>
      </c>
      <c r="F175" s="39">
        <v>1019.7</v>
      </c>
      <c r="G175" s="39">
        <v>1019.7</v>
      </c>
      <c r="H175" s="39">
        <v>1019.7</v>
      </c>
      <c r="I175" s="39">
        <v>1019.7</v>
      </c>
      <c r="J175" s="39">
        <v>1019.7</v>
      </c>
      <c r="K175" s="39">
        <v>1019.7</v>
      </c>
    </row>
    <row r="176" spans="1:11" ht="15.75">
      <c r="A176" s="49" t="s">
        <v>91</v>
      </c>
      <c r="B176" s="49" t="s">
        <v>48</v>
      </c>
      <c r="C176" s="50" t="s">
        <v>796</v>
      </c>
      <c r="D176" s="39">
        <v>999</v>
      </c>
      <c r="E176" s="39">
        <v>999</v>
      </c>
      <c r="F176" s="39">
        <v>999</v>
      </c>
      <c r="G176" s="39">
        <v>999</v>
      </c>
      <c r="H176" s="39">
        <v>999</v>
      </c>
      <c r="I176" s="39">
        <v>999</v>
      </c>
      <c r="J176" s="39">
        <v>999</v>
      </c>
      <c r="K176" s="39">
        <v>999</v>
      </c>
    </row>
    <row r="177" spans="1:11" ht="15.75">
      <c r="A177" s="49" t="s">
        <v>91</v>
      </c>
      <c r="B177" s="49" t="s">
        <v>48</v>
      </c>
      <c r="C177" s="50" t="s">
        <v>800</v>
      </c>
      <c r="D177" s="39">
        <v>3099.6</v>
      </c>
      <c r="E177" s="39">
        <v>3099.6</v>
      </c>
      <c r="F177" s="39">
        <v>3099.6</v>
      </c>
      <c r="G177" s="39">
        <v>3099.6</v>
      </c>
      <c r="H177" s="39">
        <v>3099.6</v>
      </c>
      <c r="I177" s="39">
        <v>3099.6</v>
      </c>
      <c r="J177" s="39">
        <v>3099.6</v>
      </c>
      <c r="K177" s="39">
        <v>3099.6</v>
      </c>
    </row>
    <row r="178" spans="1:11" ht="15.75">
      <c r="A178" s="49" t="s">
        <v>83</v>
      </c>
      <c r="B178" s="49" t="s">
        <v>48</v>
      </c>
      <c r="C178" s="50" t="s">
        <v>801</v>
      </c>
      <c r="D178" s="39">
        <v>639</v>
      </c>
      <c r="E178" s="39">
        <v>639</v>
      </c>
      <c r="F178" s="39">
        <v>639</v>
      </c>
      <c r="G178" s="39">
        <v>639</v>
      </c>
      <c r="H178" s="39">
        <v>639</v>
      </c>
      <c r="I178" s="39">
        <v>639</v>
      </c>
      <c r="J178" s="39">
        <v>639</v>
      </c>
      <c r="K178" s="39">
        <v>639</v>
      </c>
    </row>
    <row r="179" spans="1:11" ht="15.75">
      <c r="A179" s="49" t="s">
        <v>45</v>
      </c>
      <c r="B179" s="49" t="s">
        <v>48</v>
      </c>
      <c r="C179" s="50" t="s">
        <v>802</v>
      </c>
      <c r="D179" s="39">
        <v>339.3</v>
      </c>
      <c r="E179" s="39">
        <v>339.3</v>
      </c>
      <c r="F179" s="39">
        <v>339.3</v>
      </c>
      <c r="G179" s="39">
        <v>339.3</v>
      </c>
      <c r="H179" s="39">
        <v>339.3</v>
      </c>
      <c r="I179" s="39">
        <v>339.3</v>
      </c>
      <c r="J179" s="39">
        <v>339.3</v>
      </c>
      <c r="K179" s="39">
        <v>339.3</v>
      </c>
    </row>
    <row r="180" spans="1:11" ht="15.75">
      <c r="A180" s="49" t="s">
        <v>45</v>
      </c>
      <c r="B180" s="49" t="s">
        <v>48</v>
      </c>
      <c r="C180" s="50" t="s">
        <v>803</v>
      </c>
      <c r="D180" s="39">
        <v>519.29999999999995</v>
      </c>
      <c r="E180" s="39">
        <v>519.29999999999995</v>
      </c>
      <c r="F180" s="39">
        <v>519.29999999999995</v>
      </c>
      <c r="G180" s="39">
        <v>519.29999999999995</v>
      </c>
      <c r="H180" s="39">
        <v>519.29999999999995</v>
      </c>
      <c r="I180" s="39">
        <v>519.29999999999995</v>
      </c>
      <c r="J180" s="39">
        <v>519.29999999999995</v>
      </c>
      <c r="K180" s="39">
        <v>519.29999999999995</v>
      </c>
    </row>
    <row r="181" spans="1:11" ht="15.75">
      <c r="A181" s="49" t="s">
        <v>45</v>
      </c>
      <c r="B181" s="49" t="s">
        <v>48</v>
      </c>
      <c r="C181" s="50" t="s">
        <v>804</v>
      </c>
      <c r="D181" s="39">
        <v>269.10000000000002</v>
      </c>
      <c r="E181" s="39">
        <v>269.10000000000002</v>
      </c>
      <c r="F181" s="39">
        <v>269.10000000000002</v>
      </c>
      <c r="G181" s="39">
        <v>269.10000000000002</v>
      </c>
      <c r="H181" s="39">
        <v>269.10000000000002</v>
      </c>
      <c r="I181" s="39">
        <v>269.10000000000002</v>
      </c>
      <c r="J181" s="39">
        <v>269.10000000000002</v>
      </c>
      <c r="K181" s="39">
        <v>269.10000000000002</v>
      </c>
    </row>
    <row r="182" spans="1:11" ht="15.75">
      <c r="A182" s="49" t="s">
        <v>83</v>
      </c>
      <c r="B182" s="49" t="s">
        <v>48</v>
      </c>
      <c r="C182" s="50" t="s">
        <v>805</v>
      </c>
      <c r="D182" s="39">
        <v>599.4</v>
      </c>
      <c r="E182" s="39">
        <v>599.4</v>
      </c>
      <c r="F182" s="39">
        <v>599.4</v>
      </c>
      <c r="G182" s="39">
        <v>599.4</v>
      </c>
      <c r="H182" s="39">
        <v>599.4</v>
      </c>
      <c r="I182" s="39">
        <v>599.4</v>
      </c>
      <c r="J182" s="39">
        <v>599.4</v>
      </c>
      <c r="K182" s="39">
        <v>599.4</v>
      </c>
    </row>
    <row r="183" spans="1:11" ht="15.75">
      <c r="A183" s="49" t="s">
        <v>45</v>
      </c>
      <c r="B183" s="49" t="s">
        <v>48</v>
      </c>
      <c r="C183" s="50" t="s">
        <v>806</v>
      </c>
      <c r="D183" s="39">
        <v>229.5</v>
      </c>
      <c r="E183" s="39">
        <v>229.5</v>
      </c>
      <c r="F183" s="39">
        <v>229.5</v>
      </c>
      <c r="G183" s="39">
        <v>229.5</v>
      </c>
      <c r="H183" s="39">
        <v>229.5</v>
      </c>
      <c r="I183" s="39">
        <v>229.5</v>
      </c>
      <c r="J183" s="39">
        <v>229.5</v>
      </c>
      <c r="K183" s="39">
        <v>229.5</v>
      </c>
    </row>
    <row r="184" spans="1:11" ht="15.75">
      <c r="A184" s="49" t="s">
        <v>45</v>
      </c>
      <c r="B184" s="49" t="s">
        <v>48</v>
      </c>
      <c r="C184" s="50" t="s">
        <v>807</v>
      </c>
      <c r="D184" s="39">
        <v>339.3</v>
      </c>
      <c r="E184" s="39">
        <v>339.3</v>
      </c>
      <c r="F184" s="39">
        <v>339.3</v>
      </c>
      <c r="G184" s="39">
        <v>339.3</v>
      </c>
      <c r="H184" s="39">
        <v>339.3</v>
      </c>
      <c r="I184" s="39">
        <v>339.3</v>
      </c>
      <c r="J184" s="39">
        <v>339.3</v>
      </c>
      <c r="K184" s="39">
        <v>339.3</v>
      </c>
    </row>
    <row r="185" spans="1:11" ht="15.75">
      <c r="A185" s="49" t="s">
        <v>91</v>
      </c>
      <c r="B185" s="49" t="s">
        <v>48</v>
      </c>
      <c r="C185" s="50" t="s">
        <v>808</v>
      </c>
      <c r="D185" s="39">
        <v>2149.1999999999998</v>
      </c>
      <c r="E185" s="39">
        <v>2149.1999999999998</v>
      </c>
      <c r="F185" s="39">
        <v>2149.1999999999998</v>
      </c>
      <c r="G185" s="39">
        <v>2149.1999999999998</v>
      </c>
      <c r="H185" s="39">
        <v>2149.1999999999998</v>
      </c>
      <c r="I185" s="39">
        <v>2149.1999999999998</v>
      </c>
      <c r="J185" s="39">
        <v>2149.1999999999998</v>
      </c>
      <c r="K185" s="39">
        <v>2149.1999999999998</v>
      </c>
    </row>
    <row r="186" spans="1:11" ht="15.75">
      <c r="A186" s="49" t="s">
        <v>91</v>
      </c>
      <c r="B186" s="49" t="s">
        <v>48</v>
      </c>
      <c r="C186" s="50" t="s">
        <v>809</v>
      </c>
      <c r="D186" s="39">
        <v>2248.1999999999998</v>
      </c>
      <c r="E186" s="39">
        <v>2248.1999999999998</v>
      </c>
      <c r="F186" s="39">
        <v>2248.1999999999998</v>
      </c>
      <c r="G186" s="39">
        <v>2248.1999999999998</v>
      </c>
      <c r="H186" s="39">
        <v>2248.1999999999998</v>
      </c>
      <c r="I186" s="39">
        <v>2248.1999999999998</v>
      </c>
      <c r="J186" s="39">
        <v>2248.1999999999998</v>
      </c>
      <c r="K186" s="39">
        <v>2248.1999999999998</v>
      </c>
    </row>
    <row r="187" spans="1:11" ht="15.75">
      <c r="A187" s="49" t="s">
        <v>45</v>
      </c>
      <c r="B187" s="49" t="s">
        <v>48</v>
      </c>
      <c r="C187" s="50" t="s">
        <v>810</v>
      </c>
      <c r="D187" s="39">
        <v>569.70000000000005</v>
      </c>
      <c r="E187" s="39">
        <v>569.70000000000005</v>
      </c>
      <c r="F187" s="39">
        <v>569.70000000000005</v>
      </c>
      <c r="G187" s="39">
        <v>569.70000000000005</v>
      </c>
      <c r="H187" s="39">
        <v>569.70000000000005</v>
      </c>
      <c r="I187" s="39">
        <v>569.70000000000005</v>
      </c>
      <c r="J187" s="39">
        <v>569.70000000000005</v>
      </c>
      <c r="K187" s="39">
        <v>569.70000000000005</v>
      </c>
    </row>
    <row r="188" spans="1:11" ht="15.75">
      <c r="A188" s="49" t="s">
        <v>45</v>
      </c>
      <c r="B188" s="49" t="s">
        <v>48</v>
      </c>
      <c r="C188" s="50" t="s">
        <v>811</v>
      </c>
      <c r="D188" s="39">
        <v>349.2</v>
      </c>
      <c r="E188" s="39">
        <v>349.2</v>
      </c>
      <c r="F188" s="39">
        <v>349.2</v>
      </c>
      <c r="G188" s="39">
        <v>349.2</v>
      </c>
      <c r="H188" s="39">
        <v>349.2</v>
      </c>
      <c r="I188" s="39">
        <v>349.2</v>
      </c>
      <c r="J188" s="39">
        <v>349.2</v>
      </c>
      <c r="K188" s="39">
        <v>349.2</v>
      </c>
    </row>
    <row r="189" spans="1:11" ht="15.75">
      <c r="A189" s="49" t="s">
        <v>83</v>
      </c>
      <c r="B189" s="49" t="s">
        <v>48</v>
      </c>
      <c r="C189" s="50" t="s">
        <v>812</v>
      </c>
      <c r="D189" s="39">
        <v>609.29999999999995</v>
      </c>
      <c r="E189" s="39">
        <v>609.29999999999995</v>
      </c>
      <c r="F189" s="39">
        <v>609.29999999999995</v>
      </c>
      <c r="G189" s="39">
        <v>609.29999999999995</v>
      </c>
      <c r="H189" s="39">
        <v>609.29999999999995</v>
      </c>
      <c r="I189" s="39">
        <v>609.29999999999995</v>
      </c>
      <c r="J189" s="39">
        <v>609.29999999999995</v>
      </c>
      <c r="K189" s="39">
        <v>609.29999999999995</v>
      </c>
    </row>
    <row r="190" spans="1:11" ht="15.75">
      <c r="A190" s="49" t="s">
        <v>91</v>
      </c>
      <c r="B190" s="49" t="s">
        <v>48</v>
      </c>
      <c r="C190" s="50" t="s">
        <v>813</v>
      </c>
      <c r="D190" s="39">
        <v>2649.6</v>
      </c>
      <c r="E190" s="39">
        <v>2649.6</v>
      </c>
      <c r="F190" s="39">
        <v>2649.6</v>
      </c>
      <c r="G190" s="39">
        <v>2649.6</v>
      </c>
      <c r="H190" s="39">
        <v>2649.6</v>
      </c>
      <c r="I190" s="39">
        <v>2649.6</v>
      </c>
      <c r="J190" s="39">
        <v>2649.6</v>
      </c>
      <c r="K190" s="39">
        <v>2649.6</v>
      </c>
    </row>
    <row r="191" spans="1:11" ht="15.75">
      <c r="A191" s="49" t="s">
        <v>91</v>
      </c>
      <c r="B191" s="49" t="s">
        <v>48</v>
      </c>
      <c r="C191" s="50" t="s">
        <v>814</v>
      </c>
      <c r="D191" s="39">
        <v>2748.6</v>
      </c>
      <c r="E191" s="39">
        <v>2748.6</v>
      </c>
      <c r="F191" s="39">
        <v>2748.6</v>
      </c>
      <c r="G191" s="39">
        <v>2748.6</v>
      </c>
      <c r="H191" s="39">
        <v>2748.6</v>
      </c>
      <c r="I191" s="39">
        <v>2748.6</v>
      </c>
      <c r="J191" s="39">
        <v>2748.6</v>
      </c>
      <c r="K191" s="39">
        <v>2748.6</v>
      </c>
    </row>
    <row r="192" spans="1:11" ht="15.75">
      <c r="A192" s="49" t="s">
        <v>91</v>
      </c>
      <c r="B192" s="49" t="s">
        <v>48</v>
      </c>
      <c r="C192" s="50" t="s">
        <v>815</v>
      </c>
      <c r="D192" s="39">
        <v>2369.6999999999998</v>
      </c>
      <c r="E192" s="39">
        <v>2369.6999999999998</v>
      </c>
      <c r="F192" s="39">
        <v>2369.6999999999998</v>
      </c>
      <c r="G192" s="39">
        <v>2369.6999999999998</v>
      </c>
      <c r="H192" s="39">
        <v>2369.6999999999998</v>
      </c>
      <c r="I192" s="39">
        <v>2369.6999999999998</v>
      </c>
      <c r="J192" s="39">
        <v>2369.6999999999998</v>
      </c>
      <c r="K192" s="39">
        <v>2369.6999999999998</v>
      </c>
    </row>
    <row r="193" spans="1:11" ht="15.75">
      <c r="A193" s="49" t="s">
        <v>91</v>
      </c>
      <c r="B193" s="49" t="s">
        <v>48</v>
      </c>
      <c r="C193" s="50" t="s">
        <v>816</v>
      </c>
      <c r="D193" s="39">
        <v>2468.6999999999998</v>
      </c>
      <c r="E193" s="39">
        <v>2468.6999999999998</v>
      </c>
      <c r="F193" s="39">
        <v>2468.6999999999998</v>
      </c>
      <c r="G193" s="39">
        <v>2468.6999999999998</v>
      </c>
      <c r="H193" s="39">
        <v>2468.6999999999998</v>
      </c>
      <c r="I193" s="39">
        <v>2468.6999999999998</v>
      </c>
      <c r="J193" s="39">
        <v>2468.6999999999998</v>
      </c>
      <c r="K193" s="39">
        <v>2468.6999999999998</v>
      </c>
    </row>
    <row r="194" spans="1:11" ht="15.75">
      <c r="A194" s="49" t="s">
        <v>83</v>
      </c>
      <c r="B194" s="49" t="s">
        <v>48</v>
      </c>
      <c r="C194" s="50" t="s">
        <v>817</v>
      </c>
      <c r="D194" s="39">
        <v>819</v>
      </c>
      <c r="E194" s="39">
        <v>819</v>
      </c>
      <c r="F194" s="39">
        <v>819</v>
      </c>
      <c r="G194" s="39">
        <v>819</v>
      </c>
      <c r="H194" s="39">
        <v>819</v>
      </c>
      <c r="I194" s="39">
        <v>819</v>
      </c>
      <c r="J194" s="39">
        <v>819</v>
      </c>
      <c r="K194" s="39">
        <v>819</v>
      </c>
    </row>
    <row r="195" spans="1:11" ht="15.75">
      <c r="A195" s="49" t="s">
        <v>91</v>
      </c>
      <c r="B195" s="42" t="s">
        <v>649</v>
      </c>
      <c r="C195" s="50" t="s">
        <v>818</v>
      </c>
      <c r="D195" s="39">
        <v>2999.7</v>
      </c>
      <c r="E195" s="39">
        <v>2999.7</v>
      </c>
      <c r="F195" s="39">
        <v>2999.7</v>
      </c>
      <c r="G195" s="39">
        <v>2999.7</v>
      </c>
      <c r="H195" s="39">
        <v>2999.7</v>
      </c>
      <c r="I195" s="39">
        <v>2999.7</v>
      </c>
      <c r="J195" s="39">
        <v>2999.7</v>
      </c>
      <c r="K195" s="39">
        <v>2999.7</v>
      </c>
    </row>
    <row r="196" spans="1:11" ht="15.75">
      <c r="A196" s="49" t="s">
        <v>66</v>
      </c>
      <c r="B196" s="49" t="s">
        <v>48</v>
      </c>
      <c r="C196" s="50" t="s">
        <v>819</v>
      </c>
      <c r="D196" s="39">
        <v>359.1</v>
      </c>
      <c r="E196" s="39">
        <v>359.1</v>
      </c>
      <c r="F196" s="39">
        <v>359.1</v>
      </c>
      <c r="G196" s="39">
        <v>359.1</v>
      </c>
      <c r="H196" s="39">
        <v>359.1</v>
      </c>
      <c r="I196" s="39">
        <v>359.1</v>
      </c>
      <c r="J196" s="39">
        <v>359.1</v>
      </c>
      <c r="K196" s="39">
        <v>359.1</v>
      </c>
    </row>
    <row r="197" spans="1:11" ht="15.75">
      <c r="A197" s="49" t="s">
        <v>66</v>
      </c>
      <c r="B197" s="49" t="s">
        <v>48</v>
      </c>
      <c r="C197" s="50" t="s">
        <v>820</v>
      </c>
      <c r="D197" s="39">
        <v>279</v>
      </c>
      <c r="E197" s="39">
        <v>279</v>
      </c>
      <c r="F197" s="39">
        <v>279</v>
      </c>
      <c r="G197" s="39">
        <v>279</v>
      </c>
      <c r="H197" s="39">
        <v>279</v>
      </c>
      <c r="I197" s="39">
        <v>279</v>
      </c>
      <c r="J197" s="39">
        <v>279</v>
      </c>
      <c r="K197" s="39">
        <v>279</v>
      </c>
    </row>
    <row r="198" spans="1:11" ht="15.75">
      <c r="A198" s="49" t="s">
        <v>45</v>
      </c>
      <c r="B198" s="49" t="s">
        <v>48</v>
      </c>
      <c r="C198" s="50" t="s">
        <v>821</v>
      </c>
      <c r="D198" s="39">
        <v>379.8</v>
      </c>
      <c r="E198" s="39">
        <v>379.8</v>
      </c>
      <c r="F198" s="39">
        <v>379.8</v>
      </c>
      <c r="G198" s="39">
        <v>379.8</v>
      </c>
      <c r="H198" s="39">
        <v>379.8</v>
      </c>
      <c r="I198" s="39">
        <v>379.8</v>
      </c>
      <c r="J198" s="39">
        <v>379.8</v>
      </c>
      <c r="K198" s="39">
        <v>379.8</v>
      </c>
    </row>
    <row r="199" spans="1:11" ht="15.75">
      <c r="A199" s="49" t="s">
        <v>45</v>
      </c>
      <c r="B199" s="49" t="s">
        <v>48</v>
      </c>
      <c r="C199" s="50" t="s">
        <v>822</v>
      </c>
      <c r="D199" s="39">
        <v>499.5</v>
      </c>
      <c r="E199" s="39">
        <v>499.5</v>
      </c>
      <c r="F199" s="39">
        <v>499.5</v>
      </c>
      <c r="G199" s="39">
        <v>499.5</v>
      </c>
      <c r="H199" s="39">
        <v>499.5</v>
      </c>
      <c r="I199" s="39">
        <v>499.5</v>
      </c>
      <c r="J199" s="39">
        <v>499.5</v>
      </c>
      <c r="K199" s="39">
        <v>499.5</v>
      </c>
    </row>
    <row r="200" spans="1:11" ht="15.75">
      <c r="A200" s="49" t="s">
        <v>45</v>
      </c>
      <c r="B200" s="49" t="s">
        <v>48</v>
      </c>
      <c r="C200" s="50" t="s">
        <v>823</v>
      </c>
      <c r="D200" s="39">
        <v>409.5</v>
      </c>
      <c r="E200" s="39">
        <v>409.5</v>
      </c>
      <c r="F200" s="39">
        <v>409.5</v>
      </c>
      <c r="G200" s="39">
        <v>409.5</v>
      </c>
      <c r="H200" s="39">
        <v>409.5</v>
      </c>
      <c r="I200" s="39">
        <v>409.5</v>
      </c>
      <c r="J200" s="39">
        <v>409.5</v>
      </c>
      <c r="K200" s="39">
        <v>409.5</v>
      </c>
    </row>
    <row r="201" spans="1:11" ht="15.75">
      <c r="A201" s="49" t="s">
        <v>45</v>
      </c>
      <c r="B201" s="49" t="s">
        <v>48</v>
      </c>
      <c r="C201" s="50" t="s">
        <v>824</v>
      </c>
      <c r="D201" s="39">
        <v>679.5</v>
      </c>
      <c r="E201" s="39">
        <v>679.5</v>
      </c>
      <c r="F201" s="39">
        <v>679.5</v>
      </c>
      <c r="G201" s="39">
        <v>679.5</v>
      </c>
      <c r="H201" s="39">
        <v>679.5</v>
      </c>
      <c r="I201" s="39">
        <v>679.5</v>
      </c>
      <c r="J201" s="39">
        <v>679.5</v>
      </c>
      <c r="K201" s="39">
        <v>679.5</v>
      </c>
    </row>
    <row r="202" spans="1:11" ht="15.75">
      <c r="A202" s="49" t="s">
        <v>45</v>
      </c>
      <c r="B202" s="49" t="s">
        <v>48</v>
      </c>
      <c r="C202" s="50" t="s">
        <v>825</v>
      </c>
      <c r="D202" s="39">
        <v>399.6</v>
      </c>
      <c r="E202" s="39">
        <v>399.6</v>
      </c>
      <c r="F202" s="39">
        <v>399.6</v>
      </c>
      <c r="G202" s="39">
        <v>399.6</v>
      </c>
      <c r="H202" s="39">
        <v>399.6</v>
      </c>
      <c r="I202" s="39">
        <v>399.6</v>
      </c>
      <c r="J202" s="39">
        <v>399.6</v>
      </c>
      <c r="K202" s="39">
        <v>399.6</v>
      </c>
    </row>
    <row r="203" spans="1:11" ht="15.75">
      <c r="A203" s="49" t="s">
        <v>91</v>
      </c>
      <c r="B203" s="49" t="s">
        <v>48</v>
      </c>
      <c r="C203" s="50" t="s">
        <v>826</v>
      </c>
      <c r="D203" s="39">
        <v>2388.6</v>
      </c>
      <c r="E203" s="39">
        <v>2388.6</v>
      </c>
      <c r="F203" s="39">
        <v>2388.6</v>
      </c>
      <c r="G203" s="39">
        <v>2388.6</v>
      </c>
      <c r="H203" s="39">
        <v>2388.6</v>
      </c>
      <c r="I203" s="39">
        <v>2388.6</v>
      </c>
      <c r="J203" s="39">
        <v>2388.6</v>
      </c>
      <c r="K203" s="39">
        <v>2388.6</v>
      </c>
    </row>
    <row r="204" spans="1:11" ht="15.75">
      <c r="A204" s="49" t="s">
        <v>91</v>
      </c>
      <c r="B204" s="49" t="s">
        <v>48</v>
      </c>
      <c r="C204" s="50" t="s">
        <v>827</v>
      </c>
      <c r="D204" s="39">
        <v>2499.3000000000002</v>
      </c>
      <c r="E204" s="39">
        <v>2499.3000000000002</v>
      </c>
      <c r="F204" s="39">
        <v>2499.3000000000002</v>
      </c>
      <c r="G204" s="39">
        <v>2499.3000000000002</v>
      </c>
      <c r="H204" s="39">
        <v>2499.3000000000002</v>
      </c>
      <c r="I204" s="39">
        <v>2499.3000000000002</v>
      </c>
      <c r="J204" s="39">
        <v>2499.3000000000002</v>
      </c>
      <c r="K204" s="39">
        <v>2499.3000000000002</v>
      </c>
    </row>
    <row r="205" spans="1:11" ht="15.75">
      <c r="A205" s="49" t="s">
        <v>91</v>
      </c>
      <c r="B205" s="49" t="s">
        <v>48</v>
      </c>
      <c r="C205" s="50" t="s">
        <v>828</v>
      </c>
      <c r="D205" s="39">
        <v>2999.7</v>
      </c>
      <c r="E205" s="39">
        <v>2999.7</v>
      </c>
      <c r="F205" s="39">
        <v>2999.7</v>
      </c>
      <c r="G205" s="39">
        <v>2999.7</v>
      </c>
      <c r="H205" s="39">
        <v>2999.7</v>
      </c>
      <c r="I205" s="39">
        <v>2999.7</v>
      </c>
      <c r="J205" s="39">
        <v>2999.7</v>
      </c>
      <c r="K205" s="39">
        <v>2999.7</v>
      </c>
    </row>
    <row r="206" spans="1:11" ht="15.75">
      <c r="A206" s="49" t="s">
        <v>91</v>
      </c>
      <c r="B206" s="49" t="s">
        <v>48</v>
      </c>
      <c r="C206" s="50" t="s">
        <v>829</v>
      </c>
      <c r="D206" s="39">
        <v>3019.5</v>
      </c>
      <c r="E206" s="39">
        <v>3019.5</v>
      </c>
      <c r="F206" s="39">
        <v>3019.5</v>
      </c>
      <c r="G206" s="39">
        <v>3019.5</v>
      </c>
      <c r="H206" s="39">
        <v>3019.5</v>
      </c>
      <c r="I206" s="39">
        <v>3019.5</v>
      </c>
      <c r="J206" s="39">
        <v>3019.5</v>
      </c>
      <c r="K206" s="39">
        <v>3019.5</v>
      </c>
    </row>
    <row r="207" spans="1:11" ht="15.75">
      <c r="A207" s="49" t="s">
        <v>91</v>
      </c>
      <c r="B207" s="49" t="s">
        <v>48</v>
      </c>
      <c r="C207" s="50" t="s">
        <v>830</v>
      </c>
      <c r="D207" s="39">
        <v>3009.6</v>
      </c>
      <c r="E207" s="39">
        <v>3009.6</v>
      </c>
      <c r="F207" s="39">
        <v>3009.6</v>
      </c>
      <c r="G207" s="39">
        <v>3009.6</v>
      </c>
      <c r="H207" s="39">
        <v>3009.6</v>
      </c>
      <c r="I207" s="39">
        <v>3009.6</v>
      </c>
      <c r="J207" s="39">
        <v>3009.6</v>
      </c>
      <c r="K207" s="39">
        <v>3009.6</v>
      </c>
    </row>
    <row r="208" spans="1:11" ht="15.75">
      <c r="A208" s="49" t="s">
        <v>91</v>
      </c>
      <c r="B208" s="49" t="s">
        <v>48</v>
      </c>
      <c r="C208" s="50" t="s">
        <v>831</v>
      </c>
      <c r="D208" s="39">
        <v>3039.3</v>
      </c>
      <c r="E208" s="39">
        <v>3039.3</v>
      </c>
      <c r="F208" s="39">
        <v>3039.3</v>
      </c>
      <c r="G208" s="39">
        <v>3039.3</v>
      </c>
      <c r="H208" s="39">
        <v>3039.3</v>
      </c>
      <c r="I208" s="39">
        <v>3039.3</v>
      </c>
      <c r="J208" s="39">
        <v>3039.3</v>
      </c>
      <c r="K208" s="39">
        <v>3039.3</v>
      </c>
    </row>
    <row r="209" spans="1:11" ht="15.75">
      <c r="A209" s="49" t="s">
        <v>91</v>
      </c>
      <c r="B209" s="49" t="s">
        <v>48</v>
      </c>
      <c r="C209" s="50" t="s">
        <v>832</v>
      </c>
      <c r="D209" s="39">
        <v>3089.7</v>
      </c>
      <c r="E209" s="39">
        <v>3089.7</v>
      </c>
      <c r="F209" s="39">
        <v>3089.7</v>
      </c>
      <c r="G209" s="39">
        <v>3089.7</v>
      </c>
      <c r="H209" s="39">
        <v>3089.7</v>
      </c>
      <c r="I209" s="39">
        <v>3089.7</v>
      </c>
      <c r="J209" s="39">
        <v>3089.7</v>
      </c>
      <c r="K209" s="39">
        <v>3089.7</v>
      </c>
    </row>
    <row r="210" spans="1:11" ht="15.75">
      <c r="A210" s="49" t="s">
        <v>91</v>
      </c>
      <c r="B210" s="49" t="s">
        <v>48</v>
      </c>
      <c r="C210" s="50" t="s">
        <v>833</v>
      </c>
      <c r="D210" s="39">
        <v>3349.8</v>
      </c>
      <c r="E210" s="39">
        <v>3349.8</v>
      </c>
      <c r="F210" s="39">
        <v>3349.8</v>
      </c>
      <c r="G210" s="39">
        <v>3349.8</v>
      </c>
      <c r="H210" s="39">
        <v>3349.8</v>
      </c>
      <c r="I210" s="39">
        <v>3349.8</v>
      </c>
      <c r="J210" s="39">
        <v>3349.8</v>
      </c>
      <c r="K210" s="39">
        <v>3349.8</v>
      </c>
    </row>
    <row r="211" spans="1:11" ht="15.75">
      <c r="A211" s="49" t="s">
        <v>91</v>
      </c>
      <c r="B211" s="49" t="s">
        <v>48</v>
      </c>
      <c r="C211" s="50" t="s">
        <v>834</v>
      </c>
      <c r="D211" s="39">
        <v>5689.8</v>
      </c>
      <c r="E211" s="39">
        <v>5689.8</v>
      </c>
      <c r="F211" s="39">
        <v>5689.8</v>
      </c>
      <c r="G211" s="39">
        <v>5689.8</v>
      </c>
      <c r="H211" s="39">
        <v>5689.8</v>
      </c>
      <c r="I211" s="39">
        <v>5689.8</v>
      </c>
      <c r="J211" s="39">
        <v>5689.8</v>
      </c>
      <c r="K211" s="39">
        <v>5689.8</v>
      </c>
    </row>
    <row r="212" spans="1:11" ht="15.75">
      <c r="A212" s="49" t="s">
        <v>835</v>
      </c>
      <c r="B212" s="49" t="s">
        <v>48</v>
      </c>
      <c r="C212" s="50" t="s">
        <v>836</v>
      </c>
      <c r="D212" s="39">
        <v>1929.6</v>
      </c>
      <c r="E212" s="39">
        <v>1929.6</v>
      </c>
      <c r="F212" s="39">
        <v>1929.6</v>
      </c>
      <c r="G212" s="39">
        <v>1929.6</v>
      </c>
      <c r="H212" s="39">
        <v>1929.6</v>
      </c>
      <c r="I212" s="39">
        <v>1929.6</v>
      </c>
      <c r="J212" s="39">
        <v>1929.6</v>
      </c>
      <c r="K212" s="39">
        <v>1929.6</v>
      </c>
    </row>
    <row r="213" spans="1:11" ht="15.75">
      <c r="A213" s="49" t="s">
        <v>83</v>
      </c>
      <c r="B213" s="49" t="s">
        <v>48</v>
      </c>
      <c r="C213" s="50" t="s">
        <v>837</v>
      </c>
      <c r="D213" s="39">
        <v>999</v>
      </c>
      <c r="E213" s="39">
        <v>999</v>
      </c>
      <c r="F213" s="39">
        <v>999</v>
      </c>
      <c r="G213" s="39">
        <v>999</v>
      </c>
      <c r="H213" s="39">
        <v>999</v>
      </c>
      <c r="I213" s="39">
        <v>999</v>
      </c>
      <c r="J213" s="39">
        <v>999</v>
      </c>
      <c r="K213" s="39">
        <v>999</v>
      </c>
    </row>
    <row r="214" spans="1:11" ht="15.75">
      <c r="A214" s="49" t="s">
        <v>91</v>
      </c>
      <c r="B214" s="49" t="s">
        <v>48</v>
      </c>
      <c r="C214" s="50" t="s">
        <v>838</v>
      </c>
      <c r="D214" s="39">
        <v>3899.7</v>
      </c>
      <c r="E214" s="39">
        <v>3899.7</v>
      </c>
      <c r="F214" s="39">
        <v>3899.7</v>
      </c>
      <c r="G214" s="39">
        <v>3899.7</v>
      </c>
      <c r="H214" s="39">
        <v>3899.7</v>
      </c>
      <c r="I214" s="39">
        <v>3899.7</v>
      </c>
      <c r="J214" s="39">
        <v>3899.7</v>
      </c>
      <c r="K214" s="39">
        <v>3899.7</v>
      </c>
    </row>
    <row r="215" spans="1:11" ht="15.75">
      <c r="A215" s="49" t="s">
        <v>83</v>
      </c>
      <c r="B215" s="49" t="s">
        <v>48</v>
      </c>
      <c r="C215" s="50" t="s">
        <v>293</v>
      </c>
      <c r="D215" s="39">
        <v>1109.7</v>
      </c>
      <c r="E215" s="39">
        <v>1109.7</v>
      </c>
      <c r="F215" s="39">
        <v>1109.7</v>
      </c>
      <c r="G215" s="39">
        <v>1109.7</v>
      </c>
      <c r="H215" s="39">
        <v>1109.7</v>
      </c>
      <c r="I215" s="39">
        <v>1109.7</v>
      </c>
      <c r="J215" s="39">
        <v>1109.7</v>
      </c>
      <c r="K215" s="39">
        <v>1109.7</v>
      </c>
    </row>
    <row r="216" spans="1:11" ht="15.75">
      <c r="A216" s="49" t="s">
        <v>83</v>
      </c>
      <c r="B216" s="45" t="s">
        <v>1014</v>
      </c>
      <c r="C216" s="50" t="s">
        <v>839</v>
      </c>
      <c r="D216" s="39">
        <v>549</v>
      </c>
      <c r="E216" s="39">
        <v>549</v>
      </c>
      <c r="F216" s="39">
        <v>549</v>
      </c>
      <c r="G216" s="39">
        <v>549</v>
      </c>
      <c r="H216" s="39">
        <v>549</v>
      </c>
      <c r="I216" s="39">
        <v>549</v>
      </c>
      <c r="J216" s="39">
        <v>549</v>
      </c>
      <c r="K216" s="39">
        <v>549</v>
      </c>
    </row>
    <row r="217" spans="1:11" ht="15.75">
      <c r="A217" s="49" t="s">
        <v>83</v>
      </c>
      <c r="B217" s="45" t="s">
        <v>1014</v>
      </c>
      <c r="C217" s="50" t="s">
        <v>840</v>
      </c>
      <c r="D217" s="39">
        <v>389.7</v>
      </c>
      <c r="E217" s="39">
        <v>389.7</v>
      </c>
      <c r="F217" s="39">
        <v>389.7</v>
      </c>
      <c r="G217" s="39">
        <v>389.7</v>
      </c>
      <c r="H217" s="39">
        <v>389.7</v>
      </c>
      <c r="I217" s="39">
        <v>389.7</v>
      </c>
      <c r="J217" s="39">
        <v>389.7</v>
      </c>
      <c r="K217" s="39">
        <v>389.7</v>
      </c>
    </row>
    <row r="218" spans="1:11" ht="15.75">
      <c r="A218" s="49" t="s">
        <v>45</v>
      </c>
      <c r="B218" s="49" t="s">
        <v>48</v>
      </c>
      <c r="C218" s="50" t="s">
        <v>841</v>
      </c>
      <c r="D218" s="39">
        <v>129.6</v>
      </c>
      <c r="E218" s="39">
        <v>129.6</v>
      </c>
      <c r="F218" s="39">
        <v>129.6</v>
      </c>
      <c r="G218" s="39">
        <v>129.6</v>
      </c>
      <c r="H218" s="39">
        <v>129.6</v>
      </c>
      <c r="I218" s="39">
        <v>129.6</v>
      </c>
      <c r="J218" s="39">
        <v>129.6</v>
      </c>
      <c r="K218" s="39">
        <v>129.6</v>
      </c>
    </row>
    <row r="219" spans="1:11" ht="15.75">
      <c r="A219" s="49" t="s">
        <v>45</v>
      </c>
      <c r="B219" s="49" t="s">
        <v>48</v>
      </c>
      <c r="C219" s="50" t="s">
        <v>842</v>
      </c>
      <c r="D219" s="39">
        <v>1059.3</v>
      </c>
      <c r="E219" s="39">
        <v>1059.3</v>
      </c>
      <c r="F219" s="39">
        <v>1059.3</v>
      </c>
      <c r="G219" s="39">
        <v>1059.3</v>
      </c>
      <c r="H219" s="39">
        <v>1059.3</v>
      </c>
      <c r="I219" s="39">
        <v>1059.3</v>
      </c>
      <c r="J219" s="39">
        <v>1059.3</v>
      </c>
      <c r="K219" s="39">
        <v>1059.3</v>
      </c>
    </row>
    <row r="220" spans="1:11" ht="15.75">
      <c r="A220" s="49" t="s">
        <v>83</v>
      </c>
      <c r="B220" s="49" t="s">
        <v>48</v>
      </c>
      <c r="C220" s="50" t="s">
        <v>843</v>
      </c>
      <c r="D220" s="39">
        <v>699.3</v>
      </c>
      <c r="E220" s="39">
        <v>699.3</v>
      </c>
      <c r="F220" s="39">
        <v>699.3</v>
      </c>
      <c r="G220" s="39">
        <v>699.3</v>
      </c>
      <c r="H220" s="39">
        <v>699.3</v>
      </c>
      <c r="I220" s="39">
        <v>699.3</v>
      </c>
      <c r="J220" s="39">
        <v>699.3</v>
      </c>
      <c r="K220" s="39">
        <v>699.3</v>
      </c>
    </row>
    <row r="221" spans="1:11" ht="15.75">
      <c r="A221" s="49" t="s">
        <v>83</v>
      </c>
      <c r="B221" s="49" t="s">
        <v>48</v>
      </c>
      <c r="C221" s="50" t="s">
        <v>844</v>
      </c>
      <c r="D221" s="39">
        <v>699.3</v>
      </c>
      <c r="E221" s="39">
        <v>699.3</v>
      </c>
      <c r="F221" s="39">
        <v>699.3</v>
      </c>
      <c r="G221" s="39">
        <v>699.3</v>
      </c>
      <c r="H221" s="39">
        <v>699.3</v>
      </c>
      <c r="I221" s="39">
        <v>699.3</v>
      </c>
      <c r="J221" s="39">
        <v>699.3</v>
      </c>
      <c r="K221" s="39">
        <v>699.3</v>
      </c>
    </row>
    <row r="222" spans="1:11" ht="15.75">
      <c r="A222" s="49" t="s">
        <v>83</v>
      </c>
      <c r="B222" s="49" t="s">
        <v>48</v>
      </c>
      <c r="C222" s="50" t="s">
        <v>845</v>
      </c>
      <c r="D222" s="39">
        <v>699.3</v>
      </c>
      <c r="E222" s="39">
        <v>699.3</v>
      </c>
      <c r="F222" s="39">
        <v>699.3</v>
      </c>
      <c r="G222" s="39">
        <v>699.3</v>
      </c>
      <c r="H222" s="39">
        <v>699.3</v>
      </c>
      <c r="I222" s="39">
        <v>699.3</v>
      </c>
      <c r="J222" s="39">
        <v>699.3</v>
      </c>
      <c r="K222" s="39">
        <v>699.3</v>
      </c>
    </row>
    <row r="223" spans="1:11" ht="15.75">
      <c r="A223" s="49" t="s">
        <v>91</v>
      </c>
      <c r="B223" s="49" t="s">
        <v>48</v>
      </c>
      <c r="C223" s="50" t="s">
        <v>846</v>
      </c>
      <c r="D223" s="39">
        <v>2599.1999999999998</v>
      </c>
      <c r="E223" s="39">
        <v>2599.1999999999998</v>
      </c>
      <c r="F223" s="39">
        <v>2599.1999999999998</v>
      </c>
      <c r="G223" s="39">
        <v>2599.1999999999998</v>
      </c>
      <c r="H223" s="39">
        <v>2599.1999999999998</v>
      </c>
      <c r="I223" s="39">
        <v>2599.1999999999998</v>
      </c>
      <c r="J223" s="39">
        <v>2599.1999999999998</v>
      </c>
      <c r="K223" s="39">
        <v>2599.1999999999998</v>
      </c>
    </row>
    <row r="224" spans="1:11" ht="15.75">
      <c r="A224" s="49" t="s">
        <v>91</v>
      </c>
      <c r="B224" s="49" t="s">
        <v>48</v>
      </c>
      <c r="C224" s="50" t="s">
        <v>847</v>
      </c>
      <c r="D224" s="39">
        <v>1459.8</v>
      </c>
      <c r="E224" s="39">
        <v>1459.8</v>
      </c>
      <c r="F224" s="39">
        <v>1459.8</v>
      </c>
      <c r="G224" s="39">
        <v>1459.8</v>
      </c>
      <c r="H224" s="39">
        <v>1459.8</v>
      </c>
      <c r="I224" s="39">
        <v>1459.8</v>
      </c>
      <c r="J224" s="39">
        <v>1459.8</v>
      </c>
      <c r="K224" s="39">
        <v>1459.8</v>
      </c>
    </row>
    <row r="225" spans="1:11" ht="15.75">
      <c r="A225" s="49" t="s">
        <v>83</v>
      </c>
      <c r="B225" s="49" t="s">
        <v>48</v>
      </c>
      <c r="C225" s="50" t="s">
        <v>848</v>
      </c>
      <c r="D225" s="39">
        <v>459</v>
      </c>
      <c r="E225" s="39">
        <v>459</v>
      </c>
      <c r="F225" s="39">
        <v>459</v>
      </c>
      <c r="G225" s="39">
        <v>459</v>
      </c>
      <c r="H225" s="39">
        <v>459</v>
      </c>
      <c r="I225" s="39">
        <v>459</v>
      </c>
      <c r="J225" s="39">
        <v>459</v>
      </c>
      <c r="K225" s="39">
        <v>459</v>
      </c>
    </row>
    <row r="226" spans="1:11" ht="15.75">
      <c r="A226" s="49" t="s">
        <v>91</v>
      </c>
      <c r="B226" s="45" t="s">
        <v>1014</v>
      </c>
      <c r="C226" s="50" t="s">
        <v>849</v>
      </c>
      <c r="D226" s="39">
        <v>359.1</v>
      </c>
      <c r="E226" s="39">
        <v>359.1</v>
      </c>
      <c r="F226" s="39">
        <v>359.1</v>
      </c>
      <c r="G226" s="39">
        <v>359.1</v>
      </c>
      <c r="H226" s="39">
        <v>359.1</v>
      </c>
      <c r="I226" s="39">
        <v>359.1</v>
      </c>
      <c r="J226" s="39">
        <v>359.1</v>
      </c>
      <c r="K226" s="39">
        <v>359.1</v>
      </c>
    </row>
    <row r="227" spans="1:11" ht="15.75">
      <c r="A227" s="49" t="s">
        <v>45</v>
      </c>
      <c r="B227" s="45" t="s">
        <v>1014</v>
      </c>
      <c r="C227" s="50" t="s">
        <v>850</v>
      </c>
      <c r="D227" s="39">
        <v>549</v>
      </c>
      <c r="E227" s="39">
        <v>549</v>
      </c>
      <c r="F227" s="39">
        <v>549</v>
      </c>
      <c r="G227" s="39">
        <v>549</v>
      </c>
      <c r="H227" s="39">
        <v>549</v>
      </c>
      <c r="I227" s="39">
        <v>549</v>
      </c>
      <c r="J227" s="39">
        <v>549</v>
      </c>
      <c r="K227" s="39">
        <v>549</v>
      </c>
    </row>
    <row r="228" spans="1:11" ht="15.75">
      <c r="A228" s="49" t="s">
        <v>91</v>
      </c>
      <c r="B228" s="49" t="s">
        <v>48</v>
      </c>
      <c r="C228" s="50" t="s">
        <v>851</v>
      </c>
      <c r="D228" s="39">
        <v>1959.3</v>
      </c>
      <c r="E228" s="39">
        <v>1959.3</v>
      </c>
      <c r="F228" s="39">
        <v>1959.3</v>
      </c>
      <c r="G228" s="39">
        <v>1959.3</v>
      </c>
      <c r="H228" s="39">
        <v>1959.3</v>
      </c>
      <c r="I228" s="39">
        <v>1959.3</v>
      </c>
      <c r="J228" s="39">
        <v>1959.3</v>
      </c>
      <c r="K228" s="39">
        <v>1959.3</v>
      </c>
    </row>
    <row r="229" spans="1:11" ht="15.75">
      <c r="A229" s="49" t="s">
        <v>45</v>
      </c>
      <c r="B229" s="49" t="s">
        <v>48</v>
      </c>
      <c r="C229" s="50" t="s">
        <v>852</v>
      </c>
      <c r="D229" s="39">
        <v>589.5</v>
      </c>
      <c r="E229" s="39">
        <v>589.5</v>
      </c>
      <c r="F229" s="39">
        <v>589.5</v>
      </c>
      <c r="G229" s="39">
        <v>589.5</v>
      </c>
      <c r="H229" s="39">
        <v>589.5</v>
      </c>
      <c r="I229" s="39">
        <v>589.5</v>
      </c>
      <c r="J229" s="39">
        <v>589.5</v>
      </c>
      <c r="K229" s="39">
        <v>589.5</v>
      </c>
    </row>
    <row r="230" spans="1:11" ht="15.75">
      <c r="A230" s="49" t="s">
        <v>45</v>
      </c>
      <c r="B230" s="49" t="s">
        <v>48</v>
      </c>
      <c r="C230" s="50" t="s">
        <v>853</v>
      </c>
      <c r="D230" s="39">
        <v>959.4</v>
      </c>
      <c r="E230" s="39">
        <v>959.4</v>
      </c>
      <c r="F230" s="39">
        <v>959.4</v>
      </c>
      <c r="G230" s="39">
        <v>959.4</v>
      </c>
      <c r="H230" s="39">
        <v>959.4</v>
      </c>
      <c r="I230" s="39">
        <v>959.4</v>
      </c>
      <c r="J230" s="39">
        <v>959.4</v>
      </c>
      <c r="K230" s="39">
        <v>959.4</v>
      </c>
    </row>
    <row r="231" spans="1:11" ht="15.75">
      <c r="A231" s="49" t="s">
        <v>91</v>
      </c>
      <c r="B231" s="49" t="s">
        <v>48</v>
      </c>
      <c r="C231" s="50" t="s">
        <v>854</v>
      </c>
      <c r="D231" s="39">
        <v>1999.8</v>
      </c>
      <c r="E231" s="39">
        <v>1999.8</v>
      </c>
      <c r="F231" s="39">
        <v>1999.8</v>
      </c>
      <c r="G231" s="39">
        <v>1999.8</v>
      </c>
      <c r="H231" s="39">
        <v>1999.8</v>
      </c>
      <c r="I231" s="39">
        <v>1999.8</v>
      </c>
      <c r="J231" s="39">
        <v>1999.8</v>
      </c>
      <c r="K231" s="39">
        <v>1999.8</v>
      </c>
    </row>
    <row r="232" spans="1:11" ht="15.75">
      <c r="A232" s="49" t="s">
        <v>835</v>
      </c>
      <c r="B232" s="49" t="s">
        <v>48</v>
      </c>
      <c r="C232" s="50" t="s">
        <v>855</v>
      </c>
      <c r="D232" s="39">
        <v>2029.5</v>
      </c>
      <c r="E232" s="39">
        <v>2029.5</v>
      </c>
      <c r="F232" s="39">
        <v>2029.5</v>
      </c>
      <c r="G232" s="39">
        <v>2029.5</v>
      </c>
      <c r="H232" s="39">
        <v>2029.5</v>
      </c>
      <c r="I232" s="39">
        <v>2029.5</v>
      </c>
      <c r="J232" s="39">
        <v>2029.5</v>
      </c>
      <c r="K232" s="39">
        <v>2029.5</v>
      </c>
    </row>
    <row r="233" spans="1:11" ht="15.75">
      <c r="A233" s="49" t="s">
        <v>91</v>
      </c>
      <c r="B233" s="49" t="s">
        <v>48</v>
      </c>
      <c r="C233" s="50" t="s">
        <v>856</v>
      </c>
      <c r="D233" s="39">
        <v>2359.8000000000002</v>
      </c>
      <c r="E233" s="39">
        <v>2359.8000000000002</v>
      </c>
      <c r="F233" s="39">
        <v>2359.8000000000002</v>
      </c>
      <c r="G233" s="39">
        <v>2359.8000000000002</v>
      </c>
      <c r="H233" s="39">
        <v>2359.8000000000002</v>
      </c>
      <c r="I233" s="39">
        <v>2359.8000000000002</v>
      </c>
      <c r="J233" s="39">
        <v>2359.8000000000002</v>
      </c>
      <c r="K233" s="39">
        <v>2359.8000000000002</v>
      </c>
    </row>
    <row r="234" spans="1:11" ht="15.75">
      <c r="A234" s="49" t="s">
        <v>91</v>
      </c>
      <c r="B234" s="49" t="s">
        <v>48</v>
      </c>
      <c r="C234" s="50" t="s">
        <v>857</v>
      </c>
      <c r="D234" s="39">
        <v>5499</v>
      </c>
      <c r="E234" s="39">
        <v>5499</v>
      </c>
      <c r="F234" s="39">
        <v>5499</v>
      </c>
      <c r="G234" s="39">
        <v>5499</v>
      </c>
      <c r="H234" s="39">
        <v>5499</v>
      </c>
      <c r="I234" s="39">
        <v>5499</v>
      </c>
      <c r="J234" s="39">
        <v>5499</v>
      </c>
      <c r="K234" s="39">
        <v>5499</v>
      </c>
    </row>
    <row r="235" spans="1:11" ht="15.75">
      <c r="A235" s="49" t="s">
        <v>91</v>
      </c>
      <c r="B235" s="49" t="s">
        <v>48</v>
      </c>
      <c r="C235" s="50" t="s">
        <v>858</v>
      </c>
      <c r="D235" s="39">
        <v>7319.7</v>
      </c>
      <c r="E235" s="39">
        <v>7319.7</v>
      </c>
      <c r="F235" s="39">
        <v>7319.7</v>
      </c>
      <c r="G235" s="39">
        <v>7319.7</v>
      </c>
      <c r="H235" s="39">
        <v>7319.7</v>
      </c>
      <c r="I235" s="39">
        <v>7319.7</v>
      </c>
      <c r="J235" s="39">
        <v>7319.7</v>
      </c>
      <c r="K235" s="39">
        <v>7319.7</v>
      </c>
    </row>
    <row r="236" spans="1:11" ht="15.75">
      <c r="A236" s="49" t="s">
        <v>66</v>
      </c>
      <c r="B236" s="49" t="s">
        <v>48</v>
      </c>
      <c r="C236" s="50" t="s">
        <v>859</v>
      </c>
      <c r="D236" s="39">
        <v>349.2</v>
      </c>
      <c r="E236" s="39">
        <v>349.2</v>
      </c>
      <c r="F236" s="39">
        <v>349.2</v>
      </c>
      <c r="G236" s="39">
        <v>349.2</v>
      </c>
      <c r="H236" s="39">
        <v>349.2</v>
      </c>
      <c r="I236" s="39">
        <v>349.2</v>
      </c>
      <c r="J236" s="39">
        <v>349.2</v>
      </c>
      <c r="K236" s="39">
        <v>349.2</v>
      </c>
    </row>
    <row r="237" spans="1:11" ht="15.75">
      <c r="A237" s="49" t="s">
        <v>91</v>
      </c>
      <c r="B237" s="49" t="s">
        <v>48</v>
      </c>
      <c r="C237" s="50" t="s">
        <v>860</v>
      </c>
      <c r="D237" s="39">
        <v>4349.7</v>
      </c>
      <c r="E237" s="39">
        <v>4349.7</v>
      </c>
      <c r="F237" s="39">
        <v>4349.7</v>
      </c>
      <c r="G237" s="39">
        <v>4349.7</v>
      </c>
      <c r="H237" s="39">
        <v>4349.7</v>
      </c>
      <c r="I237" s="39">
        <v>4349.7</v>
      </c>
      <c r="J237" s="39">
        <v>4349.7</v>
      </c>
      <c r="K237" s="39">
        <v>4349.7</v>
      </c>
    </row>
    <row r="238" spans="1:11" ht="15.75">
      <c r="A238" s="49" t="s">
        <v>91</v>
      </c>
      <c r="B238" s="49" t="s">
        <v>48</v>
      </c>
      <c r="C238" s="50" t="s">
        <v>861</v>
      </c>
      <c r="D238" s="39">
        <v>5869.8</v>
      </c>
      <c r="E238" s="39">
        <v>5869.8</v>
      </c>
      <c r="F238" s="39">
        <v>5869.8</v>
      </c>
      <c r="G238" s="39">
        <v>5869.8</v>
      </c>
      <c r="H238" s="39">
        <v>5869.8</v>
      </c>
      <c r="I238" s="39">
        <v>5869.8</v>
      </c>
      <c r="J238" s="39">
        <v>5869.8</v>
      </c>
      <c r="K238" s="39">
        <v>5869.8</v>
      </c>
    </row>
    <row r="239" spans="1:11" ht="15.75">
      <c r="A239" s="49" t="s">
        <v>91</v>
      </c>
      <c r="B239" s="49" t="s">
        <v>48</v>
      </c>
      <c r="C239" s="50" t="s">
        <v>862</v>
      </c>
      <c r="D239" s="39">
        <v>3149.1</v>
      </c>
      <c r="E239" s="39">
        <v>3149.1</v>
      </c>
      <c r="F239" s="39">
        <v>3149.1</v>
      </c>
      <c r="G239" s="39">
        <v>3149.1</v>
      </c>
      <c r="H239" s="39">
        <v>3149.1</v>
      </c>
      <c r="I239" s="39">
        <v>3149.1</v>
      </c>
      <c r="J239" s="39">
        <v>3149.1</v>
      </c>
      <c r="K239" s="39">
        <v>3149.1</v>
      </c>
    </row>
    <row r="240" spans="1:11" ht="15.75">
      <c r="A240" s="49" t="s">
        <v>91</v>
      </c>
      <c r="B240" s="49" t="s">
        <v>48</v>
      </c>
      <c r="C240" s="50" t="s">
        <v>863</v>
      </c>
      <c r="D240" s="39">
        <v>5369.4</v>
      </c>
      <c r="E240" s="39">
        <v>5369.4</v>
      </c>
      <c r="F240" s="39">
        <v>5369.4</v>
      </c>
      <c r="G240" s="39">
        <v>5369.4</v>
      </c>
      <c r="H240" s="39">
        <v>5369.4</v>
      </c>
      <c r="I240" s="39">
        <v>5369.4</v>
      </c>
      <c r="J240" s="39">
        <v>5369.4</v>
      </c>
      <c r="K240" s="39">
        <v>5369.4</v>
      </c>
    </row>
    <row r="241" spans="1:11" ht="15.75">
      <c r="A241" s="49" t="s">
        <v>91</v>
      </c>
      <c r="B241" s="49" t="s">
        <v>48</v>
      </c>
      <c r="C241" s="50" t="s">
        <v>864</v>
      </c>
      <c r="D241" s="39">
        <v>5789.7</v>
      </c>
      <c r="E241" s="39">
        <v>5789.7</v>
      </c>
      <c r="F241" s="39">
        <v>5789.7</v>
      </c>
      <c r="G241" s="39">
        <v>5789.7</v>
      </c>
      <c r="H241" s="39">
        <v>5789.7</v>
      </c>
      <c r="I241" s="39">
        <v>5789.7</v>
      </c>
      <c r="J241" s="39">
        <v>5789.7</v>
      </c>
      <c r="K241" s="39">
        <v>5789.7</v>
      </c>
    </row>
    <row r="242" spans="1:11" ht="15.75">
      <c r="A242" s="49" t="s">
        <v>91</v>
      </c>
      <c r="B242" s="49" t="s">
        <v>48</v>
      </c>
      <c r="C242" s="50" t="s">
        <v>866</v>
      </c>
      <c r="D242" s="39">
        <v>6219</v>
      </c>
      <c r="E242" s="39">
        <v>6219</v>
      </c>
      <c r="F242" s="39">
        <v>6219</v>
      </c>
      <c r="G242" s="39">
        <v>6219</v>
      </c>
      <c r="H242" s="39">
        <v>6219</v>
      </c>
      <c r="I242" s="39">
        <v>6219</v>
      </c>
      <c r="J242" s="39">
        <v>6219</v>
      </c>
      <c r="K242" s="39">
        <v>6219</v>
      </c>
    </row>
    <row r="243" spans="1:11" ht="15.75">
      <c r="A243" s="49" t="s">
        <v>83</v>
      </c>
      <c r="B243" s="49" t="s">
        <v>48</v>
      </c>
      <c r="C243" s="50" t="s">
        <v>868</v>
      </c>
      <c r="D243" s="39">
        <v>1799.1</v>
      </c>
      <c r="E243" s="39">
        <v>1799.1</v>
      </c>
      <c r="F243" s="39">
        <v>1799.1</v>
      </c>
      <c r="G243" s="39">
        <v>1799.1</v>
      </c>
      <c r="H243" s="39">
        <v>1799.1</v>
      </c>
      <c r="I243" s="39">
        <v>1799.1</v>
      </c>
      <c r="J243" s="39">
        <v>1799.1</v>
      </c>
      <c r="K243" s="39">
        <v>1799.1</v>
      </c>
    </row>
    <row r="244" spans="1:11" ht="15.75">
      <c r="A244" s="49" t="s">
        <v>45</v>
      </c>
      <c r="B244" s="49" t="s">
        <v>48</v>
      </c>
      <c r="C244" s="50" t="s">
        <v>865</v>
      </c>
      <c r="D244" s="39">
        <v>749.7</v>
      </c>
      <c r="E244" s="39">
        <v>749.7</v>
      </c>
      <c r="F244" s="39">
        <v>749.7</v>
      </c>
      <c r="G244" s="39">
        <v>749.7</v>
      </c>
      <c r="H244" s="39">
        <v>749.7</v>
      </c>
      <c r="I244" s="39">
        <v>749.7</v>
      </c>
      <c r="J244" s="39">
        <v>749.7</v>
      </c>
      <c r="K244" s="39">
        <v>749.7</v>
      </c>
    </row>
    <row r="245" spans="1:11" ht="15.75">
      <c r="A245" s="49" t="s">
        <v>45</v>
      </c>
      <c r="B245" s="49" t="s">
        <v>48</v>
      </c>
      <c r="C245" s="50" t="s">
        <v>867</v>
      </c>
      <c r="D245" s="39">
        <v>999</v>
      </c>
      <c r="E245" s="39">
        <v>999</v>
      </c>
      <c r="F245" s="39">
        <v>999</v>
      </c>
      <c r="G245" s="39">
        <v>999</v>
      </c>
      <c r="H245" s="39">
        <v>999</v>
      </c>
      <c r="I245" s="39">
        <v>999</v>
      </c>
      <c r="J245" s="39">
        <v>999</v>
      </c>
      <c r="K245" s="39">
        <v>999</v>
      </c>
    </row>
    <row r="246" spans="1:11" ht="15.75">
      <c r="A246" s="49" t="s">
        <v>83</v>
      </c>
      <c r="B246" s="49" t="s">
        <v>48</v>
      </c>
      <c r="C246" s="50" t="s">
        <v>869</v>
      </c>
      <c r="D246" s="39">
        <v>1169.0999999999999</v>
      </c>
      <c r="E246" s="39">
        <v>1169.0999999999999</v>
      </c>
      <c r="F246" s="39">
        <v>1169.0999999999999</v>
      </c>
      <c r="G246" s="39">
        <v>1169.0999999999999</v>
      </c>
      <c r="H246" s="39">
        <v>1169.0999999999999</v>
      </c>
      <c r="I246" s="39">
        <v>1169.0999999999999</v>
      </c>
      <c r="J246" s="39">
        <v>1169.0999999999999</v>
      </c>
      <c r="K246" s="39">
        <v>1169.0999999999999</v>
      </c>
    </row>
    <row r="247" spans="1:11" ht="15.75">
      <c r="A247" s="49" t="s">
        <v>91</v>
      </c>
      <c r="B247" s="49" t="s">
        <v>48</v>
      </c>
      <c r="C247" s="50" t="s">
        <v>870</v>
      </c>
      <c r="D247" s="39">
        <v>2929.5</v>
      </c>
      <c r="E247" s="39">
        <v>2929.5</v>
      </c>
      <c r="F247" s="39">
        <v>2929.5</v>
      </c>
      <c r="G247" s="39">
        <v>2929.5</v>
      </c>
      <c r="H247" s="39">
        <v>2929.5</v>
      </c>
      <c r="I247" s="39">
        <v>2929.5</v>
      </c>
      <c r="J247" s="39">
        <v>2929.5</v>
      </c>
      <c r="K247" s="39">
        <v>2929.5</v>
      </c>
    </row>
    <row r="248" spans="1:11" ht="15.75">
      <c r="A248" s="49" t="s">
        <v>45</v>
      </c>
      <c r="B248" s="45" t="s">
        <v>1014</v>
      </c>
      <c r="C248" s="50" t="s">
        <v>871</v>
      </c>
      <c r="D248" s="39">
        <v>349.2</v>
      </c>
      <c r="E248" s="39">
        <v>349.2</v>
      </c>
      <c r="F248" s="39">
        <v>349.2</v>
      </c>
      <c r="G248" s="39">
        <v>349.2</v>
      </c>
      <c r="H248" s="39">
        <v>349.2</v>
      </c>
      <c r="I248" s="39">
        <v>349.2</v>
      </c>
      <c r="J248" s="39">
        <v>349.2</v>
      </c>
      <c r="K248" s="39">
        <v>349.2</v>
      </c>
    </row>
    <row r="249" spans="1:11" ht="15.75">
      <c r="A249" s="49" t="s">
        <v>83</v>
      </c>
      <c r="B249" s="49" t="s">
        <v>48</v>
      </c>
      <c r="C249" s="50" t="s">
        <v>872</v>
      </c>
      <c r="D249" s="39">
        <v>1589.4</v>
      </c>
      <c r="E249" s="39">
        <v>1589.4</v>
      </c>
      <c r="F249" s="39">
        <v>1589.4</v>
      </c>
      <c r="G249" s="39">
        <v>1589.4</v>
      </c>
      <c r="H249" s="39">
        <v>1589.4</v>
      </c>
      <c r="I249" s="39">
        <v>1589.4</v>
      </c>
      <c r="J249" s="39">
        <v>1589.4</v>
      </c>
      <c r="K249" s="39">
        <v>1589.4</v>
      </c>
    </row>
    <row r="250" spans="1:11" ht="15.75">
      <c r="A250" s="49" t="s">
        <v>211</v>
      </c>
      <c r="B250" s="49" t="s">
        <v>48</v>
      </c>
      <c r="C250" s="50" t="s">
        <v>407</v>
      </c>
      <c r="D250" s="39">
        <v>289.8</v>
      </c>
      <c r="E250" s="39">
        <v>289.8</v>
      </c>
      <c r="F250" s="39">
        <v>289.8</v>
      </c>
      <c r="G250" s="39">
        <v>289.8</v>
      </c>
      <c r="H250" s="39">
        <v>289.8</v>
      </c>
      <c r="I250" s="39">
        <v>289.8</v>
      </c>
      <c r="J250" s="39">
        <v>289.8</v>
      </c>
      <c r="K250" s="39">
        <v>289.8</v>
      </c>
    </row>
    <row r="251" spans="1:11" ht="15.75">
      <c r="A251" s="49" t="s">
        <v>91</v>
      </c>
      <c r="B251" s="49" t="s">
        <v>48</v>
      </c>
      <c r="C251" s="50" t="s">
        <v>873</v>
      </c>
      <c r="D251" s="39">
        <v>4978.8</v>
      </c>
      <c r="E251" s="39">
        <v>4978.8</v>
      </c>
      <c r="F251" s="39">
        <v>4978.8</v>
      </c>
      <c r="G251" s="39">
        <v>4978.8</v>
      </c>
      <c r="H251" s="39">
        <v>4978.8</v>
      </c>
      <c r="I251" s="39">
        <v>4978.8</v>
      </c>
      <c r="J251" s="39">
        <v>4978.8</v>
      </c>
      <c r="K251" s="39">
        <v>4978.8</v>
      </c>
    </row>
    <row r="252" spans="1:11" ht="15.75">
      <c r="A252" s="49" t="s">
        <v>91</v>
      </c>
      <c r="B252" s="49" t="s">
        <v>48</v>
      </c>
      <c r="C252" s="50" t="s">
        <v>874</v>
      </c>
      <c r="D252" s="39">
        <v>1799.1</v>
      </c>
      <c r="E252" s="39">
        <v>1799.1</v>
      </c>
      <c r="F252" s="39">
        <v>1799.1</v>
      </c>
      <c r="G252" s="39">
        <v>1799.1</v>
      </c>
      <c r="H252" s="39">
        <v>1799.1</v>
      </c>
      <c r="I252" s="39">
        <v>1799.1</v>
      </c>
      <c r="J252" s="39">
        <v>1799.1</v>
      </c>
      <c r="K252" s="39">
        <v>1799.1</v>
      </c>
    </row>
    <row r="253" spans="1:11" ht="15.75">
      <c r="A253" s="49" t="s">
        <v>45</v>
      </c>
      <c r="B253" s="49" t="s">
        <v>48</v>
      </c>
      <c r="C253" s="50" t="s">
        <v>875</v>
      </c>
      <c r="D253" s="39">
        <v>1019.7</v>
      </c>
      <c r="E253" s="39">
        <v>1019.7</v>
      </c>
      <c r="F253" s="39">
        <v>1019.7</v>
      </c>
      <c r="G253" s="39">
        <v>1019.7</v>
      </c>
      <c r="H253" s="39">
        <v>1019.7</v>
      </c>
      <c r="I253" s="39">
        <v>1019.7</v>
      </c>
      <c r="J253" s="39">
        <v>1019.7</v>
      </c>
      <c r="K253" s="39">
        <v>1019.7</v>
      </c>
    </row>
    <row r="254" spans="1:11" ht="15.75">
      <c r="A254" s="49" t="s">
        <v>83</v>
      </c>
      <c r="B254" s="49" t="s">
        <v>48</v>
      </c>
      <c r="C254" s="50" t="s">
        <v>876</v>
      </c>
      <c r="D254" s="39">
        <v>1209.5999999999999</v>
      </c>
      <c r="E254" s="39">
        <v>1209.5999999999999</v>
      </c>
      <c r="F254" s="39">
        <v>1209.5999999999999</v>
      </c>
      <c r="G254" s="39">
        <v>1209.5999999999999</v>
      </c>
      <c r="H254" s="39">
        <v>1209.5999999999999</v>
      </c>
      <c r="I254" s="39">
        <v>1209.5999999999999</v>
      </c>
      <c r="J254" s="39">
        <v>1209.5999999999999</v>
      </c>
      <c r="K254" s="39">
        <v>1209.5999999999999</v>
      </c>
    </row>
    <row r="255" spans="1:11" ht="15.75">
      <c r="A255" s="49" t="s">
        <v>45</v>
      </c>
      <c r="B255" s="49" t="s">
        <v>48</v>
      </c>
      <c r="C255" s="50" t="s">
        <v>877</v>
      </c>
      <c r="D255" s="39">
        <v>769.5</v>
      </c>
      <c r="E255" s="39">
        <v>769.5</v>
      </c>
      <c r="F255" s="39">
        <v>769.5</v>
      </c>
      <c r="G255" s="39">
        <v>769.5</v>
      </c>
      <c r="H255" s="39">
        <v>769.5</v>
      </c>
      <c r="I255" s="39">
        <v>769.5</v>
      </c>
      <c r="J255" s="39">
        <v>769.5</v>
      </c>
      <c r="K255" s="39">
        <v>769.5</v>
      </c>
    </row>
    <row r="256" spans="1:11" ht="15.75">
      <c r="A256" s="49" t="s">
        <v>45</v>
      </c>
      <c r="B256" s="49" t="s">
        <v>48</v>
      </c>
      <c r="C256" s="50" t="s">
        <v>878</v>
      </c>
      <c r="D256" s="39">
        <v>769.5</v>
      </c>
      <c r="E256" s="39">
        <v>769.5</v>
      </c>
      <c r="F256" s="39">
        <v>769.5</v>
      </c>
      <c r="G256" s="39">
        <v>769.5</v>
      </c>
      <c r="H256" s="39">
        <v>769.5</v>
      </c>
      <c r="I256" s="39">
        <v>769.5</v>
      </c>
      <c r="J256" s="39">
        <v>769.5</v>
      </c>
      <c r="K256" s="39">
        <v>769.5</v>
      </c>
    </row>
    <row r="257" spans="1:11" ht="15.75">
      <c r="A257" s="49" t="s">
        <v>45</v>
      </c>
      <c r="B257" s="49" t="s">
        <v>48</v>
      </c>
      <c r="C257" s="50" t="s">
        <v>879</v>
      </c>
      <c r="D257" s="39">
        <v>729</v>
      </c>
      <c r="E257" s="39">
        <v>729</v>
      </c>
      <c r="F257" s="39">
        <v>729</v>
      </c>
      <c r="G257" s="39">
        <v>729</v>
      </c>
      <c r="H257" s="39">
        <v>729</v>
      </c>
      <c r="I257" s="39">
        <v>729</v>
      </c>
      <c r="J257" s="39">
        <v>729</v>
      </c>
      <c r="K257" s="39">
        <v>729</v>
      </c>
    </row>
    <row r="258" spans="1:11" ht="15.75">
      <c r="A258" s="49" t="s">
        <v>45</v>
      </c>
      <c r="B258" s="49" t="s">
        <v>48</v>
      </c>
      <c r="C258" s="50" t="s">
        <v>880</v>
      </c>
      <c r="D258" s="39">
        <v>729</v>
      </c>
      <c r="E258" s="39">
        <v>729</v>
      </c>
      <c r="F258" s="39">
        <v>729</v>
      </c>
      <c r="G258" s="39">
        <v>729</v>
      </c>
      <c r="H258" s="39">
        <v>729</v>
      </c>
      <c r="I258" s="39">
        <v>729</v>
      </c>
      <c r="J258" s="39">
        <v>729</v>
      </c>
      <c r="K258" s="39">
        <v>729</v>
      </c>
    </row>
    <row r="259" spans="1:11" ht="15.75">
      <c r="A259" s="49" t="s">
        <v>45</v>
      </c>
      <c r="B259" s="49" t="s">
        <v>48</v>
      </c>
      <c r="C259" s="50" t="s">
        <v>881</v>
      </c>
      <c r="D259" s="39">
        <v>729</v>
      </c>
      <c r="E259" s="39">
        <v>729</v>
      </c>
      <c r="F259" s="39">
        <v>729</v>
      </c>
      <c r="G259" s="39">
        <v>729</v>
      </c>
      <c r="H259" s="39">
        <v>729</v>
      </c>
      <c r="I259" s="39">
        <v>729</v>
      </c>
      <c r="J259" s="39">
        <v>729</v>
      </c>
      <c r="K259" s="39">
        <v>729</v>
      </c>
    </row>
    <row r="260" spans="1:11" ht="15.75">
      <c r="A260" s="49" t="s">
        <v>45</v>
      </c>
      <c r="B260" s="49" t="s">
        <v>48</v>
      </c>
      <c r="C260" s="50" t="s">
        <v>882</v>
      </c>
      <c r="D260" s="39">
        <v>659.7</v>
      </c>
      <c r="E260" s="39">
        <v>659.7</v>
      </c>
      <c r="F260" s="39">
        <v>659.7</v>
      </c>
      <c r="G260" s="39">
        <v>659.7</v>
      </c>
      <c r="H260" s="39">
        <v>659.7</v>
      </c>
      <c r="I260" s="39">
        <v>659.7</v>
      </c>
      <c r="J260" s="39">
        <v>659.7</v>
      </c>
      <c r="K260" s="39">
        <v>659.7</v>
      </c>
    </row>
    <row r="261" spans="1:11" ht="15.75">
      <c r="A261" s="49" t="s">
        <v>83</v>
      </c>
      <c r="B261" s="49" t="s">
        <v>48</v>
      </c>
      <c r="C261" s="50" t="s">
        <v>883</v>
      </c>
      <c r="D261" s="39">
        <v>909</v>
      </c>
      <c r="E261" s="39">
        <v>909</v>
      </c>
      <c r="F261" s="39">
        <v>909</v>
      </c>
      <c r="G261" s="39">
        <v>909</v>
      </c>
      <c r="H261" s="39">
        <v>909</v>
      </c>
      <c r="I261" s="39">
        <v>909</v>
      </c>
      <c r="J261" s="39">
        <v>909</v>
      </c>
      <c r="K261" s="39">
        <v>909</v>
      </c>
    </row>
    <row r="262" spans="1:11" ht="15.75">
      <c r="A262" s="49" t="s">
        <v>45</v>
      </c>
      <c r="B262" s="49" t="s">
        <v>48</v>
      </c>
      <c r="C262" s="50" t="s">
        <v>884</v>
      </c>
      <c r="D262" s="39">
        <v>659.7</v>
      </c>
      <c r="E262" s="39">
        <v>659.7</v>
      </c>
      <c r="F262" s="39">
        <v>659.7</v>
      </c>
      <c r="G262" s="39">
        <v>659.7</v>
      </c>
      <c r="H262" s="39">
        <v>659.7</v>
      </c>
      <c r="I262" s="39">
        <v>659.7</v>
      </c>
      <c r="J262" s="39">
        <v>659.7</v>
      </c>
      <c r="K262" s="39">
        <v>659.7</v>
      </c>
    </row>
    <row r="263" spans="1:11" ht="15.75">
      <c r="A263" s="49" t="s">
        <v>91</v>
      </c>
      <c r="B263" s="49" t="s">
        <v>48</v>
      </c>
      <c r="C263" s="50" t="s">
        <v>885</v>
      </c>
      <c r="D263" s="39">
        <v>1789.2</v>
      </c>
      <c r="E263" s="39">
        <v>1789.2</v>
      </c>
      <c r="F263" s="39">
        <v>1789.2</v>
      </c>
      <c r="G263" s="39">
        <v>1789.2</v>
      </c>
      <c r="H263" s="39">
        <v>1789.2</v>
      </c>
      <c r="I263" s="39">
        <v>1789.2</v>
      </c>
      <c r="J263" s="39">
        <v>1789.2</v>
      </c>
      <c r="K263" s="39">
        <v>1789.2</v>
      </c>
    </row>
    <row r="264" spans="1:11" ht="15.75">
      <c r="A264" s="49" t="s">
        <v>91</v>
      </c>
      <c r="B264" s="49" t="s">
        <v>48</v>
      </c>
      <c r="C264" s="50" t="s">
        <v>886</v>
      </c>
      <c r="D264" s="39">
        <v>4019.4</v>
      </c>
      <c r="E264" s="39">
        <v>4019.4</v>
      </c>
      <c r="F264" s="39">
        <v>4019.4</v>
      </c>
      <c r="G264" s="39">
        <v>4019.4</v>
      </c>
      <c r="H264" s="39">
        <v>4019.4</v>
      </c>
      <c r="I264" s="39">
        <v>4019.4</v>
      </c>
      <c r="J264" s="39">
        <v>4019.4</v>
      </c>
      <c r="K264" s="39">
        <v>4019.4</v>
      </c>
    </row>
    <row r="265" spans="1:11" ht="15.75">
      <c r="A265" s="49" t="s">
        <v>45</v>
      </c>
      <c r="B265" s="49" t="s">
        <v>48</v>
      </c>
      <c r="C265" s="50" t="s">
        <v>887</v>
      </c>
      <c r="D265" s="39">
        <v>719.1</v>
      </c>
      <c r="E265" s="39">
        <v>719.1</v>
      </c>
      <c r="F265" s="39">
        <v>719.1</v>
      </c>
      <c r="G265" s="39">
        <v>719.1</v>
      </c>
      <c r="H265" s="39">
        <v>719.1</v>
      </c>
      <c r="I265" s="39">
        <v>719.1</v>
      </c>
      <c r="J265" s="39">
        <v>719.1</v>
      </c>
      <c r="K265" s="39">
        <v>719.1</v>
      </c>
    </row>
    <row r="266" spans="1:11" ht="15.75">
      <c r="A266" s="49" t="s">
        <v>45</v>
      </c>
      <c r="B266" s="49" t="s">
        <v>48</v>
      </c>
      <c r="C266" s="50" t="s">
        <v>888</v>
      </c>
      <c r="D266" s="39">
        <v>719.1</v>
      </c>
      <c r="E266" s="39">
        <v>719.1</v>
      </c>
      <c r="F266" s="39">
        <v>719.1</v>
      </c>
      <c r="G266" s="39">
        <v>719.1</v>
      </c>
      <c r="H266" s="39">
        <v>719.1</v>
      </c>
      <c r="I266" s="39">
        <v>719.1</v>
      </c>
      <c r="J266" s="39">
        <v>719.1</v>
      </c>
      <c r="K266" s="39">
        <v>719.1</v>
      </c>
    </row>
    <row r="267" spans="1:11" ht="15.75">
      <c r="A267" s="49" t="s">
        <v>45</v>
      </c>
      <c r="B267" s="49" t="s">
        <v>48</v>
      </c>
      <c r="C267" s="50" t="s">
        <v>889</v>
      </c>
      <c r="D267" s="39">
        <v>719.1</v>
      </c>
      <c r="E267" s="39">
        <v>719.1</v>
      </c>
      <c r="F267" s="39">
        <v>719.1</v>
      </c>
      <c r="G267" s="39">
        <v>719.1</v>
      </c>
      <c r="H267" s="39">
        <v>719.1</v>
      </c>
      <c r="I267" s="39">
        <v>719.1</v>
      </c>
      <c r="J267" s="39">
        <v>719.1</v>
      </c>
      <c r="K267" s="39">
        <v>719.1</v>
      </c>
    </row>
    <row r="268" spans="1:11" ht="15.75">
      <c r="A268" s="49" t="s">
        <v>83</v>
      </c>
      <c r="B268" s="49" t="s">
        <v>48</v>
      </c>
      <c r="C268" s="50" t="s">
        <v>890</v>
      </c>
      <c r="D268" s="39">
        <v>1019.7</v>
      </c>
      <c r="E268" s="39">
        <v>1019.7</v>
      </c>
      <c r="F268" s="39">
        <v>1019.7</v>
      </c>
      <c r="G268" s="39">
        <v>1019.7</v>
      </c>
      <c r="H268" s="39">
        <v>1019.7</v>
      </c>
      <c r="I268" s="39">
        <v>1019.7</v>
      </c>
      <c r="J268" s="39">
        <v>1019.7</v>
      </c>
      <c r="K268" s="39">
        <v>1019.7</v>
      </c>
    </row>
    <row r="269" spans="1:11" ht="15.75">
      <c r="A269" s="49" t="s">
        <v>45</v>
      </c>
      <c r="B269" s="49" t="s">
        <v>48</v>
      </c>
      <c r="C269" s="50" t="s">
        <v>891</v>
      </c>
      <c r="D269" s="39">
        <v>729</v>
      </c>
      <c r="E269" s="39">
        <v>729</v>
      </c>
      <c r="F269" s="39">
        <v>729</v>
      </c>
      <c r="G269" s="39">
        <v>729</v>
      </c>
      <c r="H269" s="39">
        <v>729</v>
      </c>
      <c r="I269" s="39">
        <v>729</v>
      </c>
      <c r="J269" s="39">
        <v>729</v>
      </c>
      <c r="K269" s="39">
        <v>729</v>
      </c>
    </row>
    <row r="270" spans="1:11" ht="15.75">
      <c r="A270" s="49" t="s">
        <v>45</v>
      </c>
      <c r="B270" s="49" t="s">
        <v>48</v>
      </c>
      <c r="C270" s="50" t="s">
        <v>892</v>
      </c>
      <c r="D270" s="39">
        <v>769.5</v>
      </c>
      <c r="E270" s="39">
        <v>769.5</v>
      </c>
      <c r="F270" s="39">
        <v>769.5</v>
      </c>
      <c r="G270" s="39">
        <v>769.5</v>
      </c>
      <c r="H270" s="39">
        <v>769.5</v>
      </c>
      <c r="I270" s="39">
        <v>769.5</v>
      </c>
      <c r="J270" s="39">
        <v>769.5</v>
      </c>
      <c r="K270" s="39">
        <v>769.5</v>
      </c>
    </row>
    <row r="271" spans="1:11" ht="15.75">
      <c r="A271" s="49" t="s">
        <v>83</v>
      </c>
      <c r="B271" s="49" t="s">
        <v>48</v>
      </c>
      <c r="C271" s="50" t="s">
        <v>893</v>
      </c>
      <c r="D271" s="39">
        <v>1299.5999999999999</v>
      </c>
      <c r="E271" s="39">
        <v>1299.5999999999999</v>
      </c>
      <c r="F271" s="39">
        <v>1299.5999999999999</v>
      </c>
      <c r="G271" s="39">
        <v>1299.5999999999999</v>
      </c>
      <c r="H271" s="39">
        <v>1299.5999999999999</v>
      </c>
      <c r="I271" s="39">
        <v>1299.5999999999999</v>
      </c>
      <c r="J271" s="39">
        <v>1299.5999999999999</v>
      </c>
      <c r="K271" s="39">
        <v>1299.5999999999999</v>
      </c>
    </row>
    <row r="272" spans="1:11" ht="15.75">
      <c r="A272" s="49" t="s">
        <v>83</v>
      </c>
      <c r="B272" s="49" t="s">
        <v>48</v>
      </c>
      <c r="C272" s="50" t="s">
        <v>894</v>
      </c>
      <c r="D272" s="39">
        <v>929.7</v>
      </c>
      <c r="E272" s="39">
        <v>929.7</v>
      </c>
      <c r="F272" s="39">
        <v>929.7</v>
      </c>
      <c r="G272" s="39">
        <v>929.7</v>
      </c>
      <c r="H272" s="39">
        <v>929.7</v>
      </c>
      <c r="I272" s="39">
        <v>929.7</v>
      </c>
      <c r="J272" s="39">
        <v>929.7</v>
      </c>
      <c r="K272" s="39">
        <v>929.7</v>
      </c>
    </row>
    <row r="273" spans="1:11" ht="15.75">
      <c r="A273" s="49" t="s">
        <v>45</v>
      </c>
      <c r="B273" s="49" t="s">
        <v>48</v>
      </c>
      <c r="C273" s="50" t="s">
        <v>895</v>
      </c>
      <c r="D273" s="39">
        <v>569.70000000000005</v>
      </c>
      <c r="E273" s="39">
        <v>569.70000000000005</v>
      </c>
      <c r="F273" s="39">
        <v>569.70000000000005</v>
      </c>
      <c r="G273" s="39">
        <v>569.70000000000005</v>
      </c>
      <c r="H273" s="39">
        <v>569.70000000000005</v>
      </c>
      <c r="I273" s="39">
        <v>569.70000000000005</v>
      </c>
      <c r="J273" s="39">
        <v>569.70000000000005</v>
      </c>
      <c r="K273" s="39">
        <v>569.70000000000005</v>
      </c>
    </row>
    <row r="274" spans="1:11" ht="15.75">
      <c r="A274" s="49" t="s">
        <v>45</v>
      </c>
      <c r="B274" s="49" t="s">
        <v>48</v>
      </c>
      <c r="C274" s="50" t="s">
        <v>896</v>
      </c>
      <c r="D274" s="39">
        <v>769.5</v>
      </c>
      <c r="E274" s="39">
        <v>769.5</v>
      </c>
      <c r="F274" s="39">
        <v>769.5</v>
      </c>
      <c r="G274" s="39">
        <v>769.5</v>
      </c>
      <c r="H274" s="39">
        <v>769.5</v>
      </c>
      <c r="I274" s="39">
        <v>769.5</v>
      </c>
      <c r="J274" s="39">
        <v>769.5</v>
      </c>
      <c r="K274" s="39">
        <v>769.5</v>
      </c>
    </row>
    <row r="275" spans="1:11" ht="15.75">
      <c r="A275" s="49" t="s">
        <v>83</v>
      </c>
      <c r="B275" s="49" t="s">
        <v>48</v>
      </c>
      <c r="C275" s="50" t="s">
        <v>897</v>
      </c>
      <c r="D275" s="39">
        <v>2499.3000000000002</v>
      </c>
      <c r="E275" s="39">
        <v>2499.3000000000002</v>
      </c>
      <c r="F275" s="39">
        <v>2499.3000000000002</v>
      </c>
      <c r="G275" s="39">
        <v>2499.3000000000002</v>
      </c>
      <c r="H275" s="39">
        <v>2499.3000000000002</v>
      </c>
      <c r="I275" s="39">
        <v>2499.3000000000002</v>
      </c>
      <c r="J275" s="39">
        <v>2499.3000000000002</v>
      </c>
      <c r="K275" s="39">
        <v>2499.3000000000002</v>
      </c>
    </row>
    <row r="276" spans="1:11" ht="15.75">
      <c r="A276" s="49" t="s">
        <v>45</v>
      </c>
      <c r="B276" s="45" t="s">
        <v>1014</v>
      </c>
      <c r="C276" s="50" t="s">
        <v>898</v>
      </c>
      <c r="D276" s="39">
        <v>319.5</v>
      </c>
      <c r="E276" s="39">
        <v>319.5</v>
      </c>
      <c r="F276" s="39">
        <v>319.5</v>
      </c>
      <c r="G276" s="39">
        <v>319.5</v>
      </c>
      <c r="H276" s="39">
        <v>319.5</v>
      </c>
      <c r="I276" s="39">
        <v>319.5</v>
      </c>
      <c r="J276" s="39">
        <v>319.5</v>
      </c>
      <c r="K276" s="39">
        <v>319.5</v>
      </c>
    </row>
    <row r="277" spans="1:11" ht="15.75">
      <c r="A277" s="49" t="s">
        <v>91</v>
      </c>
      <c r="B277" s="49" t="s">
        <v>48</v>
      </c>
      <c r="C277" s="50" t="s">
        <v>899</v>
      </c>
      <c r="D277" s="39">
        <v>4799.7</v>
      </c>
      <c r="E277" s="39">
        <v>4799.7</v>
      </c>
      <c r="F277" s="39">
        <v>4799.7</v>
      </c>
      <c r="G277" s="39">
        <v>4799.7</v>
      </c>
      <c r="H277" s="39">
        <v>4799.7</v>
      </c>
      <c r="I277" s="39">
        <v>4799.7</v>
      </c>
      <c r="J277" s="39">
        <v>4799.7</v>
      </c>
      <c r="K277" s="39">
        <v>4799.7</v>
      </c>
    </row>
    <row r="278" spans="1:11" ht="15.75">
      <c r="A278" s="49" t="s">
        <v>83</v>
      </c>
      <c r="B278" s="49" t="s">
        <v>48</v>
      </c>
      <c r="C278" s="50" t="s">
        <v>900</v>
      </c>
      <c r="D278" s="39">
        <v>1099.8</v>
      </c>
      <c r="E278" s="39">
        <v>1099.8</v>
      </c>
      <c r="F278" s="39">
        <v>1099.8</v>
      </c>
      <c r="G278" s="39">
        <v>1099.8</v>
      </c>
      <c r="H278" s="39">
        <v>1099.8</v>
      </c>
      <c r="I278" s="39">
        <v>1099.8</v>
      </c>
      <c r="J278" s="39">
        <v>1099.8</v>
      </c>
      <c r="K278" s="39">
        <v>1099.8</v>
      </c>
    </row>
    <row r="279" spans="1:11" ht="15.75">
      <c r="A279" s="49" t="s">
        <v>91</v>
      </c>
      <c r="B279" s="49" t="s">
        <v>48</v>
      </c>
      <c r="C279" s="50" t="s">
        <v>901</v>
      </c>
      <c r="D279" s="39">
        <v>3339</v>
      </c>
      <c r="E279" s="39">
        <v>3339</v>
      </c>
      <c r="F279" s="39">
        <v>3339</v>
      </c>
      <c r="G279" s="39">
        <v>3339</v>
      </c>
      <c r="H279" s="39">
        <v>3339</v>
      </c>
      <c r="I279" s="39">
        <v>3339</v>
      </c>
      <c r="J279" s="39">
        <v>3339</v>
      </c>
      <c r="K279" s="39">
        <v>3339</v>
      </c>
    </row>
    <row r="280" spans="1:11" ht="15.75">
      <c r="A280" s="49" t="s">
        <v>83</v>
      </c>
      <c r="B280" s="49" t="s">
        <v>48</v>
      </c>
      <c r="C280" s="50" t="s">
        <v>902</v>
      </c>
      <c r="D280" s="39">
        <v>2999.7</v>
      </c>
      <c r="E280" s="39">
        <v>2999.7</v>
      </c>
      <c r="F280" s="39">
        <v>2999.7</v>
      </c>
      <c r="G280" s="39">
        <v>2999.7</v>
      </c>
      <c r="H280" s="39">
        <v>2999.7</v>
      </c>
      <c r="I280" s="39">
        <v>2999.7</v>
      </c>
      <c r="J280" s="39">
        <v>2999.7</v>
      </c>
      <c r="K280" s="39">
        <v>2999.7</v>
      </c>
    </row>
    <row r="281" spans="1:11" ht="15.75">
      <c r="A281" s="49" t="s">
        <v>91</v>
      </c>
      <c r="B281" s="49" t="s">
        <v>48</v>
      </c>
      <c r="C281" s="50" t="s">
        <v>903</v>
      </c>
      <c r="D281" s="39">
        <v>2699.1</v>
      </c>
      <c r="E281" s="39">
        <v>2699.1</v>
      </c>
      <c r="F281" s="39">
        <v>2699.1</v>
      </c>
      <c r="G281" s="39">
        <v>2699.1</v>
      </c>
      <c r="H281" s="39">
        <v>2699.1</v>
      </c>
      <c r="I281" s="39">
        <v>2699.1</v>
      </c>
      <c r="J281" s="39">
        <v>2699.1</v>
      </c>
      <c r="K281" s="39">
        <v>2699.1</v>
      </c>
    </row>
    <row r="282" spans="1:11" ht="15.75">
      <c r="A282" s="49" t="s">
        <v>211</v>
      </c>
      <c r="B282" s="49" t="s">
        <v>48</v>
      </c>
      <c r="C282" s="50" t="s">
        <v>904</v>
      </c>
      <c r="D282" s="39">
        <v>399.6</v>
      </c>
      <c r="E282" s="39">
        <v>399.6</v>
      </c>
      <c r="F282" s="39">
        <v>399.6</v>
      </c>
      <c r="G282" s="39">
        <v>399.6</v>
      </c>
      <c r="H282" s="39">
        <v>399.6</v>
      </c>
      <c r="I282" s="39">
        <v>399.6</v>
      </c>
      <c r="J282" s="39">
        <v>399.6</v>
      </c>
      <c r="K282" s="39">
        <v>399.6</v>
      </c>
    </row>
    <row r="283" spans="1:11" ht="15.75">
      <c r="A283" s="49" t="s">
        <v>45</v>
      </c>
      <c r="B283" s="49" t="s">
        <v>48</v>
      </c>
      <c r="C283" s="50" t="s">
        <v>905</v>
      </c>
      <c r="D283" s="39">
        <v>949.5</v>
      </c>
      <c r="E283" s="39">
        <v>949.5</v>
      </c>
      <c r="F283" s="39">
        <v>949.5</v>
      </c>
      <c r="G283" s="39">
        <v>949.5</v>
      </c>
      <c r="H283" s="39">
        <v>949.5</v>
      </c>
      <c r="I283" s="39">
        <v>949.5</v>
      </c>
      <c r="J283" s="39">
        <v>949.5</v>
      </c>
      <c r="K283" s="39">
        <v>949.5</v>
      </c>
    </row>
    <row r="284" spans="1:11" ht="15.75">
      <c r="A284" s="49" t="s">
        <v>45</v>
      </c>
      <c r="B284" s="49" t="s">
        <v>48</v>
      </c>
      <c r="C284" s="50" t="s">
        <v>906</v>
      </c>
      <c r="D284" s="39">
        <v>729</v>
      </c>
      <c r="E284" s="39">
        <v>729</v>
      </c>
      <c r="F284" s="39">
        <v>729</v>
      </c>
      <c r="G284" s="39">
        <v>729</v>
      </c>
      <c r="H284" s="39">
        <v>729</v>
      </c>
      <c r="I284" s="39">
        <v>729</v>
      </c>
      <c r="J284" s="39">
        <v>729</v>
      </c>
      <c r="K284" s="39">
        <v>729</v>
      </c>
    </row>
    <row r="285" spans="1:11" ht="15.75">
      <c r="A285" s="49" t="s">
        <v>91</v>
      </c>
      <c r="B285" s="49" t="s">
        <v>48</v>
      </c>
      <c r="C285" s="50" t="s">
        <v>907</v>
      </c>
      <c r="D285" s="39">
        <v>1499.4</v>
      </c>
      <c r="E285" s="39">
        <v>1499.4</v>
      </c>
      <c r="F285" s="39">
        <v>1499.4</v>
      </c>
      <c r="G285" s="39">
        <v>1499.4</v>
      </c>
      <c r="H285" s="39">
        <v>1499.4</v>
      </c>
      <c r="I285" s="39">
        <v>1499.4</v>
      </c>
      <c r="J285" s="39">
        <v>1499.4</v>
      </c>
      <c r="K285" s="39">
        <v>1499.4</v>
      </c>
    </row>
    <row r="286" spans="1:11" ht="15.75">
      <c r="A286" s="49" t="s">
        <v>91</v>
      </c>
      <c r="B286" s="49" t="s">
        <v>48</v>
      </c>
      <c r="C286" s="50" t="s">
        <v>908</v>
      </c>
      <c r="D286" s="39">
        <v>4299.3</v>
      </c>
      <c r="E286" s="39">
        <v>4299.3</v>
      </c>
      <c r="F286" s="39">
        <v>4299.3</v>
      </c>
      <c r="G286" s="39">
        <v>4299.3</v>
      </c>
      <c r="H286" s="39">
        <v>4299.3</v>
      </c>
      <c r="I286" s="39">
        <v>4299.3</v>
      </c>
      <c r="J286" s="39">
        <v>4299.3</v>
      </c>
      <c r="K286" s="39">
        <v>4299.3</v>
      </c>
    </row>
    <row r="287" spans="1:11" ht="15.75">
      <c r="A287" s="49" t="s">
        <v>66</v>
      </c>
      <c r="B287" s="49" t="s">
        <v>48</v>
      </c>
      <c r="C287" s="50" t="s">
        <v>909</v>
      </c>
      <c r="D287" s="39">
        <v>369</v>
      </c>
      <c r="E287" s="39">
        <v>369</v>
      </c>
      <c r="F287" s="39">
        <v>369</v>
      </c>
      <c r="G287" s="39">
        <v>369</v>
      </c>
      <c r="H287" s="39">
        <v>369</v>
      </c>
      <c r="I287" s="39">
        <v>369</v>
      </c>
      <c r="J287" s="39">
        <v>369</v>
      </c>
      <c r="K287" s="39">
        <v>369</v>
      </c>
    </row>
    <row r="288" spans="1:11" ht="15.75">
      <c r="A288" s="49" t="s">
        <v>66</v>
      </c>
      <c r="B288" s="49" t="s">
        <v>48</v>
      </c>
      <c r="C288" s="50" t="s">
        <v>339</v>
      </c>
      <c r="D288" s="39">
        <v>499.5</v>
      </c>
      <c r="E288" s="39">
        <v>499.5</v>
      </c>
      <c r="F288" s="39">
        <v>499.5</v>
      </c>
      <c r="G288" s="39">
        <v>499.5</v>
      </c>
      <c r="H288" s="39">
        <v>499.5</v>
      </c>
      <c r="I288" s="39">
        <v>499.5</v>
      </c>
      <c r="J288" s="39">
        <v>499.5</v>
      </c>
      <c r="K288" s="39">
        <v>499.5</v>
      </c>
    </row>
    <row r="289" spans="1:11" ht="15.75">
      <c r="A289" s="49" t="s">
        <v>45</v>
      </c>
      <c r="B289" s="49" t="s">
        <v>48</v>
      </c>
      <c r="C289" s="50" t="s">
        <v>910</v>
      </c>
      <c r="D289" s="39">
        <v>699.3</v>
      </c>
      <c r="E289" s="39">
        <v>699.3</v>
      </c>
      <c r="F289" s="39">
        <v>699.3</v>
      </c>
      <c r="G289" s="39">
        <v>699.3</v>
      </c>
      <c r="H289" s="39">
        <v>699.3</v>
      </c>
      <c r="I289" s="39">
        <v>699.3</v>
      </c>
      <c r="J289" s="39">
        <v>699.3</v>
      </c>
      <c r="K289" s="39">
        <v>699.3</v>
      </c>
    </row>
    <row r="290" spans="1:11" ht="15.75">
      <c r="A290" s="49" t="s">
        <v>45</v>
      </c>
      <c r="B290" s="49" t="s">
        <v>48</v>
      </c>
      <c r="C290" s="50" t="s">
        <v>911</v>
      </c>
      <c r="D290" s="39">
        <v>489.6</v>
      </c>
      <c r="E290" s="39">
        <v>489.6</v>
      </c>
      <c r="F290" s="39">
        <v>489.6</v>
      </c>
      <c r="G290" s="39">
        <v>489.6</v>
      </c>
      <c r="H290" s="39">
        <v>489.6</v>
      </c>
      <c r="I290" s="39">
        <v>489.6</v>
      </c>
      <c r="J290" s="39">
        <v>489.6</v>
      </c>
      <c r="K290" s="39">
        <v>489.6</v>
      </c>
    </row>
    <row r="291" spans="1:11" ht="15.75">
      <c r="A291" s="49" t="s">
        <v>83</v>
      </c>
      <c r="B291" s="49" t="s">
        <v>48</v>
      </c>
      <c r="C291" s="50" t="s">
        <v>912</v>
      </c>
      <c r="D291" s="39">
        <v>789.3</v>
      </c>
      <c r="E291" s="39">
        <v>789.3</v>
      </c>
      <c r="F291" s="39">
        <v>789.3</v>
      </c>
      <c r="G291" s="39">
        <v>789.3</v>
      </c>
      <c r="H291" s="39">
        <v>789.3</v>
      </c>
      <c r="I291" s="39">
        <v>789.3</v>
      </c>
      <c r="J291" s="39">
        <v>789.3</v>
      </c>
      <c r="K291" s="39">
        <v>789.3</v>
      </c>
    </row>
    <row r="292" spans="1:11" ht="15.75">
      <c r="A292" s="49" t="s">
        <v>91</v>
      </c>
      <c r="B292" s="49" t="s">
        <v>48</v>
      </c>
      <c r="C292" s="50" t="s">
        <v>913</v>
      </c>
      <c r="D292" s="39">
        <v>2199.6</v>
      </c>
      <c r="E292" s="39">
        <v>2199.6</v>
      </c>
      <c r="F292" s="39">
        <v>2199.6</v>
      </c>
      <c r="G292" s="39">
        <v>2199.6</v>
      </c>
      <c r="H292" s="39">
        <v>2199.6</v>
      </c>
      <c r="I292" s="39">
        <v>2199.6</v>
      </c>
      <c r="J292" s="39">
        <v>2199.6</v>
      </c>
      <c r="K292" s="39">
        <v>2199.6</v>
      </c>
    </row>
    <row r="293" spans="1:11" ht="15.75">
      <c r="A293" s="49" t="s">
        <v>91</v>
      </c>
      <c r="B293" s="49" t="s">
        <v>48</v>
      </c>
      <c r="C293" s="50" t="s">
        <v>914</v>
      </c>
      <c r="D293" s="39">
        <v>2589.3000000000002</v>
      </c>
      <c r="E293" s="39">
        <v>2589.3000000000002</v>
      </c>
      <c r="F293" s="39">
        <v>2589.3000000000002</v>
      </c>
      <c r="G293" s="39">
        <v>2589.3000000000002</v>
      </c>
      <c r="H293" s="39">
        <v>2589.3000000000002</v>
      </c>
      <c r="I293" s="39">
        <v>2589.3000000000002</v>
      </c>
      <c r="J293" s="39">
        <v>2589.3000000000002</v>
      </c>
      <c r="K293" s="39">
        <v>2589.3000000000002</v>
      </c>
    </row>
    <row r="294" spans="1:11" ht="15.75">
      <c r="A294" s="49" t="s">
        <v>91</v>
      </c>
      <c r="B294" s="49" t="s">
        <v>48</v>
      </c>
      <c r="C294" s="50" t="s">
        <v>915</v>
      </c>
      <c r="D294" s="39">
        <v>2229.3000000000002</v>
      </c>
      <c r="E294" s="39">
        <v>2229.3000000000002</v>
      </c>
      <c r="F294" s="39">
        <v>2229.3000000000002</v>
      </c>
      <c r="G294" s="39">
        <v>2229.3000000000002</v>
      </c>
      <c r="H294" s="39">
        <v>2229.3000000000002</v>
      </c>
      <c r="I294" s="39">
        <v>2229.3000000000002</v>
      </c>
      <c r="J294" s="39">
        <v>2229.3000000000002</v>
      </c>
      <c r="K294" s="39">
        <v>2229.3000000000002</v>
      </c>
    </row>
    <row r="295" spans="1:11" ht="15.75">
      <c r="A295" s="49" t="s">
        <v>91</v>
      </c>
      <c r="B295" s="49" t="s">
        <v>48</v>
      </c>
      <c r="C295" s="50" t="s">
        <v>916</v>
      </c>
      <c r="D295" s="39">
        <v>4759.2</v>
      </c>
      <c r="E295" s="39">
        <v>4759.2</v>
      </c>
      <c r="F295" s="39">
        <v>4759.2</v>
      </c>
      <c r="G295" s="39">
        <v>4759.2</v>
      </c>
      <c r="H295" s="39">
        <v>4759.2</v>
      </c>
      <c r="I295" s="39">
        <v>4759.2</v>
      </c>
      <c r="J295" s="39">
        <v>4759.2</v>
      </c>
      <c r="K295" s="39">
        <v>4759.2</v>
      </c>
    </row>
    <row r="296" spans="1:11" ht="15.75">
      <c r="A296" s="49" t="s">
        <v>45</v>
      </c>
      <c r="B296" s="49" t="s">
        <v>48</v>
      </c>
      <c r="C296" s="50" t="s">
        <v>917</v>
      </c>
      <c r="D296" s="39">
        <v>929.7</v>
      </c>
      <c r="E296" s="39">
        <v>929.7</v>
      </c>
      <c r="F296" s="39">
        <v>929.7</v>
      </c>
      <c r="G296" s="39">
        <v>929.7</v>
      </c>
      <c r="H296" s="39">
        <v>929.7</v>
      </c>
      <c r="I296" s="39">
        <v>929.7</v>
      </c>
      <c r="J296" s="39">
        <v>929.7</v>
      </c>
      <c r="K296" s="39">
        <v>929.7</v>
      </c>
    </row>
    <row r="297" spans="1:11" ht="15.75">
      <c r="A297" s="49" t="s">
        <v>45</v>
      </c>
      <c r="B297" s="49" t="s">
        <v>48</v>
      </c>
      <c r="C297" s="50" t="s">
        <v>918</v>
      </c>
      <c r="D297" s="39">
        <v>799.2</v>
      </c>
      <c r="E297" s="39">
        <v>799.2</v>
      </c>
      <c r="F297" s="39">
        <v>799.2</v>
      </c>
      <c r="G297" s="39">
        <v>799.2</v>
      </c>
      <c r="H297" s="39">
        <v>799.2</v>
      </c>
      <c r="I297" s="39">
        <v>799.2</v>
      </c>
      <c r="J297" s="39">
        <v>799.2</v>
      </c>
      <c r="K297" s="39">
        <v>799.2</v>
      </c>
    </row>
    <row r="298" spans="1:11" ht="15.75">
      <c r="A298" s="49" t="s">
        <v>45</v>
      </c>
      <c r="B298" s="49" t="s">
        <v>48</v>
      </c>
      <c r="C298" s="50" t="s">
        <v>524</v>
      </c>
      <c r="D298" s="39">
        <v>1179</v>
      </c>
      <c r="E298" s="39">
        <v>1179</v>
      </c>
      <c r="F298" s="39">
        <v>1179</v>
      </c>
      <c r="G298" s="39">
        <v>1179</v>
      </c>
      <c r="H298" s="39">
        <v>1179</v>
      </c>
      <c r="I298" s="39">
        <v>1179</v>
      </c>
      <c r="J298" s="39">
        <v>1179</v>
      </c>
      <c r="K298" s="39">
        <v>1179</v>
      </c>
    </row>
    <row r="299" spans="1:11" ht="15.75">
      <c r="A299" s="49" t="s">
        <v>91</v>
      </c>
      <c r="B299" s="49" t="s">
        <v>48</v>
      </c>
      <c r="C299" s="50" t="s">
        <v>919</v>
      </c>
      <c r="D299" s="39">
        <v>1909.8</v>
      </c>
      <c r="E299" s="39">
        <v>1909.8</v>
      </c>
      <c r="F299" s="39">
        <v>1909.8</v>
      </c>
      <c r="G299" s="39">
        <v>1909.8</v>
      </c>
      <c r="H299" s="39">
        <v>1909.8</v>
      </c>
      <c r="I299" s="39">
        <v>1909.8</v>
      </c>
      <c r="J299" s="39">
        <v>1909.8</v>
      </c>
      <c r="K299" s="39">
        <v>1909.8</v>
      </c>
    </row>
    <row r="300" spans="1:11" ht="15.75">
      <c r="A300" s="49" t="s">
        <v>91</v>
      </c>
      <c r="B300" s="49" t="s">
        <v>48</v>
      </c>
      <c r="C300" s="50" t="s">
        <v>920</v>
      </c>
      <c r="D300" s="39">
        <v>2520.9</v>
      </c>
      <c r="E300" s="39">
        <v>2520.9</v>
      </c>
      <c r="F300" s="39">
        <v>2520.9</v>
      </c>
      <c r="G300" s="39">
        <v>2520.9</v>
      </c>
      <c r="H300" s="39">
        <v>2520.9</v>
      </c>
      <c r="I300" s="39">
        <v>2520.9</v>
      </c>
      <c r="J300" s="39">
        <v>2520.9</v>
      </c>
      <c r="K300" s="39">
        <v>2520.9</v>
      </c>
    </row>
    <row r="301" spans="1:11" ht="15.75">
      <c r="A301" s="49" t="s">
        <v>91</v>
      </c>
      <c r="B301" s="49" t="s">
        <v>48</v>
      </c>
      <c r="C301" s="50" t="s">
        <v>921</v>
      </c>
      <c r="D301" s="39">
        <v>2412.9</v>
      </c>
      <c r="E301" s="39">
        <v>2412.9</v>
      </c>
      <c r="F301" s="39">
        <v>2412.9</v>
      </c>
      <c r="G301" s="39">
        <v>2412.9</v>
      </c>
      <c r="H301" s="39">
        <v>2412.9</v>
      </c>
      <c r="I301" s="39">
        <v>2412.9</v>
      </c>
      <c r="J301" s="39">
        <v>2412.9</v>
      </c>
      <c r="K301" s="39">
        <v>2412.9</v>
      </c>
    </row>
    <row r="302" spans="1:11" ht="15.75">
      <c r="A302" s="49" t="s">
        <v>91</v>
      </c>
      <c r="B302" s="49" t="s">
        <v>48</v>
      </c>
      <c r="C302" s="50" t="s">
        <v>922</v>
      </c>
      <c r="D302" s="39">
        <v>3608.1</v>
      </c>
      <c r="E302" s="39">
        <v>3608.1</v>
      </c>
      <c r="F302" s="39">
        <v>3608.1</v>
      </c>
      <c r="G302" s="39">
        <v>3608.1</v>
      </c>
      <c r="H302" s="39">
        <v>3608.1</v>
      </c>
      <c r="I302" s="39">
        <v>3608.1</v>
      </c>
      <c r="J302" s="39">
        <v>3608.1</v>
      </c>
      <c r="K302" s="39">
        <v>3608.1</v>
      </c>
    </row>
    <row r="303" spans="1:11" ht="15.75">
      <c r="A303" s="49" t="s">
        <v>91</v>
      </c>
      <c r="B303" s="49" t="s">
        <v>48</v>
      </c>
      <c r="C303" s="50" t="s">
        <v>923</v>
      </c>
      <c r="D303" s="39">
        <v>4949.1000000000004</v>
      </c>
      <c r="E303" s="39">
        <v>4949.1000000000004</v>
      </c>
      <c r="F303" s="39">
        <v>4949.1000000000004</v>
      </c>
      <c r="G303" s="39">
        <v>4949.1000000000004</v>
      </c>
      <c r="H303" s="39">
        <v>4949.1000000000004</v>
      </c>
      <c r="I303" s="39">
        <v>4949.1000000000004</v>
      </c>
      <c r="J303" s="39">
        <v>4949.1000000000004</v>
      </c>
      <c r="K303" s="39">
        <v>4949.1000000000004</v>
      </c>
    </row>
    <row r="304" spans="1:11" ht="15.75">
      <c r="A304" s="49" t="s">
        <v>45</v>
      </c>
      <c r="B304" s="49" t="s">
        <v>48</v>
      </c>
      <c r="C304" s="50" t="s">
        <v>924</v>
      </c>
      <c r="D304" s="39">
        <v>899.1</v>
      </c>
      <c r="E304" s="39">
        <v>899.1</v>
      </c>
      <c r="F304" s="39">
        <v>899.1</v>
      </c>
      <c r="G304" s="39">
        <v>899.1</v>
      </c>
      <c r="H304" s="39">
        <v>899.1</v>
      </c>
      <c r="I304" s="39">
        <v>899.1</v>
      </c>
      <c r="J304" s="39">
        <v>899.1</v>
      </c>
      <c r="K304" s="39">
        <v>899.1</v>
      </c>
    </row>
    <row r="305" spans="1:11" ht="15.75">
      <c r="A305" s="49" t="s">
        <v>91</v>
      </c>
      <c r="B305" s="49" t="s">
        <v>48</v>
      </c>
      <c r="C305" s="50" t="s">
        <v>535</v>
      </c>
      <c r="D305" s="39">
        <v>2219.4</v>
      </c>
      <c r="E305" s="39">
        <v>2219.4</v>
      </c>
      <c r="F305" s="39">
        <v>2219.4</v>
      </c>
      <c r="G305" s="39">
        <v>2219.4</v>
      </c>
      <c r="H305" s="39">
        <v>2219.4</v>
      </c>
      <c r="I305" s="39">
        <v>2219.4</v>
      </c>
      <c r="J305" s="39">
        <v>2219.4</v>
      </c>
      <c r="K305" s="39">
        <v>2219.4</v>
      </c>
    </row>
    <row r="306" spans="1:11" ht="15.75">
      <c r="A306" s="49" t="s">
        <v>66</v>
      </c>
      <c r="B306" s="49" t="s">
        <v>48</v>
      </c>
      <c r="C306" s="50" t="s">
        <v>410</v>
      </c>
      <c r="D306" s="39">
        <v>139.5</v>
      </c>
      <c r="E306" s="39">
        <v>139.5</v>
      </c>
      <c r="F306" s="39">
        <v>139.5</v>
      </c>
      <c r="G306" s="39">
        <v>139.5</v>
      </c>
      <c r="H306" s="39">
        <v>139.5</v>
      </c>
      <c r="I306" s="39">
        <v>139.5</v>
      </c>
      <c r="J306" s="39">
        <v>139.5</v>
      </c>
      <c r="K306" s="39">
        <v>139.5</v>
      </c>
    </row>
    <row r="307" spans="1:11" ht="15.75">
      <c r="A307" s="49" t="s">
        <v>66</v>
      </c>
      <c r="B307" s="49" t="s">
        <v>48</v>
      </c>
      <c r="C307" s="50" t="s">
        <v>925</v>
      </c>
      <c r="D307" s="39">
        <v>179.1</v>
      </c>
      <c r="E307" s="39">
        <v>179.1</v>
      </c>
      <c r="F307" s="39">
        <v>179.1</v>
      </c>
      <c r="G307" s="39">
        <v>179.1</v>
      </c>
      <c r="H307" s="39">
        <v>179.1</v>
      </c>
      <c r="I307" s="39">
        <v>179.1</v>
      </c>
      <c r="J307" s="39">
        <v>179.1</v>
      </c>
      <c r="K307" s="39">
        <v>179.1</v>
      </c>
    </row>
    <row r="308" spans="1:11" ht="15.75">
      <c r="A308" s="49" t="s">
        <v>66</v>
      </c>
      <c r="B308" s="49" t="s">
        <v>48</v>
      </c>
      <c r="C308" s="50" t="s">
        <v>926</v>
      </c>
      <c r="D308" s="39">
        <v>149.4</v>
      </c>
      <c r="E308" s="39">
        <v>149.4</v>
      </c>
      <c r="F308" s="39">
        <v>149.4</v>
      </c>
      <c r="G308" s="39">
        <v>149.4</v>
      </c>
      <c r="H308" s="39">
        <v>149.4</v>
      </c>
      <c r="I308" s="39">
        <v>149.4</v>
      </c>
      <c r="J308" s="39">
        <v>149.4</v>
      </c>
      <c r="K308" s="39">
        <v>149.4</v>
      </c>
    </row>
    <row r="309" spans="1:11" ht="15.75">
      <c r="A309" s="49" t="s">
        <v>835</v>
      </c>
      <c r="B309" s="49" t="s">
        <v>48</v>
      </c>
      <c r="C309" s="50" t="s">
        <v>927</v>
      </c>
      <c r="D309" s="39">
        <v>129.6</v>
      </c>
      <c r="E309" s="39">
        <v>129.6</v>
      </c>
      <c r="F309" s="39">
        <v>129.6</v>
      </c>
      <c r="G309" s="39">
        <v>129.6</v>
      </c>
      <c r="H309" s="39">
        <v>129.6</v>
      </c>
      <c r="I309" s="39">
        <v>129.6</v>
      </c>
      <c r="J309" s="39">
        <v>129.6</v>
      </c>
      <c r="K309" s="39">
        <v>129.6</v>
      </c>
    </row>
    <row r="310" spans="1:11" ht="15.75">
      <c r="A310" s="49" t="s">
        <v>66</v>
      </c>
      <c r="B310" s="49" t="s">
        <v>48</v>
      </c>
      <c r="C310" s="50" t="s">
        <v>928</v>
      </c>
      <c r="D310" s="39">
        <v>359.1</v>
      </c>
      <c r="E310" s="39">
        <v>359.1</v>
      </c>
      <c r="F310" s="39">
        <v>359.1</v>
      </c>
      <c r="G310" s="39">
        <v>359.1</v>
      </c>
      <c r="H310" s="39">
        <v>359.1</v>
      </c>
      <c r="I310" s="39">
        <v>359.1</v>
      </c>
      <c r="J310" s="39">
        <v>359.1</v>
      </c>
      <c r="K310" s="39">
        <v>359.1</v>
      </c>
    </row>
    <row r="311" spans="1:11" ht="15.75">
      <c r="A311" s="49" t="s">
        <v>66</v>
      </c>
      <c r="B311" s="49" t="s">
        <v>48</v>
      </c>
      <c r="C311" s="50" t="s">
        <v>929</v>
      </c>
      <c r="D311" s="39">
        <v>129.6</v>
      </c>
      <c r="E311" s="39">
        <v>129.6</v>
      </c>
      <c r="F311" s="39">
        <v>129.6</v>
      </c>
      <c r="G311" s="39">
        <v>129.6</v>
      </c>
      <c r="H311" s="39">
        <v>129.6</v>
      </c>
      <c r="I311" s="39">
        <v>129.6</v>
      </c>
      <c r="J311" s="39">
        <v>129.6</v>
      </c>
      <c r="K311" s="39">
        <v>129.6</v>
      </c>
    </row>
    <row r="312" spans="1:11" ht="15.75">
      <c r="A312" s="49" t="s">
        <v>211</v>
      </c>
      <c r="B312" s="49" t="s">
        <v>48</v>
      </c>
      <c r="C312" s="50" t="s">
        <v>930</v>
      </c>
      <c r="D312" s="39">
        <v>299.7</v>
      </c>
      <c r="E312" s="39">
        <v>299.7</v>
      </c>
      <c r="F312" s="39">
        <v>299.7</v>
      </c>
      <c r="G312" s="39">
        <v>299.7</v>
      </c>
      <c r="H312" s="39">
        <v>299.7</v>
      </c>
      <c r="I312" s="39">
        <v>299.7</v>
      </c>
      <c r="J312" s="39">
        <v>299.7</v>
      </c>
      <c r="K312" s="39">
        <v>299.7</v>
      </c>
    </row>
    <row r="313" spans="1:11" ht="15.75">
      <c r="A313" s="49" t="s">
        <v>45</v>
      </c>
      <c r="B313" s="49" t="s">
        <v>48</v>
      </c>
      <c r="C313" s="50" t="s">
        <v>931</v>
      </c>
      <c r="D313" s="39">
        <v>219.6</v>
      </c>
      <c r="E313" s="39">
        <v>219.6</v>
      </c>
      <c r="F313" s="39">
        <v>219.6</v>
      </c>
      <c r="G313" s="39">
        <v>219.6</v>
      </c>
      <c r="H313" s="39">
        <v>219.6</v>
      </c>
      <c r="I313" s="39">
        <v>219.6</v>
      </c>
      <c r="J313" s="39">
        <v>219.6</v>
      </c>
      <c r="K313" s="39">
        <v>219.6</v>
      </c>
    </row>
    <row r="314" spans="1:11" ht="15.75">
      <c r="A314" s="49" t="s">
        <v>45</v>
      </c>
      <c r="B314" s="49" t="s">
        <v>48</v>
      </c>
      <c r="C314" s="50" t="s">
        <v>932</v>
      </c>
      <c r="D314" s="39">
        <v>199.8</v>
      </c>
      <c r="E314" s="39">
        <v>199.8</v>
      </c>
      <c r="F314" s="39">
        <v>199.8</v>
      </c>
      <c r="G314" s="39">
        <v>199.8</v>
      </c>
      <c r="H314" s="39">
        <v>199.8</v>
      </c>
      <c r="I314" s="39">
        <v>199.8</v>
      </c>
      <c r="J314" s="39">
        <v>199.8</v>
      </c>
      <c r="K314" s="39">
        <v>199.8</v>
      </c>
    </row>
    <row r="315" spans="1:11" ht="15.75">
      <c r="A315" s="49" t="s">
        <v>45</v>
      </c>
      <c r="B315" s="45" t="s">
        <v>1014</v>
      </c>
      <c r="C315" s="50" t="s">
        <v>933</v>
      </c>
      <c r="D315" s="39">
        <v>239.4</v>
      </c>
      <c r="E315" s="39">
        <v>239.4</v>
      </c>
      <c r="F315" s="39">
        <v>239.4</v>
      </c>
      <c r="G315" s="39">
        <v>239.4</v>
      </c>
      <c r="H315" s="39">
        <v>239.4</v>
      </c>
      <c r="I315" s="39">
        <v>239.4</v>
      </c>
      <c r="J315" s="39">
        <v>239.4</v>
      </c>
      <c r="K315" s="39">
        <v>239.4</v>
      </c>
    </row>
    <row r="316" spans="1:11" ht="15.75">
      <c r="A316" s="49" t="s">
        <v>45</v>
      </c>
      <c r="B316" s="45" t="s">
        <v>1014</v>
      </c>
      <c r="C316" s="50" t="s">
        <v>934</v>
      </c>
      <c r="D316" s="39">
        <v>329.4</v>
      </c>
      <c r="E316" s="39">
        <v>329.4</v>
      </c>
      <c r="F316" s="39">
        <v>329.4</v>
      </c>
      <c r="G316" s="39">
        <v>329.4</v>
      </c>
      <c r="H316" s="39">
        <v>329.4</v>
      </c>
      <c r="I316" s="39">
        <v>329.4</v>
      </c>
      <c r="J316" s="39">
        <v>329.4</v>
      </c>
      <c r="K316" s="39">
        <v>329.4</v>
      </c>
    </row>
    <row r="317" spans="1:11" ht="15.75">
      <c r="A317" s="49" t="s">
        <v>66</v>
      </c>
      <c r="B317" s="49" t="s">
        <v>48</v>
      </c>
      <c r="C317" s="50" t="s">
        <v>935</v>
      </c>
      <c r="D317" s="39">
        <v>399.6</v>
      </c>
      <c r="E317" s="39">
        <v>399.6</v>
      </c>
      <c r="F317" s="39">
        <v>399.6</v>
      </c>
      <c r="G317" s="39">
        <v>399.6</v>
      </c>
      <c r="H317" s="39">
        <v>399.6</v>
      </c>
      <c r="I317" s="39">
        <v>399.6</v>
      </c>
      <c r="J317" s="39">
        <v>399.6</v>
      </c>
      <c r="K317" s="39">
        <v>399.6</v>
      </c>
    </row>
    <row r="318" spans="1:11" ht="15.75">
      <c r="A318" s="49" t="s">
        <v>835</v>
      </c>
      <c r="B318" s="49" t="s">
        <v>48</v>
      </c>
      <c r="C318" s="50" t="s">
        <v>936</v>
      </c>
      <c r="D318" s="39">
        <v>239.4</v>
      </c>
      <c r="E318" s="39">
        <v>239.4</v>
      </c>
      <c r="F318" s="39">
        <v>239.4</v>
      </c>
      <c r="G318" s="39">
        <v>239.4</v>
      </c>
      <c r="H318" s="39">
        <v>239.4</v>
      </c>
      <c r="I318" s="39">
        <v>239.4</v>
      </c>
      <c r="J318" s="39">
        <v>239.4</v>
      </c>
      <c r="K318" s="39">
        <v>239.4</v>
      </c>
    </row>
    <row r="319" spans="1:11" ht="15.75">
      <c r="A319" s="49" t="s">
        <v>45</v>
      </c>
      <c r="B319" s="49" t="s">
        <v>48</v>
      </c>
      <c r="C319" s="50" t="s">
        <v>937</v>
      </c>
      <c r="D319" s="39">
        <v>469.8</v>
      </c>
      <c r="E319" s="39">
        <v>469.8</v>
      </c>
      <c r="F319" s="39">
        <v>469.8</v>
      </c>
      <c r="G319" s="39">
        <v>469.8</v>
      </c>
      <c r="H319" s="39">
        <v>469.8</v>
      </c>
      <c r="I319" s="39">
        <v>469.8</v>
      </c>
      <c r="J319" s="39">
        <v>469.8</v>
      </c>
      <c r="K319" s="39">
        <v>469.8</v>
      </c>
    </row>
    <row r="320" spans="1:11" ht="15.75">
      <c r="A320" s="49" t="s">
        <v>45</v>
      </c>
      <c r="B320" s="49" t="s">
        <v>48</v>
      </c>
      <c r="C320" s="50" t="s">
        <v>938</v>
      </c>
      <c r="D320" s="39">
        <v>399.6</v>
      </c>
      <c r="E320" s="39">
        <v>399.6</v>
      </c>
      <c r="F320" s="39">
        <v>399.6</v>
      </c>
      <c r="G320" s="39">
        <v>399.6</v>
      </c>
      <c r="H320" s="39">
        <v>399.6</v>
      </c>
      <c r="I320" s="39">
        <v>399.6</v>
      </c>
      <c r="J320" s="39">
        <v>399.6</v>
      </c>
      <c r="K320" s="39">
        <v>399.6</v>
      </c>
    </row>
    <row r="321" spans="1:11" ht="15.75">
      <c r="A321" s="49" t="s">
        <v>835</v>
      </c>
      <c r="B321" s="49" t="s">
        <v>48</v>
      </c>
      <c r="C321" s="50" t="s">
        <v>939</v>
      </c>
      <c r="D321" s="39">
        <v>399.6</v>
      </c>
      <c r="E321" s="39">
        <v>399.6</v>
      </c>
      <c r="F321" s="39">
        <v>399.6</v>
      </c>
      <c r="G321" s="39">
        <v>399.6</v>
      </c>
      <c r="H321" s="39">
        <v>399.6</v>
      </c>
      <c r="I321" s="39">
        <v>399.6</v>
      </c>
      <c r="J321" s="39">
        <v>399.6</v>
      </c>
      <c r="K321" s="39">
        <v>399.6</v>
      </c>
    </row>
    <row r="322" spans="1:11" ht="15.75">
      <c r="A322" s="49" t="s">
        <v>45</v>
      </c>
      <c r="B322" s="49" t="s">
        <v>48</v>
      </c>
      <c r="C322" s="50" t="s">
        <v>940</v>
      </c>
      <c r="D322" s="39">
        <v>399.6</v>
      </c>
      <c r="E322" s="39">
        <v>399.6</v>
      </c>
      <c r="F322" s="39">
        <v>399.6</v>
      </c>
      <c r="G322" s="39">
        <v>399.6</v>
      </c>
      <c r="H322" s="39">
        <v>399.6</v>
      </c>
      <c r="I322" s="39">
        <v>399.6</v>
      </c>
      <c r="J322" s="39">
        <v>399.6</v>
      </c>
      <c r="K322" s="39">
        <v>399.6</v>
      </c>
    </row>
    <row r="323" spans="1:11" ht="15.75">
      <c r="A323" s="49" t="s">
        <v>45</v>
      </c>
      <c r="B323" s="49" t="s">
        <v>48</v>
      </c>
      <c r="C323" s="50" t="s">
        <v>276</v>
      </c>
      <c r="D323" s="39">
        <v>289.8</v>
      </c>
      <c r="E323" s="39">
        <v>289.8</v>
      </c>
      <c r="F323" s="39">
        <v>289.8</v>
      </c>
      <c r="G323" s="39">
        <v>289.8</v>
      </c>
      <c r="H323" s="39">
        <v>289.8</v>
      </c>
      <c r="I323" s="39">
        <v>289.8</v>
      </c>
      <c r="J323" s="39">
        <v>289.8</v>
      </c>
      <c r="K323" s="39">
        <v>289.8</v>
      </c>
    </row>
    <row r="324" spans="1:11" ht="15.75">
      <c r="A324" s="49" t="s">
        <v>45</v>
      </c>
      <c r="B324" s="49" t="s">
        <v>48</v>
      </c>
      <c r="C324" s="50" t="s">
        <v>942</v>
      </c>
      <c r="D324" s="39">
        <v>559.79999999999995</v>
      </c>
      <c r="E324" s="39">
        <v>559.79999999999995</v>
      </c>
      <c r="F324" s="39">
        <v>559.79999999999995</v>
      </c>
      <c r="G324" s="39">
        <v>559.79999999999995</v>
      </c>
      <c r="H324" s="39">
        <v>559.79999999999995</v>
      </c>
      <c r="I324" s="39">
        <v>559.79999999999995</v>
      </c>
      <c r="J324" s="39">
        <v>559.79999999999995</v>
      </c>
      <c r="K324" s="39">
        <v>559.79999999999995</v>
      </c>
    </row>
    <row r="325" spans="1:11" ht="15.75">
      <c r="A325" s="49" t="s">
        <v>91</v>
      </c>
      <c r="B325" s="49" t="s">
        <v>48</v>
      </c>
      <c r="C325" s="50" t="s">
        <v>943</v>
      </c>
      <c r="D325" s="39">
        <v>479.7</v>
      </c>
      <c r="E325" s="39">
        <v>479.7</v>
      </c>
      <c r="F325" s="39">
        <v>479.7</v>
      </c>
      <c r="G325" s="39">
        <v>479.7</v>
      </c>
      <c r="H325" s="39">
        <v>479.7</v>
      </c>
      <c r="I325" s="39">
        <v>479.7</v>
      </c>
      <c r="J325" s="39">
        <v>479.7</v>
      </c>
      <c r="K325" s="39">
        <v>479.7</v>
      </c>
    </row>
    <row r="326" spans="1:11" ht="15.75">
      <c r="A326" s="49" t="s">
        <v>45</v>
      </c>
      <c r="B326" s="49" t="s">
        <v>48</v>
      </c>
      <c r="C326" s="50" t="s">
        <v>944</v>
      </c>
      <c r="D326" s="39">
        <v>659.7</v>
      </c>
      <c r="E326" s="39">
        <v>659.7</v>
      </c>
      <c r="F326" s="39">
        <v>659.7</v>
      </c>
      <c r="G326" s="39">
        <v>659.7</v>
      </c>
      <c r="H326" s="39">
        <v>659.7</v>
      </c>
      <c r="I326" s="39">
        <v>659.7</v>
      </c>
      <c r="J326" s="39">
        <v>659.7</v>
      </c>
      <c r="K326" s="39">
        <v>659.7</v>
      </c>
    </row>
    <row r="327" spans="1:11" ht="15.75">
      <c r="A327" s="49" t="s">
        <v>83</v>
      </c>
      <c r="B327" s="45" t="s">
        <v>1014</v>
      </c>
      <c r="C327" s="50" t="s">
        <v>945</v>
      </c>
      <c r="D327" s="39">
        <v>399.6</v>
      </c>
      <c r="E327" s="39">
        <v>399.6</v>
      </c>
      <c r="F327" s="39">
        <v>399.6</v>
      </c>
      <c r="G327" s="39">
        <v>399.6</v>
      </c>
      <c r="H327" s="39">
        <v>399.6</v>
      </c>
      <c r="I327" s="39">
        <v>399.6</v>
      </c>
      <c r="J327" s="39">
        <v>399.6</v>
      </c>
      <c r="K327" s="39">
        <v>399.6</v>
      </c>
    </row>
    <row r="328" spans="1:11" ht="15.75">
      <c r="A328" s="49" t="s">
        <v>45</v>
      </c>
      <c r="B328" s="49" t="s">
        <v>48</v>
      </c>
      <c r="C328" s="50" t="s">
        <v>946</v>
      </c>
      <c r="D328" s="39">
        <v>799.2</v>
      </c>
      <c r="E328" s="39">
        <v>799.2</v>
      </c>
      <c r="F328" s="39">
        <v>799.2</v>
      </c>
      <c r="G328" s="39">
        <v>799.2</v>
      </c>
      <c r="H328" s="39">
        <v>799.2</v>
      </c>
      <c r="I328" s="39">
        <v>799.2</v>
      </c>
      <c r="J328" s="39">
        <v>799.2</v>
      </c>
      <c r="K328" s="39">
        <v>799.2</v>
      </c>
    </row>
    <row r="329" spans="1:11" ht="15.75">
      <c r="A329" s="49" t="s">
        <v>45</v>
      </c>
      <c r="B329" s="49" t="s">
        <v>48</v>
      </c>
      <c r="C329" s="50" t="s">
        <v>359</v>
      </c>
      <c r="D329" s="39">
        <v>399.6</v>
      </c>
      <c r="E329" s="39">
        <v>399.6</v>
      </c>
      <c r="F329" s="39">
        <v>399.6</v>
      </c>
      <c r="G329" s="39">
        <v>399.6</v>
      </c>
      <c r="H329" s="39">
        <v>399.6</v>
      </c>
      <c r="I329" s="39">
        <v>399.6</v>
      </c>
      <c r="J329" s="39">
        <v>399.6</v>
      </c>
      <c r="K329" s="39">
        <v>399.6</v>
      </c>
    </row>
    <row r="330" spans="1:11" ht="15.75">
      <c r="A330" s="49" t="s">
        <v>45</v>
      </c>
      <c r="B330" s="49" t="s">
        <v>48</v>
      </c>
      <c r="C330" s="50" t="s">
        <v>947</v>
      </c>
      <c r="D330" s="39">
        <v>699.3</v>
      </c>
      <c r="E330" s="39">
        <v>699.3</v>
      </c>
      <c r="F330" s="39">
        <v>699.3</v>
      </c>
      <c r="G330" s="39">
        <v>699.3</v>
      </c>
      <c r="H330" s="39">
        <v>699.3</v>
      </c>
      <c r="I330" s="39">
        <v>699.3</v>
      </c>
      <c r="J330" s="39">
        <v>699.3</v>
      </c>
      <c r="K330" s="39">
        <v>699.3</v>
      </c>
    </row>
    <row r="331" spans="1:11" ht="15.75">
      <c r="A331" s="49" t="s">
        <v>45</v>
      </c>
      <c r="B331" s="49" t="s">
        <v>48</v>
      </c>
      <c r="C331" s="50" t="s">
        <v>948</v>
      </c>
      <c r="D331" s="39">
        <v>439.2</v>
      </c>
      <c r="E331" s="39">
        <v>439.2</v>
      </c>
      <c r="F331" s="39">
        <v>439.2</v>
      </c>
      <c r="G331" s="39">
        <v>439.2</v>
      </c>
      <c r="H331" s="39">
        <v>439.2</v>
      </c>
      <c r="I331" s="39">
        <v>439.2</v>
      </c>
      <c r="J331" s="39">
        <v>439.2</v>
      </c>
      <c r="K331" s="39">
        <v>439.2</v>
      </c>
    </row>
    <row r="332" spans="1:11" ht="15.75">
      <c r="A332" s="49" t="s">
        <v>83</v>
      </c>
      <c r="B332" s="49" t="s">
        <v>48</v>
      </c>
      <c r="C332" s="50" t="s">
        <v>949</v>
      </c>
      <c r="D332" s="39">
        <v>739.8</v>
      </c>
      <c r="E332" s="39">
        <v>739.8</v>
      </c>
      <c r="F332" s="39">
        <v>739.8</v>
      </c>
      <c r="G332" s="39">
        <v>739.8</v>
      </c>
      <c r="H332" s="39">
        <v>739.8</v>
      </c>
      <c r="I332" s="39">
        <v>739.8</v>
      </c>
      <c r="J332" s="39">
        <v>739.8</v>
      </c>
      <c r="K332" s="39">
        <v>739.8</v>
      </c>
    </row>
    <row r="333" spans="1:11" ht="15.75">
      <c r="A333" s="49" t="s">
        <v>45</v>
      </c>
      <c r="B333" s="49" t="s">
        <v>48</v>
      </c>
      <c r="C333" s="50" t="s">
        <v>950</v>
      </c>
      <c r="D333" s="39">
        <v>489.6</v>
      </c>
      <c r="E333" s="39">
        <v>489.6</v>
      </c>
      <c r="F333" s="39">
        <v>489.6</v>
      </c>
      <c r="G333" s="39">
        <v>489.6</v>
      </c>
      <c r="H333" s="39">
        <v>489.6</v>
      </c>
      <c r="I333" s="39">
        <v>489.6</v>
      </c>
      <c r="J333" s="39">
        <v>489.6</v>
      </c>
      <c r="K333" s="39">
        <v>489.6</v>
      </c>
    </row>
    <row r="334" spans="1:11" ht="15.75">
      <c r="A334" s="49" t="s">
        <v>91</v>
      </c>
      <c r="B334" s="49" t="s">
        <v>48</v>
      </c>
      <c r="C334" s="50" t="s">
        <v>951</v>
      </c>
      <c r="D334" s="39">
        <v>679.5</v>
      </c>
      <c r="E334" s="39">
        <v>679.5</v>
      </c>
      <c r="F334" s="39">
        <v>679.5</v>
      </c>
      <c r="G334" s="39">
        <v>679.5</v>
      </c>
      <c r="H334" s="39">
        <v>679.5</v>
      </c>
      <c r="I334" s="39">
        <v>679.5</v>
      </c>
      <c r="J334" s="39">
        <v>679.5</v>
      </c>
      <c r="K334" s="39">
        <v>679.5</v>
      </c>
    </row>
    <row r="335" spans="1:11" ht="15.75">
      <c r="A335" s="49" t="s">
        <v>45</v>
      </c>
      <c r="B335" s="49" t="s">
        <v>48</v>
      </c>
      <c r="C335" s="50" t="s">
        <v>952</v>
      </c>
      <c r="D335" s="39">
        <v>929.7</v>
      </c>
      <c r="E335" s="39">
        <v>929.7</v>
      </c>
      <c r="F335" s="39">
        <v>929.7</v>
      </c>
      <c r="G335" s="39">
        <v>929.7</v>
      </c>
      <c r="H335" s="39">
        <v>929.7</v>
      </c>
      <c r="I335" s="39">
        <v>929.7</v>
      </c>
      <c r="J335" s="39">
        <v>929.7</v>
      </c>
      <c r="K335" s="39">
        <v>929.7</v>
      </c>
    </row>
    <row r="336" spans="1:11" ht="15.75">
      <c r="A336" s="49" t="s">
        <v>45</v>
      </c>
      <c r="B336" s="49" t="s">
        <v>48</v>
      </c>
      <c r="C336" s="50" t="s">
        <v>953</v>
      </c>
      <c r="D336" s="39">
        <v>999</v>
      </c>
      <c r="E336" s="39">
        <v>999</v>
      </c>
      <c r="F336" s="39">
        <v>999</v>
      </c>
      <c r="G336" s="39">
        <v>999</v>
      </c>
      <c r="H336" s="39">
        <v>999</v>
      </c>
      <c r="I336" s="39">
        <v>999</v>
      </c>
      <c r="J336" s="39">
        <v>999</v>
      </c>
      <c r="K336" s="39">
        <v>999</v>
      </c>
    </row>
    <row r="337" spans="1:11" ht="15.75">
      <c r="A337" s="49" t="s">
        <v>45</v>
      </c>
      <c r="B337" s="49" t="s">
        <v>48</v>
      </c>
      <c r="C337" s="50" t="s">
        <v>954</v>
      </c>
      <c r="D337" s="39">
        <v>899.1</v>
      </c>
      <c r="E337" s="39">
        <v>899.1</v>
      </c>
      <c r="F337" s="39">
        <v>899.1</v>
      </c>
      <c r="G337" s="39">
        <v>899.1</v>
      </c>
      <c r="H337" s="39">
        <v>899.1</v>
      </c>
      <c r="I337" s="39">
        <v>899.1</v>
      </c>
      <c r="J337" s="39">
        <v>899.1</v>
      </c>
      <c r="K337" s="39">
        <v>899.1</v>
      </c>
    </row>
    <row r="338" spans="1:11" ht="15.75">
      <c r="A338" s="49" t="s">
        <v>83</v>
      </c>
      <c r="B338" s="49" t="s">
        <v>48</v>
      </c>
      <c r="C338" s="50" t="s">
        <v>955</v>
      </c>
      <c r="D338" s="39">
        <v>829.8</v>
      </c>
      <c r="E338" s="39">
        <v>829.8</v>
      </c>
      <c r="F338" s="39">
        <v>829.8</v>
      </c>
      <c r="G338" s="39">
        <v>829.8</v>
      </c>
      <c r="H338" s="39">
        <v>829.8</v>
      </c>
      <c r="I338" s="39">
        <v>829.8</v>
      </c>
      <c r="J338" s="39">
        <v>829.8</v>
      </c>
      <c r="K338" s="39">
        <v>829.8</v>
      </c>
    </row>
    <row r="339" spans="1:11" ht="15.75">
      <c r="A339" s="49" t="s">
        <v>83</v>
      </c>
      <c r="B339" s="49" t="s">
        <v>48</v>
      </c>
      <c r="C339" s="50" t="s">
        <v>956</v>
      </c>
      <c r="D339" s="39">
        <v>869.4</v>
      </c>
      <c r="E339" s="39">
        <v>869.4</v>
      </c>
      <c r="F339" s="39">
        <v>869.4</v>
      </c>
      <c r="G339" s="39">
        <v>869.4</v>
      </c>
      <c r="H339" s="39">
        <v>869.4</v>
      </c>
      <c r="I339" s="39">
        <v>869.4</v>
      </c>
      <c r="J339" s="39">
        <v>869.4</v>
      </c>
      <c r="K339" s="39">
        <v>869.4</v>
      </c>
    </row>
    <row r="340" spans="1:11" ht="15.75">
      <c r="A340" s="49" t="s">
        <v>83</v>
      </c>
      <c r="B340" s="49" t="s">
        <v>48</v>
      </c>
      <c r="C340" s="50" t="s">
        <v>957</v>
      </c>
      <c r="D340" s="39">
        <v>979.2</v>
      </c>
      <c r="E340" s="39">
        <v>979.2</v>
      </c>
      <c r="F340" s="39">
        <v>979.2</v>
      </c>
      <c r="G340" s="39">
        <v>979.2</v>
      </c>
      <c r="H340" s="39">
        <v>979.2</v>
      </c>
      <c r="I340" s="39">
        <v>979.2</v>
      </c>
      <c r="J340" s="39">
        <v>979.2</v>
      </c>
      <c r="K340" s="39">
        <v>979.2</v>
      </c>
    </row>
    <row r="341" spans="1:11" ht="15.75">
      <c r="A341" s="49" t="s">
        <v>83</v>
      </c>
      <c r="B341" s="49" t="s">
        <v>48</v>
      </c>
      <c r="C341" s="50" t="s">
        <v>958</v>
      </c>
      <c r="D341" s="39">
        <v>749.7</v>
      </c>
      <c r="E341" s="39">
        <v>749.7</v>
      </c>
      <c r="F341" s="39">
        <v>749.7</v>
      </c>
      <c r="G341" s="39">
        <v>749.7</v>
      </c>
      <c r="H341" s="39">
        <v>749.7</v>
      </c>
      <c r="I341" s="39">
        <v>749.7</v>
      </c>
      <c r="J341" s="39">
        <v>749.7</v>
      </c>
      <c r="K341" s="39">
        <v>749.7</v>
      </c>
    </row>
    <row r="342" spans="1:11" ht="15.75">
      <c r="A342" s="49" t="s">
        <v>83</v>
      </c>
      <c r="B342" s="49" t="s">
        <v>48</v>
      </c>
      <c r="C342" s="50" t="s">
        <v>959</v>
      </c>
      <c r="D342" s="39">
        <v>1349.1</v>
      </c>
      <c r="E342" s="39">
        <v>1349.1</v>
      </c>
      <c r="F342" s="39">
        <v>1349.1</v>
      </c>
      <c r="G342" s="39">
        <v>1349.1</v>
      </c>
      <c r="H342" s="39">
        <v>1349.1</v>
      </c>
      <c r="I342" s="39">
        <v>1349.1</v>
      </c>
      <c r="J342" s="39">
        <v>1349.1</v>
      </c>
      <c r="K342" s="39">
        <v>1349.1</v>
      </c>
    </row>
    <row r="343" spans="1:11" ht="15.75">
      <c r="A343" s="49" t="s">
        <v>83</v>
      </c>
      <c r="B343" s="49" t="s">
        <v>48</v>
      </c>
      <c r="C343" s="50" t="s">
        <v>960</v>
      </c>
      <c r="D343" s="39">
        <v>999</v>
      </c>
      <c r="E343" s="39">
        <v>999</v>
      </c>
      <c r="F343" s="39">
        <v>999</v>
      </c>
      <c r="G343" s="39">
        <v>999</v>
      </c>
      <c r="H343" s="39">
        <v>999</v>
      </c>
      <c r="I343" s="39">
        <v>999</v>
      </c>
      <c r="J343" s="39">
        <v>999</v>
      </c>
      <c r="K343" s="39">
        <v>999</v>
      </c>
    </row>
    <row r="344" spans="1:11" ht="15.75">
      <c r="A344" s="49" t="s">
        <v>83</v>
      </c>
      <c r="B344" s="49" t="s">
        <v>48</v>
      </c>
      <c r="C344" s="50" t="s">
        <v>374</v>
      </c>
      <c r="D344" s="39">
        <v>1059.3</v>
      </c>
      <c r="E344" s="39">
        <v>1059.3</v>
      </c>
      <c r="F344" s="39">
        <v>1059.3</v>
      </c>
      <c r="G344" s="39">
        <v>1059.3</v>
      </c>
      <c r="H344" s="39">
        <v>1059.3</v>
      </c>
      <c r="I344" s="39">
        <v>1059.3</v>
      </c>
      <c r="J344" s="39">
        <v>1059.3</v>
      </c>
      <c r="K344" s="39">
        <v>1059.3</v>
      </c>
    </row>
    <row r="345" spans="1:11" ht="15.75">
      <c r="A345" s="49" t="s">
        <v>83</v>
      </c>
      <c r="B345" s="49" t="s">
        <v>48</v>
      </c>
      <c r="C345" s="50" t="s">
        <v>961</v>
      </c>
      <c r="D345" s="39">
        <v>1399.5</v>
      </c>
      <c r="E345" s="39">
        <v>1399.5</v>
      </c>
      <c r="F345" s="39">
        <v>1399.5</v>
      </c>
      <c r="G345" s="39">
        <v>1399.5</v>
      </c>
      <c r="H345" s="39">
        <v>1399.5</v>
      </c>
      <c r="I345" s="39">
        <v>1399.5</v>
      </c>
      <c r="J345" s="39">
        <v>1399.5</v>
      </c>
      <c r="K345" s="39">
        <v>1399.5</v>
      </c>
    </row>
    <row r="346" spans="1:11" ht="15.75">
      <c r="A346" s="49" t="s">
        <v>83</v>
      </c>
      <c r="B346" s="49" t="s">
        <v>48</v>
      </c>
      <c r="C346" s="50" t="s">
        <v>310</v>
      </c>
      <c r="D346" s="39">
        <v>1249.2</v>
      </c>
      <c r="E346" s="39">
        <v>1249.2</v>
      </c>
      <c r="F346" s="39">
        <v>1249.2</v>
      </c>
      <c r="G346" s="39">
        <v>1249.2</v>
      </c>
      <c r="H346" s="39">
        <v>1249.2</v>
      </c>
      <c r="I346" s="39">
        <v>1249.2</v>
      </c>
      <c r="J346" s="39">
        <v>1249.2</v>
      </c>
      <c r="K346" s="39">
        <v>1249.2</v>
      </c>
    </row>
    <row r="347" spans="1:11" ht="15.75">
      <c r="A347" s="49" t="s">
        <v>83</v>
      </c>
      <c r="B347" s="49" t="s">
        <v>48</v>
      </c>
      <c r="C347" s="50" t="s">
        <v>962</v>
      </c>
      <c r="D347" s="39">
        <v>1309.5</v>
      </c>
      <c r="E347" s="39">
        <v>1309.5</v>
      </c>
      <c r="F347" s="39">
        <v>1309.5</v>
      </c>
      <c r="G347" s="39">
        <v>1309.5</v>
      </c>
      <c r="H347" s="39">
        <v>1309.5</v>
      </c>
      <c r="I347" s="39">
        <v>1309.5</v>
      </c>
      <c r="J347" s="39">
        <v>1309.5</v>
      </c>
      <c r="K347" s="39">
        <v>1309.5</v>
      </c>
    </row>
    <row r="348" spans="1:11" ht="15.75">
      <c r="A348" s="49" t="s">
        <v>91</v>
      </c>
      <c r="B348" s="49" t="s">
        <v>48</v>
      </c>
      <c r="C348" s="50" t="s">
        <v>963</v>
      </c>
      <c r="D348" s="39">
        <v>1269</v>
      </c>
      <c r="E348" s="39">
        <v>1269</v>
      </c>
      <c r="F348" s="39">
        <v>1269</v>
      </c>
      <c r="G348" s="39">
        <v>1269</v>
      </c>
      <c r="H348" s="39">
        <v>1269</v>
      </c>
      <c r="I348" s="39">
        <v>1269</v>
      </c>
      <c r="J348" s="39">
        <v>1269</v>
      </c>
      <c r="K348" s="39">
        <v>1269</v>
      </c>
    </row>
    <row r="349" spans="1:11" ht="15.75">
      <c r="A349" s="49" t="s">
        <v>91</v>
      </c>
      <c r="B349" s="49" t="s">
        <v>48</v>
      </c>
      <c r="C349" s="50" t="s">
        <v>964</v>
      </c>
      <c r="D349" s="39">
        <v>1629</v>
      </c>
      <c r="E349" s="39">
        <v>1629</v>
      </c>
      <c r="F349" s="39">
        <v>1629</v>
      </c>
      <c r="G349" s="39">
        <v>1629</v>
      </c>
      <c r="H349" s="39">
        <v>1629</v>
      </c>
      <c r="I349" s="39">
        <v>1629</v>
      </c>
      <c r="J349" s="39">
        <v>1629</v>
      </c>
      <c r="K349" s="39">
        <v>1629</v>
      </c>
    </row>
    <row r="350" spans="1:11" ht="15.75">
      <c r="A350" s="49" t="s">
        <v>91</v>
      </c>
      <c r="B350" s="49" t="s">
        <v>48</v>
      </c>
      <c r="C350" s="50" t="s">
        <v>965</v>
      </c>
      <c r="D350" s="39">
        <v>1899</v>
      </c>
      <c r="E350" s="39">
        <v>1899</v>
      </c>
      <c r="F350" s="39">
        <v>1899</v>
      </c>
      <c r="G350" s="39">
        <v>1899</v>
      </c>
      <c r="H350" s="39">
        <v>1899</v>
      </c>
      <c r="I350" s="39">
        <v>1899</v>
      </c>
      <c r="J350" s="39">
        <v>1899</v>
      </c>
      <c r="K350" s="39">
        <v>1899</v>
      </c>
    </row>
    <row r="351" spans="1:11" ht="15.75">
      <c r="A351" s="49" t="s">
        <v>835</v>
      </c>
      <c r="B351" s="49" t="s">
        <v>48</v>
      </c>
      <c r="C351" s="50" t="s">
        <v>966</v>
      </c>
      <c r="D351" s="39">
        <v>1969.2</v>
      </c>
      <c r="E351" s="39">
        <v>1969.2</v>
      </c>
      <c r="F351" s="39">
        <v>1969.2</v>
      </c>
      <c r="G351" s="39">
        <v>1969.2</v>
      </c>
      <c r="H351" s="39">
        <v>1969.2</v>
      </c>
      <c r="I351" s="39">
        <v>1969.2</v>
      </c>
      <c r="J351" s="39">
        <v>1969.2</v>
      </c>
      <c r="K351" s="39">
        <v>1969.2</v>
      </c>
    </row>
    <row r="352" spans="1:11" ht="15.75">
      <c r="A352" s="49" t="s">
        <v>91</v>
      </c>
      <c r="B352" s="49" t="s">
        <v>48</v>
      </c>
      <c r="C352" s="50" t="s">
        <v>967</v>
      </c>
      <c r="D352" s="39">
        <v>1909.8</v>
      </c>
      <c r="E352" s="39">
        <v>1909.8</v>
      </c>
      <c r="F352" s="39">
        <v>1909.8</v>
      </c>
      <c r="G352" s="39">
        <v>1909.8</v>
      </c>
      <c r="H352" s="39">
        <v>1909.8</v>
      </c>
      <c r="I352" s="39">
        <v>1909.8</v>
      </c>
      <c r="J352" s="39">
        <v>1909.8</v>
      </c>
      <c r="K352" s="39">
        <v>1909.8</v>
      </c>
    </row>
    <row r="353" spans="1:11" ht="15.75">
      <c r="A353" s="49" t="s">
        <v>91</v>
      </c>
      <c r="B353" s="49" t="s">
        <v>48</v>
      </c>
      <c r="C353" s="50" t="s">
        <v>968</v>
      </c>
      <c r="D353" s="39">
        <v>2269.8000000000002</v>
      </c>
      <c r="E353" s="39">
        <v>2269.8000000000002</v>
      </c>
      <c r="F353" s="39">
        <v>2269.8000000000002</v>
      </c>
      <c r="G353" s="39">
        <v>2269.8000000000002</v>
      </c>
      <c r="H353" s="39">
        <v>2269.8000000000002</v>
      </c>
      <c r="I353" s="39">
        <v>2269.8000000000002</v>
      </c>
      <c r="J353" s="39">
        <v>2269.8000000000002</v>
      </c>
      <c r="K353" s="39">
        <v>2269.8000000000002</v>
      </c>
    </row>
    <row r="354" spans="1:11" ht="15.75">
      <c r="A354" s="49" t="s">
        <v>91</v>
      </c>
      <c r="B354" s="49" t="s">
        <v>48</v>
      </c>
      <c r="C354" s="50" t="s">
        <v>969</v>
      </c>
      <c r="D354" s="39">
        <v>2259</v>
      </c>
      <c r="E354" s="39">
        <v>2259</v>
      </c>
      <c r="F354" s="39">
        <v>2259</v>
      </c>
      <c r="G354" s="39">
        <v>2259</v>
      </c>
      <c r="H354" s="39">
        <v>2259</v>
      </c>
      <c r="I354" s="39">
        <v>2259</v>
      </c>
      <c r="J354" s="39">
        <v>2259</v>
      </c>
      <c r="K354" s="39">
        <v>2259</v>
      </c>
    </row>
    <row r="355" spans="1:11" ht="15.75">
      <c r="A355" s="49" t="s">
        <v>91</v>
      </c>
      <c r="B355" s="49" t="s">
        <v>48</v>
      </c>
      <c r="C355" s="50" t="s">
        <v>970</v>
      </c>
      <c r="D355" s="39">
        <v>2399.4</v>
      </c>
      <c r="E355" s="39">
        <v>2399.4</v>
      </c>
      <c r="F355" s="39">
        <v>2399.4</v>
      </c>
      <c r="G355" s="39">
        <v>2399.4</v>
      </c>
      <c r="H355" s="39">
        <v>2399.4</v>
      </c>
      <c r="I355" s="39">
        <v>2399.4</v>
      </c>
      <c r="J355" s="39">
        <v>2399.4</v>
      </c>
      <c r="K355" s="39">
        <v>2399.4</v>
      </c>
    </row>
    <row r="356" spans="1:11" ht="15.75">
      <c r="A356" s="49" t="s">
        <v>91</v>
      </c>
      <c r="B356" s="49" t="s">
        <v>48</v>
      </c>
      <c r="C356" s="50" t="s">
        <v>971</v>
      </c>
      <c r="D356" s="39">
        <v>2719.8</v>
      </c>
      <c r="E356" s="39">
        <v>2719.8</v>
      </c>
      <c r="F356" s="39">
        <v>2719.8</v>
      </c>
      <c r="G356" s="39">
        <v>2719.8</v>
      </c>
      <c r="H356" s="39">
        <v>2719.8</v>
      </c>
      <c r="I356" s="39">
        <v>2719.8</v>
      </c>
      <c r="J356" s="39">
        <v>2719.8</v>
      </c>
      <c r="K356" s="39">
        <v>2719.8</v>
      </c>
    </row>
    <row r="357" spans="1:11" ht="15.75">
      <c r="A357" s="49" t="s">
        <v>91</v>
      </c>
      <c r="B357" s="49" t="s">
        <v>48</v>
      </c>
      <c r="C357" s="50" t="s">
        <v>972</v>
      </c>
      <c r="D357" s="39">
        <v>2699.1</v>
      </c>
      <c r="E357" s="39">
        <v>2699.1</v>
      </c>
      <c r="F357" s="39">
        <v>2699.1</v>
      </c>
      <c r="G357" s="39">
        <v>2699.1</v>
      </c>
      <c r="H357" s="39">
        <v>2699.1</v>
      </c>
      <c r="I357" s="39">
        <v>2699.1</v>
      </c>
      <c r="J357" s="39">
        <v>2699.1</v>
      </c>
      <c r="K357" s="39">
        <v>2699.1</v>
      </c>
    </row>
    <row r="358" spans="1:11" ht="15.75">
      <c r="A358" s="49" t="s">
        <v>91</v>
      </c>
      <c r="B358" s="45" t="s">
        <v>1014</v>
      </c>
      <c r="C358" s="50" t="s">
        <v>973</v>
      </c>
      <c r="D358" s="39">
        <v>2559.6</v>
      </c>
      <c r="E358" s="39">
        <v>2559.6</v>
      </c>
      <c r="F358" s="39">
        <v>2559.6</v>
      </c>
      <c r="G358" s="39">
        <v>2559.6</v>
      </c>
      <c r="H358" s="39">
        <v>2559.6</v>
      </c>
      <c r="I358" s="39">
        <v>2559.6</v>
      </c>
      <c r="J358" s="39">
        <v>2559.6</v>
      </c>
      <c r="K358" s="39">
        <v>2559.6</v>
      </c>
    </row>
    <row r="359" spans="1:11" ht="15.75">
      <c r="A359" s="49" t="s">
        <v>91</v>
      </c>
      <c r="B359" s="49" t="s">
        <v>48</v>
      </c>
      <c r="C359" s="50" t="s">
        <v>974</v>
      </c>
      <c r="D359" s="39">
        <v>3669.3</v>
      </c>
      <c r="E359" s="39">
        <v>3669.3</v>
      </c>
      <c r="F359" s="39">
        <v>3669.3</v>
      </c>
      <c r="G359" s="39">
        <v>3669.3</v>
      </c>
      <c r="H359" s="39">
        <v>3669.3</v>
      </c>
      <c r="I359" s="39">
        <v>3669.3</v>
      </c>
      <c r="J359" s="39">
        <v>3669.3</v>
      </c>
      <c r="K359" s="39">
        <v>3669.3</v>
      </c>
    </row>
    <row r="360" spans="1:11" ht="15.75">
      <c r="A360" s="49" t="s">
        <v>91</v>
      </c>
      <c r="B360" s="49" t="s">
        <v>48</v>
      </c>
      <c r="C360" s="50" t="s">
        <v>975</v>
      </c>
      <c r="D360" s="39">
        <v>2869.2</v>
      </c>
      <c r="E360" s="39">
        <v>2869.2</v>
      </c>
      <c r="F360" s="39">
        <v>2869.2</v>
      </c>
      <c r="G360" s="39">
        <v>2869.2</v>
      </c>
      <c r="H360" s="39">
        <v>2869.2</v>
      </c>
      <c r="I360" s="39">
        <v>2869.2</v>
      </c>
      <c r="J360" s="39">
        <v>2869.2</v>
      </c>
      <c r="K360" s="39">
        <v>2869.2</v>
      </c>
    </row>
    <row r="361" spans="1:11" ht="15.75">
      <c r="A361" s="49" t="s">
        <v>91</v>
      </c>
      <c r="B361" s="49" t="s">
        <v>48</v>
      </c>
      <c r="C361" s="50" t="s">
        <v>976</v>
      </c>
      <c r="D361" s="39">
        <v>2759.4</v>
      </c>
      <c r="E361" s="39">
        <v>2759.4</v>
      </c>
      <c r="F361" s="39">
        <v>2759.4</v>
      </c>
      <c r="G361" s="39">
        <v>2759.4</v>
      </c>
      <c r="H361" s="39">
        <v>2759.4</v>
      </c>
      <c r="I361" s="39">
        <v>2759.4</v>
      </c>
      <c r="J361" s="39">
        <v>2759.4</v>
      </c>
      <c r="K361" s="39">
        <v>2759.4</v>
      </c>
    </row>
    <row r="362" spans="1:11" ht="15.75">
      <c r="A362" s="49" t="s">
        <v>91</v>
      </c>
      <c r="B362" s="49" t="s">
        <v>48</v>
      </c>
      <c r="C362" s="50" t="s">
        <v>977</v>
      </c>
      <c r="D362" s="39">
        <v>4499.1000000000004</v>
      </c>
      <c r="E362" s="39">
        <v>4499.1000000000004</v>
      </c>
      <c r="F362" s="39">
        <v>4499.1000000000004</v>
      </c>
      <c r="G362" s="39">
        <v>4499.1000000000004</v>
      </c>
      <c r="H362" s="39">
        <v>4499.1000000000004</v>
      </c>
      <c r="I362" s="39">
        <v>4499.1000000000004</v>
      </c>
      <c r="J362" s="39">
        <v>4499.1000000000004</v>
      </c>
      <c r="K362" s="39">
        <v>4499.1000000000004</v>
      </c>
    </row>
    <row r="363" spans="1:11" ht="15.75">
      <c r="A363" s="49" t="s">
        <v>45</v>
      </c>
      <c r="B363" s="49" t="s">
        <v>48</v>
      </c>
      <c r="C363" s="50" t="s">
        <v>978</v>
      </c>
      <c r="D363" s="39">
        <v>619.20000000000005</v>
      </c>
      <c r="E363" s="39">
        <v>619.20000000000005</v>
      </c>
      <c r="F363" s="39">
        <v>619.20000000000005</v>
      </c>
      <c r="G363" s="39">
        <v>619.20000000000005</v>
      </c>
      <c r="H363" s="39">
        <v>619.20000000000005</v>
      </c>
      <c r="I363" s="39">
        <v>619.20000000000005</v>
      </c>
      <c r="J363" s="39">
        <v>619.20000000000005</v>
      </c>
      <c r="K363" s="39">
        <v>619.20000000000005</v>
      </c>
    </row>
    <row r="364" spans="1:11" ht="15.75">
      <c r="A364" s="49" t="s">
        <v>211</v>
      </c>
      <c r="B364" s="49" t="s">
        <v>48</v>
      </c>
      <c r="C364" s="50" t="s">
        <v>179</v>
      </c>
      <c r="D364" s="39">
        <v>479.7</v>
      </c>
      <c r="E364" s="39">
        <v>479.7</v>
      </c>
      <c r="F364" s="39">
        <v>479.7</v>
      </c>
      <c r="G364" s="39">
        <v>479.7</v>
      </c>
      <c r="H364" s="39">
        <v>479.7</v>
      </c>
      <c r="I364" s="39">
        <v>479.7</v>
      </c>
      <c r="J364" s="39">
        <v>479.7</v>
      </c>
      <c r="K364" s="39">
        <v>479.7</v>
      </c>
    </row>
    <row r="365" spans="1:11" ht="15.75">
      <c r="A365" s="49" t="s">
        <v>83</v>
      </c>
      <c r="B365" s="49" t="s">
        <v>48</v>
      </c>
      <c r="C365" s="50" t="s">
        <v>979</v>
      </c>
      <c r="D365" s="39">
        <v>1299.5999999999999</v>
      </c>
      <c r="E365" s="39">
        <v>1299.5999999999999</v>
      </c>
      <c r="F365" s="39">
        <v>1299.5999999999999</v>
      </c>
      <c r="G365" s="39">
        <v>1299.5999999999999</v>
      </c>
      <c r="H365" s="39">
        <v>1299.5999999999999</v>
      </c>
      <c r="I365" s="39">
        <v>1299.5999999999999</v>
      </c>
      <c r="J365" s="39">
        <v>1299.5999999999999</v>
      </c>
      <c r="K365" s="39">
        <v>1299.5999999999999</v>
      </c>
    </row>
    <row r="366" spans="1:11" ht="15.75">
      <c r="A366" s="49" t="s">
        <v>83</v>
      </c>
      <c r="B366" s="49" t="s">
        <v>48</v>
      </c>
      <c r="C366" s="50" t="s">
        <v>304</v>
      </c>
      <c r="D366" s="39">
        <v>1569.6</v>
      </c>
      <c r="E366" s="39">
        <v>1569.6</v>
      </c>
      <c r="F366" s="39">
        <v>1569.6</v>
      </c>
      <c r="G366" s="39">
        <v>1569.6</v>
      </c>
      <c r="H366" s="39">
        <v>1569.6</v>
      </c>
      <c r="I366" s="39">
        <v>1569.6</v>
      </c>
      <c r="J366" s="39">
        <v>1569.6</v>
      </c>
      <c r="K366" s="39">
        <v>1569.6</v>
      </c>
    </row>
    <row r="367" spans="1:11" ht="15.75">
      <c r="A367" s="49" t="s">
        <v>91</v>
      </c>
      <c r="B367" s="49" t="s">
        <v>48</v>
      </c>
      <c r="C367" s="49" t="s">
        <v>315</v>
      </c>
      <c r="D367" s="39">
        <v>1839.6</v>
      </c>
      <c r="E367" s="39">
        <v>1839.6</v>
      </c>
      <c r="F367" s="39">
        <v>1839.6</v>
      </c>
      <c r="G367" s="39">
        <v>1839.6</v>
      </c>
      <c r="H367" s="39">
        <v>1839.6</v>
      </c>
      <c r="I367" s="39">
        <v>1839.6</v>
      </c>
      <c r="J367" s="39">
        <v>1839.6</v>
      </c>
      <c r="K367" s="39">
        <v>1839.6</v>
      </c>
    </row>
    <row r="368" spans="1:11" ht="15.75">
      <c r="A368" s="49" t="s">
        <v>45</v>
      </c>
      <c r="B368" s="45" t="s">
        <v>1014</v>
      </c>
      <c r="C368" s="49" t="s">
        <v>980</v>
      </c>
      <c r="D368" s="39">
        <v>129.6</v>
      </c>
      <c r="E368" s="39">
        <v>129.6</v>
      </c>
      <c r="F368" s="39">
        <v>129.6</v>
      </c>
      <c r="G368" s="39">
        <v>129.6</v>
      </c>
      <c r="H368" s="39">
        <v>129.6</v>
      </c>
      <c r="I368" s="39">
        <v>129.6</v>
      </c>
      <c r="J368" s="39">
        <v>129.6</v>
      </c>
      <c r="K368" s="39">
        <v>129.6</v>
      </c>
    </row>
    <row r="369" spans="1:11" ht="15.75">
      <c r="A369" s="49" t="s">
        <v>83</v>
      </c>
      <c r="B369" s="49" t="s">
        <v>48</v>
      </c>
      <c r="C369" s="49" t="s">
        <v>981</v>
      </c>
      <c r="D369" s="39">
        <v>1759.5</v>
      </c>
      <c r="E369" s="39">
        <v>1759.5</v>
      </c>
      <c r="F369" s="39">
        <v>1759.5</v>
      </c>
      <c r="G369" s="39">
        <v>1759.5</v>
      </c>
      <c r="H369" s="39">
        <v>1759.5</v>
      </c>
      <c r="I369" s="39">
        <v>1759.5</v>
      </c>
      <c r="J369" s="39">
        <v>1759.5</v>
      </c>
      <c r="K369" s="39">
        <v>1759.5</v>
      </c>
    </row>
    <row r="370" spans="1:11" ht="15.75">
      <c r="A370" s="49" t="s">
        <v>45</v>
      </c>
      <c r="B370" s="49" t="s">
        <v>48</v>
      </c>
      <c r="C370" s="49" t="s">
        <v>507</v>
      </c>
      <c r="D370" s="39">
        <v>699.3</v>
      </c>
      <c r="E370" s="39">
        <v>699.3</v>
      </c>
      <c r="F370" s="39">
        <v>699.3</v>
      </c>
      <c r="G370" s="39">
        <v>699.3</v>
      </c>
      <c r="H370" s="39">
        <v>699.3</v>
      </c>
      <c r="I370" s="39">
        <v>699.3</v>
      </c>
      <c r="J370" s="39">
        <v>699.3</v>
      </c>
      <c r="K370" s="39">
        <v>699.3</v>
      </c>
    </row>
    <row r="371" spans="1:11" ht="15.75">
      <c r="A371" s="49" t="s">
        <v>45</v>
      </c>
      <c r="B371" s="49" t="s">
        <v>48</v>
      </c>
      <c r="C371" s="49" t="s">
        <v>982</v>
      </c>
      <c r="D371" s="39">
        <v>239.4</v>
      </c>
      <c r="E371" s="39">
        <v>239.4</v>
      </c>
      <c r="F371" s="39">
        <v>239.4</v>
      </c>
      <c r="G371" s="39">
        <v>239.4</v>
      </c>
      <c r="H371" s="39">
        <v>239.4</v>
      </c>
      <c r="I371" s="39">
        <v>239.4</v>
      </c>
      <c r="J371" s="39">
        <v>239.4</v>
      </c>
      <c r="K371" s="39">
        <v>239.4</v>
      </c>
    </row>
    <row r="372" spans="1:11" ht="15.75">
      <c r="A372" s="49" t="s">
        <v>45</v>
      </c>
      <c r="B372" s="49" t="s">
        <v>48</v>
      </c>
      <c r="C372" s="49" t="s">
        <v>254</v>
      </c>
      <c r="D372" s="39">
        <v>159.30000000000001</v>
      </c>
      <c r="E372" s="39">
        <v>159.30000000000001</v>
      </c>
      <c r="F372" s="39">
        <v>159.30000000000001</v>
      </c>
      <c r="G372" s="39">
        <v>159.30000000000001</v>
      </c>
      <c r="H372" s="39">
        <v>159.30000000000001</v>
      </c>
      <c r="I372" s="39">
        <v>159.30000000000001</v>
      </c>
      <c r="J372" s="39">
        <v>159.30000000000001</v>
      </c>
      <c r="K372" s="39">
        <v>159.30000000000001</v>
      </c>
    </row>
    <row r="373" spans="1:11" ht="15.75">
      <c r="A373" s="49" t="s">
        <v>45</v>
      </c>
      <c r="B373" s="49" t="s">
        <v>48</v>
      </c>
      <c r="C373" s="49" t="s">
        <v>480</v>
      </c>
      <c r="D373" s="39">
        <v>309.60000000000002</v>
      </c>
      <c r="E373" s="39">
        <v>309.60000000000002</v>
      </c>
      <c r="F373" s="39">
        <v>309.60000000000002</v>
      </c>
      <c r="G373" s="39">
        <v>309.60000000000002</v>
      </c>
      <c r="H373" s="39">
        <v>309.60000000000002</v>
      </c>
      <c r="I373" s="39">
        <v>309.60000000000002</v>
      </c>
      <c r="J373" s="39">
        <v>309.60000000000002</v>
      </c>
      <c r="K373" s="39">
        <v>309.60000000000002</v>
      </c>
    </row>
    <row r="374" spans="1:11" ht="15.75">
      <c r="A374" s="49" t="s">
        <v>83</v>
      </c>
      <c r="B374" s="49" t="s">
        <v>48</v>
      </c>
      <c r="C374" s="49" t="s">
        <v>983</v>
      </c>
      <c r="D374" s="39">
        <v>979.2</v>
      </c>
      <c r="E374" s="39">
        <v>979.2</v>
      </c>
      <c r="F374" s="39">
        <v>979.2</v>
      </c>
      <c r="G374" s="39">
        <v>979.2</v>
      </c>
      <c r="H374" s="39">
        <v>979.2</v>
      </c>
      <c r="I374" s="39">
        <v>979.2</v>
      </c>
      <c r="J374" s="39">
        <v>979.2</v>
      </c>
      <c r="K374" s="39">
        <v>979.2</v>
      </c>
    </row>
    <row r="375" spans="1:11" ht="15.75">
      <c r="A375" s="49" t="s">
        <v>91</v>
      </c>
      <c r="B375" s="49" t="s">
        <v>48</v>
      </c>
      <c r="C375" s="49" t="s">
        <v>984</v>
      </c>
      <c r="D375" s="39">
        <v>2489.4</v>
      </c>
      <c r="E375" s="39">
        <v>2489.4</v>
      </c>
      <c r="F375" s="39">
        <v>2489.4</v>
      </c>
      <c r="G375" s="39">
        <v>2489.4</v>
      </c>
      <c r="H375" s="39">
        <v>2489.4</v>
      </c>
      <c r="I375" s="39">
        <v>2489.4</v>
      </c>
      <c r="J375" s="39">
        <v>2489.4</v>
      </c>
      <c r="K375" s="39">
        <v>2489.4</v>
      </c>
    </row>
    <row r="376" spans="1:11" ht="15.75">
      <c r="A376" s="49" t="s">
        <v>83</v>
      </c>
      <c r="B376" s="49" t="s">
        <v>48</v>
      </c>
      <c r="C376" s="49" t="s">
        <v>985</v>
      </c>
      <c r="D376" s="39">
        <v>1319.4</v>
      </c>
      <c r="E376" s="39">
        <v>1319.4</v>
      </c>
      <c r="F376" s="39">
        <v>1319.4</v>
      </c>
      <c r="G376" s="39">
        <v>1319.4</v>
      </c>
      <c r="H376" s="39">
        <v>1319.4</v>
      </c>
      <c r="I376" s="39">
        <v>1319.4</v>
      </c>
      <c r="J376" s="39">
        <v>1319.4</v>
      </c>
      <c r="K376" s="39">
        <v>1319.4</v>
      </c>
    </row>
    <row r="377" spans="1:11" ht="15.75">
      <c r="A377" s="49" t="s">
        <v>66</v>
      </c>
      <c r="B377" s="49" t="s">
        <v>48</v>
      </c>
      <c r="C377" s="49" t="s">
        <v>411</v>
      </c>
      <c r="D377" s="39">
        <v>379.8</v>
      </c>
      <c r="E377" s="39">
        <v>379.8</v>
      </c>
      <c r="F377" s="39">
        <v>379.8</v>
      </c>
      <c r="G377" s="39">
        <v>379.8</v>
      </c>
      <c r="H377" s="39">
        <v>379.8</v>
      </c>
      <c r="I377" s="39">
        <v>379.8</v>
      </c>
      <c r="J377" s="39">
        <v>379.8</v>
      </c>
      <c r="K377" s="39">
        <v>379.8</v>
      </c>
    </row>
    <row r="378" spans="1:11" ht="15.75">
      <c r="A378" s="49" t="s">
        <v>45</v>
      </c>
      <c r="B378" s="49" t="s">
        <v>48</v>
      </c>
      <c r="C378" s="49" t="s">
        <v>986</v>
      </c>
      <c r="D378" s="39">
        <v>479.7</v>
      </c>
      <c r="E378" s="39">
        <v>479.7</v>
      </c>
      <c r="F378" s="39">
        <v>479.7</v>
      </c>
      <c r="G378" s="39">
        <v>479.7</v>
      </c>
      <c r="H378" s="39">
        <v>479.7</v>
      </c>
      <c r="I378" s="39">
        <v>479.7</v>
      </c>
      <c r="J378" s="39">
        <v>479.7</v>
      </c>
      <c r="K378" s="39">
        <v>479.7</v>
      </c>
    </row>
    <row r="379" spans="1:11" ht="15.75">
      <c r="A379" s="49" t="s">
        <v>45</v>
      </c>
      <c r="B379" s="49" t="s">
        <v>48</v>
      </c>
      <c r="C379" s="49" t="s">
        <v>263</v>
      </c>
      <c r="D379" s="39">
        <v>629.1</v>
      </c>
      <c r="E379" s="39">
        <v>629.1</v>
      </c>
      <c r="F379" s="39">
        <v>629.1</v>
      </c>
      <c r="G379" s="39">
        <v>629.1</v>
      </c>
      <c r="H379" s="39">
        <v>629.1</v>
      </c>
      <c r="I379" s="39">
        <v>629.1</v>
      </c>
      <c r="J379" s="39">
        <v>629.1</v>
      </c>
      <c r="K379" s="39">
        <v>629.1</v>
      </c>
    </row>
    <row r="380" spans="1:11" ht="15.75">
      <c r="A380" s="49" t="s">
        <v>45</v>
      </c>
      <c r="B380" s="49" t="s">
        <v>48</v>
      </c>
      <c r="C380" s="49" t="s">
        <v>333</v>
      </c>
      <c r="D380" s="39">
        <v>779.4</v>
      </c>
      <c r="E380" s="39">
        <v>779.4</v>
      </c>
      <c r="F380" s="39">
        <v>779.4</v>
      </c>
      <c r="G380" s="39">
        <v>779.4</v>
      </c>
      <c r="H380" s="39">
        <v>779.4</v>
      </c>
      <c r="I380" s="39">
        <v>779.4</v>
      </c>
      <c r="J380" s="39">
        <v>779.4</v>
      </c>
      <c r="K380" s="39">
        <v>779.4</v>
      </c>
    </row>
    <row r="381" spans="1:11" ht="15.75">
      <c r="A381" s="49" t="s">
        <v>45</v>
      </c>
      <c r="B381" s="49" t="s">
        <v>48</v>
      </c>
      <c r="C381" s="49" t="s">
        <v>278</v>
      </c>
      <c r="D381" s="39">
        <v>919.8</v>
      </c>
      <c r="E381" s="39">
        <v>919.8</v>
      </c>
      <c r="F381" s="39">
        <v>919.8</v>
      </c>
      <c r="G381" s="39">
        <v>919.8</v>
      </c>
      <c r="H381" s="39">
        <v>919.8</v>
      </c>
      <c r="I381" s="39">
        <v>919.8</v>
      </c>
      <c r="J381" s="39">
        <v>919.8</v>
      </c>
      <c r="K381" s="39">
        <v>919.8</v>
      </c>
    </row>
    <row r="382" spans="1:11" ht="15.75">
      <c r="A382" s="49" t="s">
        <v>45</v>
      </c>
      <c r="B382" s="49" t="s">
        <v>48</v>
      </c>
      <c r="C382" s="49" t="s">
        <v>377</v>
      </c>
      <c r="D382" s="39">
        <v>1059.3</v>
      </c>
      <c r="E382" s="39">
        <v>1059.3</v>
      </c>
      <c r="F382" s="39">
        <v>1059.3</v>
      </c>
      <c r="G382" s="39">
        <v>1059.3</v>
      </c>
      <c r="H382" s="39">
        <v>1059.3</v>
      </c>
      <c r="I382" s="39">
        <v>1059.3</v>
      </c>
      <c r="J382" s="39">
        <v>1059.3</v>
      </c>
      <c r="K382" s="39">
        <v>1059.3</v>
      </c>
    </row>
    <row r="383" spans="1:11" ht="15.75">
      <c r="A383" s="49" t="s">
        <v>83</v>
      </c>
      <c r="B383" s="49" t="s">
        <v>48</v>
      </c>
      <c r="C383" s="49" t="s">
        <v>987</v>
      </c>
      <c r="D383" s="39">
        <v>1189.8</v>
      </c>
      <c r="E383" s="39">
        <v>1189.8</v>
      </c>
      <c r="F383" s="39">
        <v>1189.8</v>
      </c>
      <c r="G383" s="39">
        <v>1189.8</v>
      </c>
      <c r="H383" s="39">
        <v>1189.8</v>
      </c>
      <c r="I383" s="39">
        <v>1189.8</v>
      </c>
      <c r="J383" s="39">
        <v>1189.8</v>
      </c>
      <c r="K383" s="39">
        <v>1189.8</v>
      </c>
    </row>
    <row r="384" spans="1:11" ht="15.75">
      <c r="A384" s="49" t="s">
        <v>83</v>
      </c>
      <c r="B384" s="49" t="s">
        <v>48</v>
      </c>
      <c r="C384" s="49" t="s">
        <v>388</v>
      </c>
      <c r="D384" s="39">
        <v>1429.2</v>
      </c>
      <c r="E384" s="39">
        <v>1429.2</v>
      </c>
      <c r="F384" s="39">
        <v>1429.2</v>
      </c>
      <c r="G384" s="39">
        <v>1429.2</v>
      </c>
      <c r="H384" s="39">
        <v>1429.2</v>
      </c>
      <c r="I384" s="39">
        <v>1429.2</v>
      </c>
      <c r="J384" s="39">
        <v>1429.2</v>
      </c>
      <c r="K384" s="39">
        <v>1429.2</v>
      </c>
    </row>
    <row r="385" spans="1:11" ht="15.75">
      <c r="A385" s="49" t="s">
        <v>83</v>
      </c>
      <c r="B385" s="49" t="s">
        <v>48</v>
      </c>
      <c r="C385" s="49" t="s">
        <v>988</v>
      </c>
      <c r="D385" s="39">
        <v>1949.4</v>
      </c>
      <c r="E385" s="39">
        <v>1949.4</v>
      </c>
      <c r="F385" s="39">
        <v>1949.4</v>
      </c>
      <c r="G385" s="39">
        <v>1949.4</v>
      </c>
      <c r="H385" s="39">
        <v>1949.4</v>
      </c>
      <c r="I385" s="39">
        <v>1949.4</v>
      </c>
      <c r="J385" s="39">
        <v>1949.4</v>
      </c>
      <c r="K385" s="39">
        <v>1949.4</v>
      </c>
    </row>
    <row r="386" spans="1:11" ht="15.75">
      <c r="A386" s="49" t="s">
        <v>91</v>
      </c>
      <c r="B386" s="49" t="s">
        <v>48</v>
      </c>
      <c r="C386" s="49" t="s">
        <v>989</v>
      </c>
      <c r="D386" s="39">
        <v>1999.8</v>
      </c>
      <c r="E386" s="39">
        <v>1999.8</v>
      </c>
      <c r="F386" s="39">
        <v>1999.8</v>
      </c>
      <c r="G386" s="39">
        <v>1999.8</v>
      </c>
      <c r="H386" s="39">
        <v>1999.8</v>
      </c>
      <c r="I386" s="39">
        <v>1999.8</v>
      </c>
      <c r="J386" s="39">
        <v>1999.8</v>
      </c>
      <c r="K386" s="39">
        <v>1999.8</v>
      </c>
    </row>
    <row r="387" spans="1:11" ht="15.75">
      <c r="A387" s="49" t="s">
        <v>91</v>
      </c>
      <c r="B387" s="49" t="s">
        <v>48</v>
      </c>
      <c r="C387" s="49" t="s">
        <v>990</v>
      </c>
      <c r="D387" s="39">
        <v>3979.8</v>
      </c>
      <c r="E387" s="39">
        <v>3979.8</v>
      </c>
      <c r="F387" s="39">
        <v>3979.8</v>
      </c>
      <c r="G387" s="39">
        <v>3979.8</v>
      </c>
      <c r="H387" s="39">
        <v>3979.8</v>
      </c>
      <c r="I387" s="39">
        <v>3979.8</v>
      </c>
      <c r="J387" s="39">
        <v>3979.8</v>
      </c>
      <c r="K387" s="39">
        <v>3979.8</v>
      </c>
    </row>
    <row r="388" spans="1:11" ht="15.75">
      <c r="A388" s="49" t="s">
        <v>91</v>
      </c>
      <c r="B388" s="49" t="s">
        <v>48</v>
      </c>
      <c r="C388" s="49" t="s">
        <v>991</v>
      </c>
      <c r="D388" s="39">
        <v>4509</v>
      </c>
      <c r="E388" s="39">
        <v>4509</v>
      </c>
      <c r="F388" s="39">
        <v>4509</v>
      </c>
      <c r="G388" s="39">
        <v>4509</v>
      </c>
      <c r="H388" s="39">
        <v>4509</v>
      </c>
      <c r="I388" s="39">
        <v>4509</v>
      </c>
      <c r="J388" s="39">
        <v>4509</v>
      </c>
      <c r="K388" s="39">
        <v>4509</v>
      </c>
    </row>
    <row r="389" spans="1:11" ht="15.75">
      <c r="A389" s="49" t="s">
        <v>45</v>
      </c>
      <c r="B389" s="49" t="s">
        <v>48</v>
      </c>
      <c r="C389" s="49" t="s">
        <v>486</v>
      </c>
      <c r="D389" s="39">
        <v>1099.8</v>
      </c>
      <c r="E389" s="39">
        <v>1099.8</v>
      </c>
      <c r="F389" s="39">
        <v>1099.8</v>
      </c>
      <c r="G389" s="39">
        <v>1099.8</v>
      </c>
      <c r="H389" s="39">
        <v>1099.8</v>
      </c>
      <c r="I389" s="39">
        <v>1099.8</v>
      </c>
      <c r="J389" s="39">
        <v>1099.8</v>
      </c>
      <c r="K389" s="39">
        <v>1099.8</v>
      </c>
    </row>
    <row r="390" spans="1:11" ht="15.75">
      <c r="A390" s="49" t="s">
        <v>83</v>
      </c>
      <c r="B390" s="49" t="s">
        <v>48</v>
      </c>
      <c r="C390" s="49" t="s">
        <v>496</v>
      </c>
      <c r="D390" s="39">
        <v>1799.1</v>
      </c>
      <c r="E390" s="39">
        <v>1799.1</v>
      </c>
      <c r="F390" s="39">
        <v>1799.1</v>
      </c>
      <c r="G390" s="39">
        <v>1799.1</v>
      </c>
      <c r="H390" s="39">
        <v>1799.1</v>
      </c>
      <c r="I390" s="39">
        <v>1799.1</v>
      </c>
      <c r="J390" s="39">
        <v>1799.1</v>
      </c>
      <c r="K390" s="39">
        <v>1799.1</v>
      </c>
    </row>
    <row r="391" spans="1:11" ht="15.75">
      <c r="A391" s="49" t="s">
        <v>91</v>
      </c>
      <c r="B391" s="49" t="s">
        <v>48</v>
      </c>
      <c r="C391" s="49" t="s">
        <v>510</v>
      </c>
      <c r="D391" s="39">
        <v>1859.4</v>
      </c>
      <c r="E391" s="39">
        <v>1859.4</v>
      </c>
      <c r="F391" s="39">
        <v>1859.4</v>
      </c>
      <c r="G391" s="39">
        <v>1859.4</v>
      </c>
      <c r="H391" s="39">
        <v>1859.4</v>
      </c>
      <c r="I391" s="39">
        <v>1859.4</v>
      </c>
      <c r="J391" s="39">
        <v>1859.4</v>
      </c>
      <c r="K391" s="39">
        <v>1859.4</v>
      </c>
    </row>
    <row r="392" spans="1:11" ht="15.75">
      <c r="A392" s="49" t="s">
        <v>211</v>
      </c>
      <c r="B392" s="49" t="s">
        <v>48</v>
      </c>
      <c r="C392" s="49" t="s">
        <v>992</v>
      </c>
      <c r="D392" s="39">
        <v>699.3</v>
      </c>
      <c r="E392" s="39">
        <v>699.3</v>
      </c>
      <c r="F392" s="39">
        <v>699.3</v>
      </c>
      <c r="G392" s="39">
        <v>699.3</v>
      </c>
      <c r="H392" s="39">
        <v>699.3</v>
      </c>
      <c r="I392" s="39">
        <v>699.3</v>
      </c>
      <c r="J392" s="39">
        <v>699.3</v>
      </c>
      <c r="K392" s="39">
        <v>699.3</v>
      </c>
    </row>
    <row r="393" spans="1:11" ht="15.75">
      <c r="A393" s="49" t="s">
        <v>211</v>
      </c>
      <c r="B393" s="49" t="s">
        <v>48</v>
      </c>
      <c r="C393" s="57" t="s">
        <v>404</v>
      </c>
      <c r="D393" s="57">
        <v>79.2</v>
      </c>
      <c r="E393" s="57">
        <v>79.2</v>
      </c>
      <c r="F393" s="57">
        <v>79.2</v>
      </c>
      <c r="G393" s="57">
        <v>79.2</v>
      </c>
      <c r="H393" s="57">
        <v>79.2</v>
      </c>
      <c r="I393" s="57">
        <v>79.2</v>
      </c>
      <c r="J393" s="57">
        <v>79.2</v>
      </c>
      <c r="K393" s="57">
        <v>79.2</v>
      </c>
    </row>
    <row r="394" spans="1:11" ht="15.75">
      <c r="A394" s="49" t="s">
        <v>66</v>
      </c>
      <c r="B394" s="49" t="s">
        <v>48</v>
      </c>
      <c r="C394" s="57" t="s">
        <v>993</v>
      </c>
      <c r="D394" s="57">
        <v>119.7</v>
      </c>
      <c r="E394" s="57">
        <v>119.7</v>
      </c>
      <c r="F394" s="57">
        <v>119.7</v>
      </c>
      <c r="G394" s="57">
        <v>119.7</v>
      </c>
      <c r="H394" s="57">
        <v>119.7</v>
      </c>
      <c r="I394" s="57">
        <v>119.7</v>
      </c>
      <c r="J394" s="57">
        <v>119.7</v>
      </c>
      <c r="K394" s="57">
        <v>119.7</v>
      </c>
    </row>
    <row r="395" spans="1:11" ht="15.75">
      <c r="A395" s="49" t="s">
        <v>66</v>
      </c>
      <c r="B395" s="49" t="s">
        <v>48</v>
      </c>
      <c r="C395" s="57" t="s">
        <v>260</v>
      </c>
      <c r="D395" s="57">
        <v>419.4</v>
      </c>
      <c r="E395" s="57">
        <v>419.4</v>
      </c>
      <c r="F395" s="57">
        <v>419.4</v>
      </c>
      <c r="G395" s="57">
        <v>419.4</v>
      </c>
      <c r="H395" s="57">
        <v>419.4</v>
      </c>
      <c r="I395" s="57">
        <v>419.4</v>
      </c>
      <c r="J395" s="57">
        <v>419.4</v>
      </c>
      <c r="K395" s="57">
        <v>419.4</v>
      </c>
    </row>
    <row r="396" spans="1:11" ht="15.75">
      <c r="A396" s="49" t="s">
        <v>45</v>
      </c>
      <c r="B396" s="45" t="s">
        <v>1014</v>
      </c>
      <c r="C396" s="57" t="s">
        <v>994</v>
      </c>
      <c r="D396" s="57">
        <v>209.7</v>
      </c>
      <c r="E396" s="57">
        <v>209.7</v>
      </c>
      <c r="F396" s="57">
        <v>209.7</v>
      </c>
      <c r="G396" s="57">
        <v>209.7</v>
      </c>
      <c r="H396" s="57">
        <v>209.7</v>
      </c>
      <c r="I396" s="57">
        <v>209.7</v>
      </c>
      <c r="J396" s="57">
        <v>209.7</v>
      </c>
      <c r="K396" s="57">
        <v>209.7</v>
      </c>
    </row>
    <row r="397" spans="1:11" ht="15.75">
      <c r="A397" s="49" t="s">
        <v>45</v>
      </c>
      <c r="B397" s="49" t="s">
        <v>48</v>
      </c>
      <c r="C397" s="57" t="s">
        <v>995</v>
      </c>
      <c r="D397" s="57">
        <v>609.29999999999995</v>
      </c>
      <c r="E397" s="57">
        <v>609.29999999999995</v>
      </c>
      <c r="F397" s="57">
        <v>609.29999999999995</v>
      </c>
      <c r="G397" s="57">
        <v>609.29999999999995</v>
      </c>
      <c r="H397" s="57">
        <v>609.29999999999995</v>
      </c>
      <c r="I397" s="57">
        <v>609.29999999999995</v>
      </c>
      <c r="J397" s="57">
        <v>609.29999999999995</v>
      </c>
      <c r="K397" s="57">
        <v>609.29999999999995</v>
      </c>
    </row>
    <row r="398" spans="1:11" ht="15.75">
      <c r="A398" s="49" t="s">
        <v>83</v>
      </c>
      <c r="B398" s="49" t="s">
        <v>48</v>
      </c>
      <c r="C398" s="57" t="s">
        <v>996</v>
      </c>
      <c r="D398" s="57">
        <v>719.1</v>
      </c>
      <c r="E398" s="57">
        <v>719.1</v>
      </c>
      <c r="F398" s="57">
        <v>719.1</v>
      </c>
      <c r="G398" s="57">
        <v>719.1</v>
      </c>
      <c r="H398" s="57">
        <v>719.1</v>
      </c>
      <c r="I398" s="57">
        <v>719.1</v>
      </c>
      <c r="J398" s="57">
        <v>719.1</v>
      </c>
      <c r="K398" s="57">
        <v>719.1</v>
      </c>
    </row>
    <row r="399" spans="1:11" ht="15.75">
      <c r="A399" s="49" t="s">
        <v>83</v>
      </c>
      <c r="B399" s="49" t="s">
        <v>48</v>
      </c>
      <c r="C399" s="57" t="s">
        <v>365</v>
      </c>
      <c r="D399" s="57">
        <v>859.5</v>
      </c>
      <c r="E399" s="57">
        <v>859.5</v>
      </c>
      <c r="F399" s="57">
        <v>859.5</v>
      </c>
      <c r="G399" s="57">
        <v>859.5</v>
      </c>
      <c r="H399" s="57">
        <v>859.5</v>
      </c>
      <c r="I399" s="57">
        <v>859.5</v>
      </c>
      <c r="J399" s="57">
        <v>859.5</v>
      </c>
      <c r="K399" s="57">
        <v>859.5</v>
      </c>
    </row>
    <row r="400" spans="1:11" ht="15.75">
      <c r="A400" s="49" t="s">
        <v>83</v>
      </c>
      <c r="B400" s="45" t="s">
        <v>1014</v>
      </c>
      <c r="C400" s="57" t="s">
        <v>997</v>
      </c>
      <c r="D400" s="57">
        <v>439.2</v>
      </c>
      <c r="E400" s="57">
        <v>439.2</v>
      </c>
      <c r="F400" s="57">
        <v>439.2</v>
      </c>
      <c r="G400" s="57">
        <v>439.2</v>
      </c>
      <c r="H400" s="57">
        <v>439.2</v>
      </c>
      <c r="I400" s="57">
        <v>439.2</v>
      </c>
      <c r="J400" s="57">
        <v>439.2</v>
      </c>
      <c r="K400" s="57">
        <v>439.2</v>
      </c>
    </row>
    <row r="401" spans="1:11" ht="15.75">
      <c r="A401" s="49" t="s">
        <v>83</v>
      </c>
      <c r="B401" s="49" t="s">
        <v>48</v>
      </c>
      <c r="C401" s="57" t="s">
        <v>400</v>
      </c>
      <c r="D401" s="57">
        <v>1769.4</v>
      </c>
      <c r="E401" s="57">
        <v>1769.4</v>
      </c>
      <c r="F401" s="57">
        <v>1769.4</v>
      </c>
      <c r="G401" s="57">
        <v>1769.4</v>
      </c>
      <c r="H401" s="57">
        <v>1769.4</v>
      </c>
      <c r="I401" s="57">
        <v>1769.4</v>
      </c>
      <c r="J401" s="57">
        <v>1769.4</v>
      </c>
      <c r="K401" s="57">
        <v>1769.4</v>
      </c>
    </row>
    <row r="402" spans="1:11" ht="15.75">
      <c r="A402" s="49" t="s">
        <v>91</v>
      </c>
      <c r="B402" s="49" t="s">
        <v>48</v>
      </c>
      <c r="C402" s="57" t="s">
        <v>998</v>
      </c>
      <c r="D402" s="57">
        <v>1729.8</v>
      </c>
      <c r="E402" s="57">
        <v>1729.8</v>
      </c>
      <c r="F402" s="57">
        <v>1729.8</v>
      </c>
      <c r="G402" s="57">
        <v>1729.8</v>
      </c>
      <c r="H402" s="57">
        <v>1729.8</v>
      </c>
      <c r="I402" s="57">
        <v>1729.8</v>
      </c>
      <c r="J402" s="57">
        <v>1729.8</v>
      </c>
      <c r="K402" s="57">
        <v>1729.8</v>
      </c>
    </row>
    <row r="403" spans="1:11" ht="15.75">
      <c r="A403" s="49" t="s">
        <v>91</v>
      </c>
      <c r="B403" s="49" t="s">
        <v>48</v>
      </c>
      <c r="C403" s="57" t="s">
        <v>999</v>
      </c>
      <c r="D403" s="57">
        <v>2599.1999999999998</v>
      </c>
      <c r="E403" s="57">
        <v>2599.1999999999998</v>
      </c>
      <c r="F403" s="57">
        <v>2599.1999999999998</v>
      </c>
      <c r="G403" s="57">
        <v>2599.1999999999998</v>
      </c>
      <c r="H403" s="57">
        <v>2599.1999999999998</v>
      </c>
      <c r="I403" s="57">
        <v>2599.1999999999998</v>
      </c>
      <c r="J403" s="57">
        <v>2599.1999999999998</v>
      </c>
      <c r="K403" s="57">
        <v>2599.1999999999998</v>
      </c>
    </row>
    <row r="404" spans="1:11" ht="15.75">
      <c r="A404" s="49" t="s">
        <v>91</v>
      </c>
      <c r="B404" s="49" t="s">
        <v>48</v>
      </c>
      <c r="C404" s="57" t="s">
        <v>1000</v>
      </c>
      <c r="D404" s="57">
        <v>2399.4</v>
      </c>
      <c r="E404" s="57">
        <v>2399.4</v>
      </c>
      <c r="F404" s="57">
        <v>2399.4</v>
      </c>
      <c r="G404" s="57">
        <v>2399.4</v>
      </c>
      <c r="H404" s="57">
        <v>2399.4</v>
      </c>
      <c r="I404" s="57">
        <v>2399.4</v>
      </c>
      <c r="J404" s="57">
        <v>2399.4</v>
      </c>
      <c r="K404" s="57">
        <v>2399.4</v>
      </c>
    </row>
    <row r="405" spans="1:11" ht="15.75">
      <c r="A405" s="49" t="s">
        <v>91</v>
      </c>
      <c r="B405" s="49" t="s">
        <v>48</v>
      </c>
      <c r="C405" s="57" t="s">
        <v>1001</v>
      </c>
      <c r="D405" s="57">
        <v>3449.7</v>
      </c>
      <c r="E405" s="57">
        <v>3449.7</v>
      </c>
      <c r="F405" s="57">
        <v>3449.7</v>
      </c>
      <c r="G405" s="57">
        <v>3449.7</v>
      </c>
      <c r="H405" s="57">
        <v>3449.7</v>
      </c>
      <c r="I405" s="57">
        <v>3449.7</v>
      </c>
      <c r="J405" s="57">
        <v>3449.7</v>
      </c>
      <c r="K405" s="57">
        <v>3449.7</v>
      </c>
    </row>
    <row r="406" spans="1:11" ht="15.75">
      <c r="A406" s="49" t="s">
        <v>91</v>
      </c>
      <c r="B406" s="49" t="s">
        <v>48</v>
      </c>
      <c r="C406" s="57" t="s">
        <v>1002</v>
      </c>
      <c r="D406" s="57">
        <v>3599.1</v>
      </c>
      <c r="E406" s="57">
        <v>3599.1</v>
      </c>
      <c r="F406" s="57">
        <v>3599.1</v>
      </c>
      <c r="G406" s="57">
        <v>3599.1</v>
      </c>
      <c r="H406" s="57">
        <v>3599.1</v>
      </c>
      <c r="I406" s="57">
        <v>3599.1</v>
      </c>
      <c r="J406" s="57">
        <v>3599.1</v>
      </c>
      <c r="K406" s="57">
        <v>3599.1</v>
      </c>
    </row>
    <row r="407" spans="1:11" ht="15.75">
      <c r="A407" s="49" t="s">
        <v>91</v>
      </c>
      <c r="B407" s="49" t="s">
        <v>48</v>
      </c>
      <c r="C407" s="57" t="s">
        <v>1003</v>
      </c>
      <c r="D407" s="57">
        <v>3599.1</v>
      </c>
      <c r="E407" s="57">
        <v>3599.1</v>
      </c>
      <c r="F407" s="57">
        <v>3599.1</v>
      </c>
      <c r="G407" s="57">
        <v>3599.1</v>
      </c>
      <c r="H407" s="57">
        <v>3599.1</v>
      </c>
      <c r="I407" s="57">
        <v>3599.1</v>
      </c>
      <c r="J407" s="57">
        <v>3599.1</v>
      </c>
      <c r="K407" s="57">
        <v>3599.1</v>
      </c>
    </row>
    <row r="408" spans="1:11" ht="15.75">
      <c r="A408" s="49" t="s">
        <v>45</v>
      </c>
      <c r="B408" s="49" t="s">
        <v>48</v>
      </c>
      <c r="C408" s="57" t="s">
        <v>518</v>
      </c>
      <c r="D408" s="57">
        <v>559.79999999999995</v>
      </c>
      <c r="E408" s="57">
        <v>559.79999999999995</v>
      </c>
      <c r="F408" s="57">
        <v>559.79999999999995</v>
      </c>
      <c r="G408" s="57">
        <v>559.79999999999995</v>
      </c>
      <c r="H408" s="57">
        <v>559.79999999999995</v>
      </c>
      <c r="I408" s="57">
        <v>559.79999999999995</v>
      </c>
      <c r="J408" s="57">
        <v>559.79999999999995</v>
      </c>
      <c r="K408" s="57">
        <v>559.79999999999995</v>
      </c>
    </row>
    <row r="409" spans="1:11" ht="15.75">
      <c r="A409" s="49" t="s">
        <v>91</v>
      </c>
      <c r="B409" s="49" t="s">
        <v>48</v>
      </c>
      <c r="C409" s="57" t="s">
        <v>193</v>
      </c>
      <c r="D409" s="57">
        <v>3599.1</v>
      </c>
      <c r="E409" s="57">
        <v>3599.1</v>
      </c>
      <c r="F409" s="57">
        <v>3599.1</v>
      </c>
      <c r="G409" s="57">
        <v>3599.1</v>
      </c>
      <c r="H409" s="57">
        <v>3599.1</v>
      </c>
      <c r="I409" s="57">
        <v>3599.1</v>
      </c>
      <c r="J409" s="57">
        <v>3599.1</v>
      </c>
      <c r="K409" s="57">
        <v>3599.1</v>
      </c>
    </row>
    <row r="410" spans="1:11" ht="15.75">
      <c r="A410" s="49" t="s">
        <v>91</v>
      </c>
      <c r="B410" s="49" t="s">
        <v>48</v>
      </c>
      <c r="C410" s="57" t="s">
        <v>196</v>
      </c>
      <c r="D410" s="57">
        <v>4359.6000000000004</v>
      </c>
      <c r="E410" s="57">
        <v>4359.6000000000004</v>
      </c>
      <c r="F410" s="57">
        <v>4359.6000000000004</v>
      </c>
      <c r="G410" s="57">
        <v>4359.6000000000004</v>
      </c>
      <c r="H410" s="57">
        <v>4359.6000000000004</v>
      </c>
      <c r="I410" s="57">
        <v>4359.6000000000004</v>
      </c>
      <c r="J410" s="57">
        <v>4359.6000000000004</v>
      </c>
      <c r="K410" s="57">
        <v>4359.6000000000004</v>
      </c>
    </row>
    <row r="411" spans="1:11" ht="15.75">
      <c r="A411" s="49" t="s">
        <v>91</v>
      </c>
      <c r="B411" s="49" t="s">
        <v>48</v>
      </c>
      <c r="C411" s="57" t="s">
        <v>209</v>
      </c>
      <c r="D411" s="57">
        <v>4889.7</v>
      </c>
      <c r="E411" s="57">
        <v>4889.7</v>
      </c>
      <c r="F411" s="57">
        <v>4889.7</v>
      </c>
      <c r="G411" s="57">
        <v>4889.7</v>
      </c>
      <c r="H411" s="57">
        <v>4889.7</v>
      </c>
      <c r="I411" s="57">
        <v>4889.7</v>
      </c>
      <c r="J411" s="57">
        <v>4889.7</v>
      </c>
      <c r="K411" s="57">
        <v>4889.7</v>
      </c>
    </row>
    <row r="412" spans="1:11" ht="15.75">
      <c r="A412" s="49" t="s">
        <v>45</v>
      </c>
      <c r="B412" s="49" t="s">
        <v>48</v>
      </c>
      <c r="C412" s="57" t="s">
        <v>1004</v>
      </c>
      <c r="D412" s="57">
        <v>829.8</v>
      </c>
      <c r="E412" s="57">
        <v>829.8</v>
      </c>
      <c r="F412" s="57">
        <v>829.8</v>
      </c>
      <c r="G412" s="57">
        <v>829.8</v>
      </c>
      <c r="H412" s="57">
        <v>829.8</v>
      </c>
      <c r="I412" s="57">
        <v>829.8</v>
      </c>
      <c r="J412" s="57">
        <v>829.8</v>
      </c>
      <c r="K412" s="57">
        <v>829.8</v>
      </c>
    </row>
    <row r="413" spans="1:11" ht="15.75">
      <c r="A413" s="49" t="s">
        <v>211</v>
      </c>
      <c r="B413" s="49" t="s">
        <v>48</v>
      </c>
      <c r="C413" s="57" t="s">
        <v>447</v>
      </c>
      <c r="D413" s="57">
        <v>349.2</v>
      </c>
      <c r="E413" s="57">
        <v>349.2</v>
      </c>
      <c r="F413" s="57">
        <v>349.2</v>
      </c>
      <c r="G413" s="57">
        <v>349.2</v>
      </c>
      <c r="H413" s="57">
        <v>349.2</v>
      </c>
      <c r="I413" s="57">
        <v>349.2</v>
      </c>
      <c r="J413" s="57">
        <v>349.2</v>
      </c>
      <c r="K413" s="57">
        <v>349.2</v>
      </c>
    </row>
    <row r="414" spans="1:11" ht="15.75">
      <c r="A414" s="49" t="s">
        <v>45</v>
      </c>
      <c r="B414" s="49" t="s">
        <v>48</v>
      </c>
      <c r="C414" s="57" t="s">
        <v>1005</v>
      </c>
      <c r="D414" s="57">
        <v>249.3</v>
      </c>
      <c r="E414" s="57">
        <v>249.3</v>
      </c>
      <c r="F414" s="57">
        <v>249.3</v>
      </c>
      <c r="G414" s="57">
        <v>249.3</v>
      </c>
      <c r="H414" s="57">
        <v>249.3</v>
      </c>
      <c r="I414" s="57">
        <v>249.3</v>
      </c>
      <c r="J414" s="57">
        <v>249.3</v>
      </c>
      <c r="K414" s="57">
        <v>249.3</v>
      </c>
    </row>
    <row r="415" spans="1:11" ht="15.75">
      <c r="A415" s="49" t="s">
        <v>45</v>
      </c>
      <c r="B415" s="49" t="s">
        <v>48</v>
      </c>
      <c r="C415" s="57" t="s">
        <v>183</v>
      </c>
      <c r="D415" s="57">
        <v>189</v>
      </c>
      <c r="E415" s="57">
        <v>189</v>
      </c>
      <c r="F415" s="57">
        <v>189</v>
      </c>
      <c r="G415" s="57">
        <v>189</v>
      </c>
      <c r="H415" s="57">
        <v>189</v>
      </c>
      <c r="I415" s="57">
        <v>189</v>
      </c>
      <c r="J415" s="57">
        <v>189</v>
      </c>
      <c r="K415" s="57">
        <v>189</v>
      </c>
    </row>
    <row r="416" spans="1:11" ht="15.75">
      <c r="A416" s="49" t="s">
        <v>45</v>
      </c>
      <c r="B416" s="49" t="s">
        <v>48</v>
      </c>
      <c r="C416" s="57" t="s">
        <v>328</v>
      </c>
      <c r="D416" s="57">
        <v>549</v>
      </c>
      <c r="E416" s="57">
        <v>549</v>
      </c>
      <c r="F416" s="57">
        <v>549</v>
      </c>
      <c r="G416" s="57">
        <v>549</v>
      </c>
      <c r="H416" s="57">
        <v>549</v>
      </c>
      <c r="I416" s="57">
        <v>549</v>
      </c>
      <c r="J416" s="57">
        <v>549</v>
      </c>
      <c r="K416" s="57">
        <v>549</v>
      </c>
    </row>
    <row r="417" spans="1:11" ht="15.75">
      <c r="A417" s="49" t="s">
        <v>1013</v>
      </c>
      <c r="B417" s="49" t="s">
        <v>48</v>
      </c>
      <c r="C417" s="57" t="s">
        <v>1006</v>
      </c>
      <c r="D417" s="57">
        <v>1379.7</v>
      </c>
      <c r="E417" s="57">
        <v>1379.7</v>
      </c>
      <c r="F417" s="57">
        <v>1379.7</v>
      </c>
      <c r="G417" s="57">
        <v>1379.7</v>
      </c>
      <c r="H417" s="57">
        <v>1379.7</v>
      </c>
      <c r="I417" s="57">
        <v>1379.7</v>
      </c>
      <c r="J417" s="57">
        <v>1379.7</v>
      </c>
      <c r="K417" s="57">
        <v>1379.7</v>
      </c>
    </row>
    <row r="418" spans="1:11" ht="15.75">
      <c r="A418" s="49" t="s">
        <v>1013</v>
      </c>
      <c r="B418" s="42" t="s">
        <v>941</v>
      </c>
      <c r="C418" s="57" t="s">
        <v>1007</v>
      </c>
      <c r="D418" s="57">
        <v>1749.6</v>
      </c>
      <c r="E418" s="57">
        <v>1749.6</v>
      </c>
      <c r="F418" s="57">
        <v>1749.6</v>
      </c>
      <c r="G418" s="57">
        <v>1749.6</v>
      </c>
      <c r="H418" s="57">
        <v>1749.6</v>
      </c>
      <c r="I418" s="57">
        <v>1749.6</v>
      </c>
      <c r="J418" s="57">
        <v>1749.6</v>
      </c>
      <c r="K418" s="57">
        <v>1749.6</v>
      </c>
    </row>
    <row r="419" spans="1:11" ht="15.75">
      <c r="A419" s="49" t="s">
        <v>1013</v>
      </c>
      <c r="B419" s="42" t="s">
        <v>941</v>
      </c>
      <c r="C419" s="57" t="s">
        <v>1008</v>
      </c>
      <c r="D419" s="57">
        <v>2959.2</v>
      </c>
      <c r="E419" s="57">
        <v>2959.2</v>
      </c>
      <c r="F419" s="57">
        <v>2959.2</v>
      </c>
      <c r="G419" s="57">
        <v>2959.2</v>
      </c>
      <c r="H419" s="57">
        <v>2959.2</v>
      </c>
      <c r="I419" s="57">
        <v>2959.2</v>
      </c>
      <c r="J419" s="57">
        <v>2959.2</v>
      </c>
      <c r="K419" s="57">
        <v>2959.2</v>
      </c>
    </row>
    <row r="420" spans="1:11" ht="15.75">
      <c r="A420" s="49" t="s">
        <v>1013</v>
      </c>
      <c r="B420" s="42" t="s">
        <v>941</v>
      </c>
      <c r="C420" s="57" t="s">
        <v>1009</v>
      </c>
      <c r="D420" s="57">
        <v>1989</v>
      </c>
      <c r="E420" s="57">
        <v>1989</v>
      </c>
      <c r="F420" s="57">
        <v>1989</v>
      </c>
      <c r="G420" s="57">
        <v>1989</v>
      </c>
      <c r="H420" s="57">
        <v>1989</v>
      </c>
      <c r="I420" s="57">
        <v>1989</v>
      </c>
      <c r="J420" s="57">
        <v>1989</v>
      </c>
      <c r="K420" s="57">
        <v>1989</v>
      </c>
    </row>
    <row r="421" spans="1:11" ht="15.75">
      <c r="A421" s="49" t="s">
        <v>1013</v>
      </c>
      <c r="B421" s="42" t="s">
        <v>941</v>
      </c>
      <c r="C421" s="57" t="s">
        <v>1010</v>
      </c>
      <c r="D421" s="57">
        <v>2799</v>
      </c>
      <c r="E421" s="57">
        <v>2799</v>
      </c>
      <c r="F421" s="57">
        <v>2799</v>
      </c>
      <c r="G421" s="57">
        <v>2799</v>
      </c>
      <c r="H421" s="57">
        <v>2799</v>
      </c>
      <c r="I421" s="57">
        <v>2799</v>
      </c>
      <c r="J421" s="57">
        <v>2799</v>
      </c>
      <c r="K421" s="57">
        <v>2799</v>
      </c>
    </row>
    <row r="422" spans="1:11" ht="15.75">
      <c r="A422" s="49" t="s">
        <v>1013</v>
      </c>
      <c r="B422" s="42" t="s">
        <v>941</v>
      </c>
      <c r="C422" s="57" t="s">
        <v>1011</v>
      </c>
      <c r="D422" s="57">
        <v>2749.5</v>
      </c>
      <c r="E422" s="57">
        <v>2749.5</v>
      </c>
      <c r="F422" s="57">
        <v>2749.5</v>
      </c>
      <c r="G422" s="57">
        <v>2749.5</v>
      </c>
      <c r="H422" s="57">
        <v>2749.5</v>
      </c>
      <c r="I422" s="57">
        <v>2749.5</v>
      </c>
      <c r="J422" s="57">
        <v>2749.5</v>
      </c>
      <c r="K422" s="57">
        <v>2749.5</v>
      </c>
    </row>
    <row r="423" spans="1:11" ht="15.75">
      <c r="A423" s="49" t="s">
        <v>1013</v>
      </c>
      <c r="B423" s="42" t="s">
        <v>941</v>
      </c>
      <c r="C423" s="57" t="s">
        <v>1012</v>
      </c>
      <c r="D423" s="57">
        <v>1689.3</v>
      </c>
      <c r="E423" s="57">
        <v>1689.3</v>
      </c>
      <c r="F423" s="57">
        <v>1689.3</v>
      </c>
      <c r="G423" s="57">
        <v>1689.3</v>
      </c>
      <c r="H423" s="57">
        <v>1689.3</v>
      </c>
      <c r="I423" s="57">
        <v>1689.3</v>
      </c>
      <c r="J423" s="57">
        <v>1689.3</v>
      </c>
      <c r="K423" s="57">
        <v>1689.3</v>
      </c>
    </row>
  </sheetData>
  <mergeCells count="1">
    <mergeCell ref="D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423"/>
  <sheetViews>
    <sheetView workbookViewId="0"/>
  </sheetViews>
  <sheetFormatPr baseColWidth="10" defaultColWidth="14.42578125" defaultRowHeight="15" customHeight="1"/>
  <sheetData>
    <row r="1" spans="1:7">
      <c r="A1" s="19">
        <v>1</v>
      </c>
      <c r="B1" s="20"/>
      <c r="C1" s="20"/>
      <c r="D1" s="19">
        <v>19</v>
      </c>
      <c r="E1" s="21"/>
      <c r="F1" s="20"/>
      <c r="G1" s="21"/>
    </row>
    <row r="2" spans="1:7" ht="15" customHeight="1">
      <c r="A2" s="23" t="s">
        <v>566</v>
      </c>
      <c r="B2" s="24" t="s">
        <v>570</v>
      </c>
      <c r="C2" s="25" t="s">
        <v>571</v>
      </c>
      <c r="D2" s="25" t="s">
        <v>572</v>
      </c>
      <c r="E2" s="25" t="s">
        <v>573</v>
      </c>
      <c r="F2" s="25" t="s">
        <v>574</v>
      </c>
      <c r="G2" s="26" t="s">
        <v>575</v>
      </c>
    </row>
    <row r="3" spans="1:7" ht="15.75">
      <c r="A3" s="51" t="s">
        <v>50</v>
      </c>
      <c r="B3" s="28">
        <v>0</v>
      </c>
      <c r="C3" s="28">
        <v>50</v>
      </c>
      <c r="D3" s="28">
        <v>48</v>
      </c>
      <c r="E3" s="28">
        <v>12</v>
      </c>
      <c r="F3" s="28">
        <v>578</v>
      </c>
      <c r="G3" s="29"/>
    </row>
    <row r="4" spans="1:7" ht="15.75">
      <c r="A4" s="51" t="s">
        <v>576</v>
      </c>
      <c r="B4" s="28">
        <v>0</v>
      </c>
      <c r="C4" s="28">
        <v>26</v>
      </c>
      <c r="D4" s="28">
        <v>28</v>
      </c>
      <c r="E4" s="28">
        <v>12</v>
      </c>
      <c r="F4" s="28">
        <v>334</v>
      </c>
      <c r="G4" s="29"/>
    </row>
    <row r="5" spans="1:7" ht="15.75">
      <c r="A5" s="51" t="s">
        <v>551</v>
      </c>
      <c r="B5" s="28">
        <v>0</v>
      </c>
      <c r="C5" s="28">
        <v>28</v>
      </c>
      <c r="D5" s="28">
        <v>33</v>
      </c>
      <c r="E5" s="28">
        <v>12</v>
      </c>
      <c r="F5" s="28">
        <v>391</v>
      </c>
      <c r="G5" s="29"/>
    </row>
    <row r="6" spans="1:7" ht="15.75">
      <c r="A6" s="51" t="s">
        <v>498</v>
      </c>
      <c r="B6" s="28">
        <v>0</v>
      </c>
      <c r="C6" s="28">
        <v>44</v>
      </c>
      <c r="D6" s="28">
        <v>40</v>
      </c>
      <c r="E6" s="28">
        <v>12</v>
      </c>
      <c r="F6" s="28">
        <v>484</v>
      </c>
      <c r="G6" s="29"/>
    </row>
    <row r="7" spans="1:7" ht="15.75">
      <c r="A7" s="51" t="s">
        <v>70</v>
      </c>
      <c r="B7" s="28">
        <v>0</v>
      </c>
      <c r="C7" s="28">
        <v>50</v>
      </c>
      <c r="D7" s="28">
        <v>53</v>
      </c>
      <c r="E7" s="28">
        <v>12</v>
      </c>
      <c r="F7" s="28">
        <v>633</v>
      </c>
      <c r="G7" s="29"/>
    </row>
    <row r="8" spans="1:7" ht="15.75">
      <c r="A8" s="51" t="s">
        <v>153</v>
      </c>
      <c r="B8" s="28">
        <v>0</v>
      </c>
      <c r="C8" s="28">
        <v>112</v>
      </c>
      <c r="D8" s="28">
        <v>117</v>
      </c>
      <c r="E8" s="28">
        <v>12</v>
      </c>
      <c r="F8" s="28">
        <v>1399</v>
      </c>
      <c r="G8" s="29"/>
    </row>
    <row r="9" spans="1:7" ht="15.75">
      <c r="A9" s="51" t="s">
        <v>553</v>
      </c>
      <c r="B9" s="28">
        <v>0</v>
      </c>
      <c r="C9" s="28">
        <v>34</v>
      </c>
      <c r="D9" s="28">
        <v>29</v>
      </c>
      <c r="E9" s="28">
        <v>12</v>
      </c>
      <c r="F9" s="28">
        <v>353</v>
      </c>
      <c r="G9" s="29"/>
    </row>
    <row r="10" spans="1:7" ht="15.75">
      <c r="A10" s="51" t="s">
        <v>77</v>
      </c>
      <c r="B10" s="28">
        <v>0</v>
      </c>
      <c r="C10" s="28">
        <v>130</v>
      </c>
      <c r="D10" s="28">
        <v>129</v>
      </c>
      <c r="E10" s="28">
        <v>12</v>
      </c>
      <c r="F10" s="28">
        <v>1549</v>
      </c>
      <c r="G10" s="29"/>
    </row>
    <row r="11" spans="1:7" ht="15.75">
      <c r="A11" s="51" t="s">
        <v>78</v>
      </c>
      <c r="B11" s="28">
        <v>0</v>
      </c>
      <c r="C11" s="28">
        <v>60</v>
      </c>
      <c r="D11" s="28">
        <v>64</v>
      </c>
      <c r="E11" s="28">
        <v>12</v>
      </c>
      <c r="F11" s="28">
        <v>764</v>
      </c>
      <c r="G11" s="29"/>
    </row>
    <row r="12" spans="1:7" ht="15.75">
      <c r="A12" s="51" t="s">
        <v>86</v>
      </c>
      <c r="B12" s="28">
        <v>0</v>
      </c>
      <c r="C12" s="28">
        <v>138</v>
      </c>
      <c r="D12" s="28">
        <v>140</v>
      </c>
      <c r="E12" s="28">
        <v>12</v>
      </c>
      <c r="F12" s="28">
        <v>1678</v>
      </c>
      <c r="G12" s="29"/>
    </row>
    <row r="13" spans="1:7" ht="15.75">
      <c r="A13" s="51" t="s">
        <v>93</v>
      </c>
      <c r="B13" s="28">
        <v>0</v>
      </c>
      <c r="C13" s="28">
        <v>188</v>
      </c>
      <c r="D13" s="28">
        <v>183</v>
      </c>
      <c r="E13" s="28">
        <v>12</v>
      </c>
      <c r="F13" s="28">
        <v>2201</v>
      </c>
      <c r="G13" s="29"/>
    </row>
    <row r="14" spans="1:7" ht="15.75">
      <c r="A14" s="51" t="s">
        <v>449</v>
      </c>
      <c r="B14" s="28">
        <v>0</v>
      </c>
      <c r="C14" s="28">
        <v>236</v>
      </c>
      <c r="D14" s="28">
        <v>233</v>
      </c>
      <c r="E14" s="28">
        <v>12</v>
      </c>
      <c r="F14" s="28">
        <v>2799</v>
      </c>
      <c r="G14" s="29"/>
    </row>
    <row r="15" spans="1:7" ht="15.75">
      <c r="A15" s="51" t="s">
        <v>189</v>
      </c>
      <c r="B15" s="28">
        <v>0</v>
      </c>
      <c r="C15" s="28">
        <v>36</v>
      </c>
      <c r="D15" s="28">
        <v>39</v>
      </c>
      <c r="E15" s="28">
        <v>12</v>
      </c>
      <c r="F15" s="28">
        <v>465</v>
      </c>
      <c r="G15" s="29"/>
    </row>
    <row r="16" spans="1:7" ht="15.75">
      <c r="A16" s="51" t="s">
        <v>95</v>
      </c>
      <c r="B16" s="28">
        <v>0</v>
      </c>
      <c r="C16" s="28">
        <v>36</v>
      </c>
      <c r="D16" s="28">
        <v>39</v>
      </c>
      <c r="E16" s="28">
        <v>12</v>
      </c>
      <c r="F16" s="28">
        <v>465</v>
      </c>
      <c r="G16" s="29"/>
    </row>
    <row r="17" spans="1:7" ht="15.75">
      <c r="A17" s="51" t="s">
        <v>148</v>
      </c>
      <c r="B17" s="28">
        <v>0</v>
      </c>
      <c r="C17" s="28">
        <v>96</v>
      </c>
      <c r="D17" s="28">
        <v>93</v>
      </c>
      <c r="E17" s="28">
        <v>12</v>
      </c>
      <c r="F17" s="28">
        <v>1119</v>
      </c>
      <c r="G17" s="29"/>
    </row>
    <row r="18" spans="1:7" ht="15.75">
      <c r="A18" s="51" t="s">
        <v>312</v>
      </c>
      <c r="B18" s="28">
        <v>0</v>
      </c>
      <c r="C18" s="28">
        <v>34</v>
      </c>
      <c r="D18" s="28">
        <v>29</v>
      </c>
      <c r="E18" s="28">
        <v>12</v>
      </c>
      <c r="F18" s="28">
        <v>353</v>
      </c>
      <c r="G18" s="29"/>
    </row>
    <row r="19" spans="1:7" ht="15.75">
      <c r="A19" s="51" t="s">
        <v>317</v>
      </c>
      <c r="B19" s="28">
        <v>0</v>
      </c>
      <c r="C19" s="28">
        <v>44</v>
      </c>
      <c r="D19" s="28">
        <v>40</v>
      </c>
      <c r="E19" s="28">
        <v>12</v>
      </c>
      <c r="F19" s="28">
        <v>484</v>
      </c>
      <c r="G19" s="29"/>
    </row>
    <row r="20" spans="1:7" ht="15.75">
      <c r="A20" s="51" t="s">
        <v>171</v>
      </c>
      <c r="B20" s="28">
        <v>0</v>
      </c>
      <c r="C20" s="28">
        <v>72</v>
      </c>
      <c r="D20" s="28">
        <v>68</v>
      </c>
      <c r="E20" s="28">
        <v>12</v>
      </c>
      <c r="F20" s="28">
        <v>820</v>
      </c>
      <c r="G20" s="29"/>
    </row>
    <row r="21" spans="1:7" ht="15.75">
      <c r="A21" s="51" t="s">
        <v>106</v>
      </c>
      <c r="B21" s="28">
        <v>0</v>
      </c>
      <c r="C21" s="28">
        <v>74</v>
      </c>
      <c r="D21" s="28">
        <v>73</v>
      </c>
      <c r="E21" s="28">
        <v>12</v>
      </c>
      <c r="F21" s="28">
        <v>877</v>
      </c>
      <c r="G21" s="29"/>
    </row>
    <row r="22" spans="1:7" ht="15.75">
      <c r="A22" s="51" t="s">
        <v>109</v>
      </c>
      <c r="B22" s="28">
        <v>0</v>
      </c>
      <c r="C22" s="28">
        <v>128</v>
      </c>
      <c r="D22" s="28">
        <v>124</v>
      </c>
      <c r="E22" s="28">
        <v>12</v>
      </c>
      <c r="F22" s="28">
        <v>1492</v>
      </c>
      <c r="G22" s="29"/>
    </row>
    <row r="23" spans="1:7" ht="15.75">
      <c r="A23" s="51" t="s">
        <v>112</v>
      </c>
      <c r="B23" s="28">
        <v>0</v>
      </c>
      <c r="C23" s="28">
        <v>50</v>
      </c>
      <c r="D23" s="28">
        <v>48</v>
      </c>
      <c r="E23" s="28">
        <v>12</v>
      </c>
      <c r="F23" s="28">
        <v>578</v>
      </c>
      <c r="G23" s="29"/>
    </row>
    <row r="24" spans="1:7" ht="15.75">
      <c r="A24" s="51" t="s">
        <v>233</v>
      </c>
      <c r="B24" s="28">
        <v>0</v>
      </c>
      <c r="C24" s="28">
        <v>36</v>
      </c>
      <c r="D24" s="28">
        <v>39</v>
      </c>
      <c r="E24" s="28">
        <v>12</v>
      </c>
      <c r="F24" s="28">
        <v>465</v>
      </c>
      <c r="G24" s="29"/>
    </row>
    <row r="25" spans="1:7" ht="15.75">
      <c r="A25" s="51" t="s">
        <v>124</v>
      </c>
      <c r="B25" s="28">
        <v>0</v>
      </c>
      <c r="C25" s="28">
        <v>268</v>
      </c>
      <c r="D25" s="28">
        <v>264</v>
      </c>
      <c r="E25" s="28">
        <v>12</v>
      </c>
      <c r="F25" s="28">
        <v>3172</v>
      </c>
      <c r="G25" s="29"/>
    </row>
    <row r="26" spans="1:7" ht="15.75">
      <c r="A26" s="51" t="s">
        <v>126</v>
      </c>
      <c r="B26" s="28">
        <v>0</v>
      </c>
      <c r="C26" s="28">
        <v>152</v>
      </c>
      <c r="D26" s="28">
        <v>149</v>
      </c>
      <c r="E26" s="28">
        <v>12</v>
      </c>
      <c r="F26" s="28">
        <v>1791</v>
      </c>
      <c r="G26" s="29"/>
    </row>
    <row r="27" spans="1:7" ht="15.75">
      <c r="A27" s="51" t="s">
        <v>135</v>
      </c>
      <c r="B27" s="28">
        <v>0</v>
      </c>
      <c r="C27" s="28">
        <v>160</v>
      </c>
      <c r="D27" s="28">
        <v>155</v>
      </c>
      <c r="E27" s="28">
        <v>12</v>
      </c>
      <c r="F27" s="28">
        <v>1865</v>
      </c>
      <c r="G27" s="29"/>
    </row>
    <row r="28" spans="1:7" ht="15.75">
      <c r="A28" s="51" t="s">
        <v>182</v>
      </c>
      <c r="B28" s="28">
        <v>0</v>
      </c>
      <c r="C28" s="28">
        <v>60</v>
      </c>
      <c r="D28" s="28">
        <v>64</v>
      </c>
      <c r="E28" s="28">
        <v>12</v>
      </c>
      <c r="F28" s="28">
        <v>764</v>
      </c>
      <c r="G28" s="29"/>
    </row>
    <row r="29" spans="1:7" ht="15.75">
      <c r="A29" s="51" t="s">
        <v>165</v>
      </c>
      <c r="B29" s="28">
        <v>0</v>
      </c>
      <c r="C29" s="28">
        <v>74</v>
      </c>
      <c r="D29" s="28">
        <v>78</v>
      </c>
      <c r="E29" s="28">
        <v>12</v>
      </c>
      <c r="F29" s="28">
        <v>932</v>
      </c>
      <c r="G29" s="29"/>
    </row>
    <row r="30" spans="1:7" ht="15.75">
      <c r="A30" s="51" t="s">
        <v>427</v>
      </c>
      <c r="B30" s="28">
        <v>0</v>
      </c>
      <c r="C30" s="28">
        <v>300</v>
      </c>
      <c r="D30" s="28">
        <v>295</v>
      </c>
      <c r="E30" s="28">
        <v>12</v>
      </c>
      <c r="F30" s="28">
        <v>3545</v>
      </c>
      <c r="G30" s="29"/>
    </row>
    <row r="31" spans="1:7" ht="15.75">
      <c r="A31" s="51" t="s">
        <v>138</v>
      </c>
      <c r="B31" s="28">
        <v>0</v>
      </c>
      <c r="C31" s="28">
        <v>116</v>
      </c>
      <c r="D31" s="28">
        <v>115</v>
      </c>
      <c r="E31" s="28">
        <v>12</v>
      </c>
      <c r="F31" s="28">
        <v>1381</v>
      </c>
      <c r="G31" s="29"/>
    </row>
    <row r="32" spans="1:7" ht="15.75">
      <c r="A32" s="51" t="s">
        <v>169</v>
      </c>
      <c r="B32" s="28">
        <v>0</v>
      </c>
      <c r="C32" s="28">
        <v>134</v>
      </c>
      <c r="D32" s="28">
        <v>137</v>
      </c>
      <c r="E32" s="28">
        <v>12</v>
      </c>
      <c r="F32" s="28">
        <v>1641</v>
      </c>
      <c r="G32" s="29"/>
    </row>
    <row r="33" spans="1:7" ht="15.75">
      <c r="A33" s="51" t="s">
        <v>195</v>
      </c>
      <c r="B33" s="28">
        <v>0</v>
      </c>
      <c r="C33" s="28">
        <v>128</v>
      </c>
      <c r="D33" s="28">
        <v>124</v>
      </c>
      <c r="E33" s="28">
        <v>12</v>
      </c>
      <c r="F33" s="28">
        <v>1492</v>
      </c>
      <c r="G33" s="29"/>
    </row>
    <row r="34" spans="1:7" ht="15.75">
      <c r="A34" s="51" t="s">
        <v>275</v>
      </c>
      <c r="B34" s="28">
        <v>0</v>
      </c>
      <c r="C34" s="28">
        <v>50</v>
      </c>
      <c r="D34" s="28">
        <v>53</v>
      </c>
      <c r="E34" s="28">
        <v>12</v>
      </c>
      <c r="F34" s="28">
        <v>633</v>
      </c>
      <c r="G34" s="29"/>
    </row>
    <row r="35" spans="1:7" ht="15.75">
      <c r="A35" s="51" t="s">
        <v>175</v>
      </c>
      <c r="B35" s="28">
        <v>0</v>
      </c>
      <c r="C35" s="28">
        <v>462</v>
      </c>
      <c r="D35" s="28">
        <v>467</v>
      </c>
      <c r="E35" s="28">
        <v>12</v>
      </c>
      <c r="F35" s="28">
        <v>5599</v>
      </c>
      <c r="G35" s="29"/>
    </row>
    <row r="36" spans="1:7" ht="15.75">
      <c r="A36" s="51" t="s">
        <v>554</v>
      </c>
      <c r="B36" s="28">
        <v>0</v>
      </c>
      <c r="C36" s="28">
        <v>26</v>
      </c>
      <c r="D36" s="28">
        <v>23</v>
      </c>
      <c r="E36" s="28">
        <v>12</v>
      </c>
      <c r="F36" s="28">
        <v>279</v>
      </c>
      <c r="G36" s="29"/>
    </row>
    <row r="37" spans="1:7" ht="15.75">
      <c r="A37" s="51" t="s">
        <v>250</v>
      </c>
      <c r="B37" s="28">
        <v>0</v>
      </c>
      <c r="C37" s="28">
        <v>106</v>
      </c>
      <c r="D37" s="28">
        <v>104</v>
      </c>
      <c r="E37" s="28">
        <v>12</v>
      </c>
      <c r="F37" s="28">
        <v>1250</v>
      </c>
      <c r="G37" s="29"/>
    </row>
    <row r="38" spans="1:7" ht="15.75">
      <c r="A38" s="51" t="s">
        <v>279</v>
      </c>
      <c r="B38" s="28">
        <v>0</v>
      </c>
      <c r="C38" s="28">
        <v>624</v>
      </c>
      <c r="D38" s="28">
        <v>622</v>
      </c>
      <c r="E38" s="28">
        <v>12</v>
      </c>
      <c r="F38" s="28">
        <v>7466</v>
      </c>
      <c r="G38" s="29"/>
    </row>
    <row r="39" spans="1:7" ht="15.75">
      <c r="A39" s="51" t="s">
        <v>236</v>
      </c>
      <c r="B39" s="28">
        <v>0</v>
      </c>
      <c r="C39" s="28">
        <v>12</v>
      </c>
      <c r="D39" s="28">
        <v>14</v>
      </c>
      <c r="E39" s="28">
        <v>12</v>
      </c>
      <c r="F39" s="28">
        <v>166</v>
      </c>
      <c r="G39" s="29"/>
    </row>
    <row r="40" spans="1:7" ht="15.75">
      <c r="A40" s="51" t="s">
        <v>320</v>
      </c>
      <c r="B40" s="28">
        <v>0</v>
      </c>
      <c r="C40" s="28">
        <v>22</v>
      </c>
      <c r="D40" s="28">
        <v>25</v>
      </c>
      <c r="E40" s="28">
        <v>12</v>
      </c>
      <c r="F40" s="28">
        <v>297</v>
      </c>
      <c r="G40" s="29"/>
    </row>
    <row r="41" spans="1:7" ht="15.75">
      <c r="A41" s="51" t="s">
        <v>331</v>
      </c>
      <c r="B41" s="28">
        <v>0</v>
      </c>
      <c r="C41" s="28">
        <v>64</v>
      </c>
      <c r="D41" s="28">
        <v>62</v>
      </c>
      <c r="E41" s="28">
        <v>12</v>
      </c>
      <c r="F41" s="28">
        <v>746</v>
      </c>
      <c r="G41" s="29"/>
    </row>
    <row r="42" spans="1:7" ht="15.75">
      <c r="A42" s="51" t="s">
        <v>376</v>
      </c>
      <c r="B42" s="28">
        <v>0</v>
      </c>
      <c r="C42" s="28">
        <v>246</v>
      </c>
      <c r="D42" s="28">
        <v>249</v>
      </c>
      <c r="E42" s="28">
        <v>12</v>
      </c>
      <c r="F42" s="28">
        <v>2985</v>
      </c>
      <c r="G42" s="29"/>
    </row>
    <row r="43" spans="1:7" ht="15.75">
      <c r="A43" s="51" t="s">
        <v>387</v>
      </c>
      <c r="B43" s="28">
        <v>0</v>
      </c>
      <c r="C43" s="28">
        <v>268</v>
      </c>
      <c r="D43" s="28">
        <v>264</v>
      </c>
      <c r="E43" s="28">
        <v>12</v>
      </c>
      <c r="F43" s="28">
        <v>3172</v>
      </c>
      <c r="G43" s="29"/>
    </row>
    <row r="44" spans="1:7" ht="15.75">
      <c r="A44" s="51" t="s">
        <v>334</v>
      </c>
      <c r="B44" s="28">
        <v>0</v>
      </c>
      <c r="C44" s="28">
        <v>106</v>
      </c>
      <c r="D44" s="28">
        <v>109</v>
      </c>
      <c r="E44" s="28">
        <v>12</v>
      </c>
      <c r="F44" s="28">
        <v>1305</v>
      </c>
      <c r="G44" s="29"/>
    </row>
    <row r="45" spans="1:7" ht="15.75">
      <c r="A45" s="51" t="s">
        <v>393</v>
      </c>
      <c r="B45" s="28">
        <v>0</v>
      </c>
      <c r="C45" s="28">
        <v>76</v>
      </c>
      <c r="D45" s="28">
        <v>71</v>
      </c>
      <c r="E45" s="28">
        <v>12</v>
      </c>
      <c r="F45" s="28">
        <v>857</v>
      </c>
      <c r="G45" s="29"/>
    </row>
    <row r="46" spans="1:7" ht="15.75">
      <c r="A46" s="51" t="s">
        <v>181</v>
      </c>
      <c r="B46" s="28">
        <v>0</v>
      </c>
      <c r="C46" s="28">
        <v>36</v>
      </c>
      <c r="D46" s="28">
        <v>34</v>
      </c>
      <c r="E46" s="28">
        <v>12</v>
      </c>
      <c r="F46" s="28">
        <v>410</v>
      </c>
      <c r="G46" s="29"/>
    </row>
    <row r="47" spans="1:7" ht="15.75">
      <c r="A47" s="51" t="s">
        <v>402</v>
      </c>
      <c r="B47" s="28">
        <v>0</v>
      </c>
      <c r="C47" s="28">
        <v>68</v>
      </c>
      <c r="D47" s="28">
        <v>70</v>
      </c>
      <c r="E47" s="28">
        <v>12</v>
      </c>
      <c r="F47" s="28">
        <v>838</v>
      </c>
      <c r="G47" s="29"/>
    </row>
    <row r="48" spans="1:7" ht="15.75">
      <c r="A48" s="51" t="s">
        <v>206</v>
      </c>
      <c r="B48" s="28">
        <v>0</v>
      </c>
      <c r="C48" s="28">
        <v>34</v>
      </c>
      <c r="D48" s="28">
        <v>29</v>
      </c>
      <c r="E48" s="28">
        <v>12</v>
      </c>
      <c r="F48" s="28">
        <v>353</v>
      </c>
      <c r="G48" s="29"/>
    </row>
    <row r="49" spans="1:7" ht="15.75">
      <c r="A49" s="51" t="s">
        <v>212</v>
      </c>
      <c r="B49" s="28">
        <v>0</v>
      </c>
      <c r="C49" s="28">
        <v>32</v>
      </c>
      <c r="D49" s="28">
        <v>31</v>
      </c>
      <c r="E49" s="28">
        <v>12</v>
      </c>
      <c r="F49" s="28">
        <v>373</v>
      </c>
      <c r="G49" s="29"/>
    </row>
    <row r="50" spans="1:7" ht="15.75">
      <c r="A50" s="51" t="s">
        <v>409</v>
      </c>
      <c r="B50" s="28">
        <v>0</v>
      </c>
      <c r="C50" s="28">
        <v>78</v>
      </c>
      <c r="D50" s="28">
        <v>76</v>
      </c>
      <c r="E50" s="28">
        <v>12</v>
      </c>
      <c r="F50" s="28">
        <v>914</v>
      </c>
      <c r="G50" s="29"/>
    </row>
    <row r="51" spans="1:7" ht="15.75">
      <c r="A51" s="51" t="s">
        <v>406</v>
      </c>
      <c r="B51" s="28">
        <v>0</v>
      </c>
      <c r="C51" s="28">
        <v>74</v>
      </c>
      <c r="D51" s="28">
        <v>78</v>
      </c>
      <c r="E51" s="28">
        <v>12</v>
      </c>
      <c r="F51" s="28">
        <v>932</v>
      </c>
      <c r="G51" s="29"/>
    </row>
    <row r="52" spans="1:7" ht="15.75">
      <c r="A52" s="51" t="s">
        <v>257</v>
      </c>
      <c r="B52" s="28">
        <v>0</v>
      </c>
      <c r="C52" s="28">
        <v>54</v>
      </c>
      <c r="D52" s="28">
        <v>51</v>
      </c>
      <c r="E52" s="28">
        <v>12</v>
      </c>
      <c r="F52" s="28">
        <v>615</v>
      </c>
      <c r="G52" s="29"/>
    </row>
    <row r="53" spans="1:7" ht="15.75">
      <c r="A53" s="51" t="s">
        <v>141</v>
      </c>
      <c r="B53" s="28">
        <v>0</v>
      </c>
      <c r="C53" s="28">
        <v>50</v>
      </c>
      <c r="D53" s="28">
        <v>48</v>
      </c>
      <c r="E53" s="28">
        <v>12</v>
      </c>
      <c r="F53" s="28">
        <v>578</v>
      </c>
      <c r="G53" s="29"/>
    </row>
    <row r="54" spans="1:7" ht="15.75">
      <c r="A54" s="51" t="s">
        <v>214</v>
      </c>
      <c r="B54" s="28">
        <v>0</v>
      </c>
      <c r="C54" s="28">
        <v>200</v>
      </c>
      <c r="D54" s="28">
        <v>199</v>
      </c>
      <c r="E54" s="28">
        <v>12</v>
      </c>
      <c r="F54" s="28">
        <v>2389</v>
      </c>
      <c r="G54" s="29"/>
    </row>
    <row r="55" spans="1:7" ht="15.75">
      <c r="A55" s="51" t="s">
        <v>413</v>
      </c>
      <c r="B55" s="28">
        <v>0</v>
      </c>
      <c r="C55" s="28">
        <v>36</v>
      </c>
      <c r="D55" s="28">
        <v>39</v>
      </c>
      <c r="E55" s="28">
        <v>12</v>
      </c>
      <c r="F55" s="28">
        <v>465</v>
      </c>
      <c r="G55" s="29"/>
    </row>
    <row r="56" spans="1:7" ht="15.75">
      <c r="A56" s="51" t="s">
        <v>578</v>
      </c>
      <c r="B56" s="28">
        <v>0</v>
      </c>
      <c r="C56" s="28">
        <v>74</v>
      </c>
      <c r="D56" s="28">
        <v>73</v>
      </c>
      <c r="E56" s="28">
        <v>12</v>
      </c>
      <c r="F56" s="28">
        <v>877</v>
      </c>
      <c r="G56" s="29"/>
    </row>
    <row r="57" spans="1:7" ht="15.75">
      <c r="A57" s="51" t="s">
        <v>514</v>
      </c>
      <c r="B57" s="28">
        <v>0</v>
      </c>
      <c r="C57" s="28">
        <v>32</v>
      </c>
      <c r="D57" s="28">
        <v>36</v>
      </c>
      <c r="E57" s="28">
        <v>12</v>
      </c>
      <c r="F57" s="28">
        <v>428</v>
      </c>
      <c r="G57" s="29"/>
    </row>
    <row r="58" spans="1:7" ht="15.75">
      <c r="A58" s="51" t="s">
        <v>520</v>
      </c>
      <c r="B58" s="28">
        <v>0</v>
      </c>
      <c r="C58" s="28">
        <v>42</v>
      </c>
      <c r="D58" s="28">
        <v>47</v>
      </c>
      <c r="E58" s="28">
        <v>12</v>
      </c>
      <c r="F58" s="28">
        <v>559</v>
      </c>
      <c r="G58" s="29"/>
    </row>
    <row r="59" spans="1:7" ht="15.75">
      <c r="A59" s="51" t="s">
        <v>262</v>
      </c>
      <c r="B59" s="28">
        <v>0</v>
      </c>
      <c r="C59" s="28">
        <v>68</v>
      </c>
      <c r="D59" s="28">
        <v>65</v>
      </c>
      <c r="E59" s="28">
        <v>12</v>
      </c>
      <c r="F59" s="28">
        <v>783</v>
      </c>
      <c r="G59" s="29"/>
    </row>
    <row r="60" spans="1:7" ht="15.75">
      <c r="A60" s="51" t="s">
        <v>457</v>
      </c>
      <c r="B60" s="28">
        <v>0</v>
      </c>
      <c r="C60" s="28">
        <v>104</v>
      </c>
      <c r="D60" s="28">
        <v>99</v>
      </c>
      <c r="E60" s="28">
        <v>12</v>
      </c>
      <c r="F60" s="28">
        <v>1193</v>
      </c>
      <c r="G60" s="29"/>
    </row>
    <row r="61" spans="1:7" ht="15.75">
      <c r="A61" s="51" t="s">
        <v>460</v>
      </c>
      <c r="B61" s="28">
        <v>0</v>
      </c>
      <c r="C61" s="28">
        <v>36</v>
      </c>
      <c r="D61" s="28">
        <v>39</v>
      </c>
      <c r="E61" s="28">
        <v>12</v>
      </c>
      <c r="F61" s="28">
        <v>465</v>
      </c>
      <c r="G61" s="29"/>
    </row>
    <row r="62" spans="1:7" ht="15.75">
      <c r="A62" s="51" t="s">
        <v>432</v>
      </c>
      <c r="B62" s="28">
        <v>0</v>
      </c>
      <c r="C62" s="28">
        <v>68</v>
      </c>
      <c r="D62" s="28">
        <v>65</v>
      </c>
      <c r="E62" s="28">
        <v>12</v>
      </c>
      <c r="F62" s="28">
        <v>783</v>
      </c>
      <c r="G62" s="29"/>
    </row>
    <row r="63" spans="1:7" ht="15.75">
      <c r="A63" s="51" t="s">
        <v>309</v>
      </c>
      <c r="B63" s="28">
        <v>0</v>
      </c>
      <c r="C63" s="28">
        <v>148</v>
      </c>
      <c r="D63" s="28">
        <v>151</v>
      </c>
      <c r="E63" s="28">
        <v>12</v>
      </c>
      <c r="F63" s="28">
        <v>1809</v>
      </c>
      <c r="G63" s="29"/>
    </row>
    <row r="64" spans="1:7" ht="15.75">
      <c r="A64" s="51" t="s">
        <v>597</v>
      </c>
      <c r="B64" s="28">
        <v>0</v>
      </c>
      <c r="C64" s="28">
        <v>106</v>
      </c>
      <c r="D64" s="28">
        <v>109</v>
      </c>
      <c r="E64" s="28">
        <v>12</v>
      </c>
      <c r="F64" s="28">
        <v>1305</v>
      </c>
      <c r="G64" s="29"/>
    </row>
    <row r="65" spans="1:7" ht="15.75">
      <c r="A65" s="51" t="s">
        <v>338</v>
      </c>
      <c r="B65" s="28">
        <v>0</v>
      </c>
      <c r="C65" s="28">
        <v>548</v>
      </c>
      <c r="D65" s="28">
        <v>544</v>
      </c>
      <c r="E65" s="28">
        <v>12</v>
      </c>
      <c r="F65" s="28">
        <v>6532</v>
      </c>
      <c r="G65" s="29"/>
    </row>
    <row r="66" spans="1:7" ht="15.75">
      <c r="A66" s="51" t="s">
        <v>294</v>
      </c>
      <c r="B66" s="28">
        <v>0</v>
      </c>
      <c r="C66" s="28">
        <v>734</v>
      </c>
      <c r="D66" s="28">
        <v>729</v>
      </c>
      <c r="E66" s="28">
        <v>12</v>
      </c>
      <c r="F66" s="28">
        <v>8753</v>
      </c>
      <c r="G66" s="29"/>
    </row>
    <row r="67" spans="1:7" ht="15.75">
      <c r="A67" s="51" t="s">
        <v>217</v>
      </c>
      <c r="B67" s="28">
        <v>0</v>
      </c>
      <c r="C67" s="28">
        <v>684</v>
      </c>
      <c r="D67" s="28">
        <v>681</v>
      </c>
      <c r="E67" s="28">
        <v>12</v>
      </c>
      <c r="F67" s="28">
        <v>8175</v>
      </c>
      <c r="G67" s="29"/>
    </row>
    <row r="68" spans="1:7" ht="15.75">
      <c r="A68" s="51" t="s">
        <v>526</v>
      </c>
      <c r="B68" s="28">
        <v>0</v>
      </c>
      <c r="C68" s="28">
        <v>516</v>
      </c>
      <c r="D68" s="28">
        <v>513</v>
      </c>
      <c r="E68" s="28">
        <v>12</v>
      </c>
      <c r="F68" s="28">
        <v>6159</v>
      </c>
      <c r="G68" s="29"/>
    </row>
    <row r="69" spans="1:7" ht="15.75">
      <c r="A69" s="51" t="s">
        <v>364</v>
      </c>
      <c r="B69" s="28">
        <v>0</v>
      </c>
      <c r="C69" s="28">
        <v>810</v>
      </c>
      <c r="D69" s="28">
        <v>807</v>
      </c>
      <c r="E69" s="28">
        <v>12</v>
      </c>
      <c r="F69" s="28">
        <v>9687</v>
      </c>
      <c r="G69" s="29"/>
    </row>
    <row r="70" spans="1:7" ht="15.75">
      <c r="A70" s="51" t="s">
        <v>231</v>
      </c>
      <c r="B70" s="28">
        <v>0</v>
      </c>
      <c r="C70" s="28">
        <v>1082</v>
      </c>
      <c r="D70" s="28">
        <v>1086</v>
      </c>
      <c r="E70" s="28">
        <v>12</v>
      </c>
      <c r="F70" s="28">
        <v>13028</v>
      </c>
      <c r="G70" s="29"/>
    </row>
    <row r="71" spans="1:7" ht="15.75">
      <c r="A71" s="51" t="s">
        <v>484</v>
      </c>
      <c r="B71" s="28">
        <v>0</v>
      </c>
      <c r="C71" s="28">
        <v>236</v>
      </c>
      <c r="D71" s="28">
        <v>233</v>
      </c>
      <c r="E71" s="28">
        <v>12</v>
      </c>
      <c r="F71" s="28">
        <v>2799</v>
      </c>
      <c r="G71" s="29"/>
    </row>
    <row r="72" spans="1:7" ht="15.75">
      <c r="A72" s="51" t="s">
        <v>487</v>
      </c>
      <c r="B72" s="28">
        <v>0</v>
      </c>
      <c r="C72" s="28">
        <v>288</v>
      </c>
      <c r="D72" s="28">
        <v>291</v>
      </c>
      <c r="E72" s="28">
        <v>12</v>
      </c>
      <c r="F72" s="28">
        <v>3489</v>
      </c>
      <c r="G72" s="29"/>
    </row>
    <row r="73" spans="1:7" ht="15.75">
      <c r="A73" s="51" t="s">
        <v>247</v>
      </c>
      <c r="B73" s="28">
        <v>0</v>
      </c>
      <c r="C73" s="28">
        <v>558</v>
      </c>
      <c r="D73" s="28">
        <v>560</v>
      </c>
      <c r="E73" s="28">
        <v>12</v>
      </c>
      <c r="F73" s="28">
        <v>6718</v>
      </c>
      <c r="G73" s="29"/>
    </row>
    <row r="74" spans="1:7" ht="15.75">
      <c r="A74" s="51" t="s">
        <v>350</v>
      </c>
      <c r="B74" s="28">
        <v>0</v>
      </c>
      <c r="C74" s="28">
        <v>102</v>
      </c>
      <c r="D74" s="28">
        <v>101</v>
      </c>
      <c r="E74" s="28">
        <v>12</v>
      </c>
      <c r="F74" s="28">
        <v>1213</v>
      </c>
      <c r="G74" s="29"/>
    </row>
    <row r="75" spans="1:7" ht="15.75">
      <c r="A75" s="51" t="s">
        <v>465</v>
      </c>
      <c r="B75" s="28">
        <v>0</v>
      </c>
      <c r="C75" s="28">
        <v>156</v>
      </c>
      <c r="D75" s="28">
        <v>152</v>
      </c>
      <c r="E75" s="28">
        <v>12</v>
      </c>
      <c r="F75" s="28">
        <v>1828</v>
      </c>
      <c r="G75" s="29"/>
    </row>
    <row r="76" spans="1:7" ht="15.75">
      <c r="A76" s="51" t="s">
        <v>439</v>
      </c>
      <c r="B76" s="28">
        <v>0</v>
      </c>
      <c r="C76" s="28">
        <v>278</v>
      </c>
      <c r="D76" s="28">
        <v>280</v>
      </c>
      <c r="E76" s="28">
        <v>12</v>
      </c>
      <c r="F76" s="28">
        <v>3358</v>
      </c>
      <c r="G76" s="29"/>
    </row>
    <row r="77" spans="1:7" ht="15.75">
      <c r="A77" s="51" t="s">
        <v>417</v>
      </c>
      <c r="B77" s="28">
        <v>0</v>
      </c>
      <c r="C77" s="28">
        <v>146</v>
      </c>
      <c r="D77" s="28">
        <v>141</v>
      </c>
      <c r="E77" s="28">
        <v>12</v>
      </c>
      <c r="F77" s="28">
        <v>1697</v>
      </c>
      <c r="G77" s="29"/>
    </row>
    <row r="78" spans="1:7" ht="15.75">
      <c r="A78" s="51" t="s">
        <v>298</v>
      </c>
      <c r="B78" s="28">
        <v>0</v>
      </c>
      <c r="C78" s="28">
        <v>42</v>
      </c>
      <c r="D78" s="28">
        <v>47</v>
      </c>
      <c r="E78" s="28">
        <v>12</v>
      </c>
      <c r="F78" s="28">
        <v>559</v>
      </c>
      <c r="G78" s="29"/>
    </row>
    <row r="79" spans="1:7" ht="15.75">
      <c r="A79" s="51" t="s">
        <v>355</v>
      </c>
      <c r="B79" s="28">
        <v>0</v>
      </c>
      <c r="C79" s="28">
        <v>96</v>
      </c>
      <c r="D79" s="28">
        <v>93</v>
      </c>
      <c r="E79" s="28">
        <v>12</v>
      </c>
      <c r="F79" s="28">
        <v>1119</v>
      </c>
      <c r="G79" s="29"/>
    </row>
    <row r="80" spans="1:7" ht="15.75">
      <c r="A80" s="51" t="s">
        <v>468</v>
      </c>
      <c r="B80" s="28">
        <v>0</v>
      </c>
      <c r="C80" s="28">
        <v>92</v>
      </c>
      <c r="D80" s="28">
        <v>90</v>
      </c>
      <c r="E80" s="28">
        <v>12</v>
      </c>
      <c r="F80" s="28">
        <v>1082</v>
      </c>
      <c r="G80" s="29"/>
    </row>
    <row r="81" spans="1:7" ht="15.75">
      <c r="A81" s="51" t="s">
        <v>579</v>
      </c>
      <c r="B81" s="28">
        <v>0</v>
      </c>
      <c r="C81" s="28">
        <v>84</v>
      </c>
      <c r="D81" s="28">
        <v>89</v>
      </c>
      <c r="E81" s="28">
        <v>12</v>
      </c>
      <c r="F81" s="28">
        <v>1063</v>
      </c>
      <c r="G81" s="29"/>
    </row>
    <row r="82" spans="1:7" ht="15.75">
      <c r="A82" s="51" t="s">
        <v>476</v>
      </c>
      <c r="B82" s="28">
        <v>0</v>
      </c>
      <c r="C82" s="28">
        <v>64</v>
      </c>
      <c r="D82" s="28">
        <v>62</v>
      </c>
      <c r="E82" s="28">
        <v>12</v>
      </c>
      <c r="F82" s="28">
        <v>746</v>
      </c>
      <c r="G82" s="29"/>
    </row>
    <row r="83" spans="1:7" ht="15.75">
      <c r="A83" s="51" t="s">
        <v>423</v>
      </c>
      <c r="B83" s="28">
        <v>0</v>
      </c>
      <c r="C83" s="28">
        <v>56</v>
      </c>
      <c r="D83" s="28">
        <v>61</v>
      </c>
      <c r="E83" s="28">
        <v>12</v>
      </c>
      <c r="F83" s="28">
        <v>727</v>
      </c>
      <c r="G83" s="29"/>
    </row>
    <row r="84" spans="1:7" ht="15.75">
      <c r="A84" s="51" t="s">
        <v>560</v>
      </c>
      <c r="B84" s="28">
        <v>0</v>
      </c>
      <c r="C84" s="28">
        <v>36</v>
      </c>
      <c r="D84" s="28">
        <v>39</v>
      </c>
      <c r="E84" s="28">
        <v>12</v>
      </c>
      <c r="F84" s="28">
        <v>465</v>
      </c>
      <c r="G84" s="29"/>
    </row>
    <row r="85" spans="1:7" ht="15.75">
      <c r="A85" s="51" t="s">
        <v>495</v>
      </c>
      <c r="B85" s="28">
        <v>0</v>
      </c>
      <c r="C85" s="28">
        <v>54</v>
      </c>
      <c r="D85" s="28">
        <v>51</v>
      </c>
      <c r="E85" s="28">
        <v>12</v>
      </c>
      <c r="F85" s="28">
        <v>615</v>
      </c>
      <c r="G85" s="29"/>
    </row>
    <row r="86" spans="1:7" ht="15.75">
      <c r="A86" s="51" t="s">
        <v>529</v>
      </c>
      <c r="B86" s="28">
        <v>0</v>
      </c>
      <c r="C86" s="28">
        <v>312</v>
      </c>
      <c r="D86" s="28">
        <v>311</v>
      </c>
      <c r="E86" s="28">
        <v>12</v>
      </c>
      <c r="F86" s="28">
        <v>3733</v>
      </c>
      <c r="G86" s="29"/>
    </row>
    <row r="87" spans="1:7" ht="15.75">
      <c r="A87" s="51" t="s">
        <v>533</v>
      </c>
      <c r="B87" s="28">
        <v>0</v>
      </c>
      <c r="C87" s="28">
        <v>408</v>
      </c>
      <c r="D87" s="28">
        <v>404</v>
      </c>
      <c r="E87" s="28">
        <v>12</v>
      </c>
      <c r="F87" s="28">
        <v>4852</v>
      </c>
      <c r="G87" s="29"/>
    </row>
    <row r="88" spans="1:7" ht="15.75">
      <c r="A88" s="51" t="s">
        <v>601</v>
      </c>
      <c r="B88" s="28">
        <v>0</v>
      </c>
      <c r="C88" s="28">
        <v>524</v>
      </c>
      <c r="D88" s="28">
        <v>519</v>
      </c>
      <c r="E88" s="28">
        <v>12</v>
      </c>
      <c r="F88" s="28">
        <v>6233</v>
      </c>
      <c r="G88" s="29"/>
    </row>
    <row r="89" spans="1:7" ht="15.75">
      <c r="A89" s="51" t="s">
        <v>443</v>
      </c>
      <c r="B89" s="28">
        <v>0</v>
      </c>
      <c r="C89" s="28">
        <v>74</v>
      </c>
      <c r="D89" s="28">
        <v>78</v>
      </c>
      <c r="E89" s="28">
        <v>12</v>
      </c>
      <c r="F89" s="28">
        <v>932</v>
      </c>
      <c r="G89" s="29"/>
    </row>
    <row r="90" spans="1:7" ht="15.75">
      <c r="A90" s="51" t="s">
        <v>580</v>
      </c>
      <c r="B90" s="28">
        <v>0</v>
      </c>
      <c r="C90" s="28">
        <v>60</v>
      </c>
      <c r="D90" s="28">
        <v>64</v>
      </c>
      <c r="E90" s="28">
        <v>12</v>
      </c>
      <c r="F90" s="28">
        <v>764</v>
      </c>
      <c r="G90" s="29"/>
    </row>
    <row r="91" spans="1:7" ht="15.75">
      <c r="A91" s="51" t="s">
        <v>506</v>
      </c>
      <c r="B91" s="28">
        <v>0</v>
      </c>
      <c r="C91" s="28">
        <v>72</v>
      </c>
      <c r="D91" s="28">
        <v>68</v>
      </c>
      <c r="E91" s="28">
        <v>12</v>
      </c>
      <c r="F91" s="28">
        <v>820</v>
      </c>
      <c r="G91" s="29"/>
    </row>
    <row r="92" spans="1:7" ht="15.75">
      <c r="A92" s="51" t="s">
        <v>371</v>
      </c>
      <c r="B92" s="28">
        <v>0</v>
      </c>
      <c r="C92" s="28">
        <v>44</v>
      </c>
      <c r="D92" s="28">
        <v>40</v>
      </c>
      <c r="E92" s="28">
        <v>12</v>
      </c>
      <c r="F92" s="28">
        <v>484</v>
      </c>
      <c r="G92" s="29"/>
    </row>
    <row r="93" spans="1:7" ht="15.75">
      <c r="A93" s="51" t="s">
        <v>581</v>
      </c>
      <c r="B93" s="28">
        <v>0</v>
      </c>
      <c r="C93" s="28">
        <v>48</v>
      </c>
      <c r="D93" s="28">
        <v>43</v>
      </c>
      <c r="E93" s="28">
        <v>12</v>
      </c>
      <c r="F93" s="28">
        <v>521</v>
      </c>
      <c r="G93" s="29"/>
    </row>
    <row r="94" spans="1:7" ht="15.75">
      <c r="A94" s="51" t="s">
        <v>586</v>
      </c>
      <c r="B94" s="28">
        <v>0</v>
      </c>
      <c r="C94" s="28">
        <v>90</v>
      </c>
      <c r="D94" s="28">
        <v>85</v>
      </c>
      <c r="E94" s="28">
        <v>12</v>
      </c>
      <c r="F94" s="28">
        <v>1025</v>
      </c>
      <c r="G94" s="29"/>
    </row>
    <row r="95" spans="1:7" ht="15.75">
      <c r="A95" s="51" t="s">
        <v>602</v>
      </c>
      <c r="B95" s="28">
        <v>0</v>
      </c>
      <c r="C95" s="28">
        <v>116</v>
      </c>
      <c r="D95" s="28">
        <v>115</v>
      </c>
      <c r="E95" s="28">
        <v>12</v>
      </c>
      <c r="F95" s="28">
        <v>1381</v>
      </c>
      <c r="G95" s="29"/>
    </row>
    <row r="96" spans="1:7" ht="15.75">
      <c r="A96" s="51" t="s">
        <v>509</v>
      </c>
      <c r="B96" s="28">
        <v>0</v>
      </c>
      <c r="C96" s="28">
        <v>54</v>
      </c>
      <c r="D96" s="28">
        <v>51</v>
      </c>
      <c r="E96" s="28">
        <v>12</v>
      </c>
      <c r="F96" s="28">
        <v>615</v>
      </c>
      <c r="G96" s="29"/>
    </row>
    <row r="97" spans="1:7" ht="15.75">
      <c r="A97" s="51" t="s">
        <v>537</v>
      </c>
      <c r="B97" s="28">
        <v>0</v>
      </c>
      <c r="C97" s="28">
        <v>462</v>
      </c>
      <c r="D97" s="28">
        <v>467</v>
      </c>
      <c r="E97" s="28">
        <v>12</v>
      </c>
      <c r="F97" s="28">
        <v>5599</v>
      </c>
      <c r="G97" s="29"/>
    </row>
    <row r="98" spans="1:7" ht="15.75">
      <c r="A98" s="51" t="s">
        <v>538</v>
      </c>
      <c r="B98" s="28">
        <v>0</v>
      </c>
      <c r="C98" s="28">
        <v>516</v>
      </c>
      <c r="D98" s="28">
        <v>513</v>
      </c>
      <c r="E98" s="28">
        <v>12</v>
      </c>
      <c r="F98" s="28">
        <v>6159</v>
      </c>
      <c r="G98" s="29"/>
    </row>
    <row r="99" spans="1:7" ht="15.75">
      <c r="A99" s="51" t="s">
        <v>548</v>
      </c>
      <c r="B99" s="28">
        <v>0</v>
      </c>
      <c r="C99" s="28">
        <v>594</v>
      </c>
      <c r="D99" s="28">
        <v>589</v>
      </c>
      <c r="E99" s="28">
        <v>12</v>
      </c>
      <c r="F99" s="28">
        <v>7073</v>
      </c>
      <c r="G99" s="29"/>
    </row>
    <row r="100" spans="1:7" ht="15.75">
      <c r="A100" s="51" t="s">
        <v>588</v>
      </c>
      <c r="B100" s="28">
        <v>0</v>
      </c>
      <c r="C100" s="28">
        <v>46</v>
      </c>
      <c r="D100" s="28">
        <v>45</v>
      </c>
      <c r="E100" s="28">
        <v>12</v>
      </c>
      <c r="F100" s="28">
        <v>541</v>
      </c>
      <c r="G100" s="29"/>
    </row>
    <row r="101" spans="1:7" ht="15.75">
      <c r="A101" s="51" t="s">
        <v>549</v>
      </c>
      <c r="B101" s="28">
        <v>0</v>
      </c>
      <c r="C101" s="28">
        <v>42</v>
      </c>
      <c r="D101" s="28">
        <v>47</v>
      </c>
      <c r="E101" s="28">
        <v>12</v>
      </c>
      <c r="F101" s="28">
        <v>559</v>
      </c>
      <c r="G101" s="29"/>
    </row>
    <row r="102" spans="1:7" ht="15.75">
      <c r="A102" s="51" t="s">
        <v>562</v>
      </c>
      <c r="B102" s="28">
        <v>0</v>
      </c>
      <c r="C102" s="28">
        <v>42</v>
      </c>
      <c r="D102" s="28">
        <v>47</v>
      </c>
      <c r="E102" s="28">
        <v>12</v>
      </c>
      <c r="F102" s="28">
        <v>559</v>
      </c>
      <c r="G102" s="29"/>
    </row>
    <row r="103" spans="1:7" ht="15.75">
      <c r="A103" s="51" t="s">
        <v>611</v>
      </c>
      <c r="B103" s="28">
        <v>0</v>
      </c>
      <c r="C103" s="28">
        <v>222</v>
      </c>
      <c r="D103" s="28">
        <v>224</v>
      </c>
      <c r="E103" s="28">
        <v>12</v>
      </c>
      <c r="F103" s="28">
        <v>2686</v>
      </c>
      <c r="G103" s="29"/>
    </row>
    <row r="104" spans="1:7" ht="15.75">
      <c r="A104" s="51" t="s">
        <v>569</v>
      </c>
      <c r="B104" s="28">
        <v>0</v>
      </c>
      <c r="C104" s="28">
        <v>666</v>
      </c>
      <c r="D104" s="28">
        <v>669</v>
      </c>
      <c r="E104" s="28">
        <v>12</v>
      </c>
      <c r="F104" s="28">
        <v>8025</v>
      </c>
      <c r="G104" s="29"/>
    </row>
    <row r="105" spans="1:7" ht="15.75">
      <c r="A105" s="51" t="s">
        <v>478</v>
      </c>
      <c r="B105" s="28">
        <v>0</v>
      </c>
      <c r="C105" s="28">
        <v>996</v>
      </c>
      <c r="D105" s="28">
        <v>992</v>
      </c>
      <c r="E105" s="28">
        <v>12</v>
      </c>
      <c r="F105" s="28">
        <v>11908</v>
      </c>
      <c r="G105" s="29"/>
    </row>
    <row r="106" spans="1:7" ht="15.75">
      <c r="A106" s="51" t="s">
        <v>612</v>
      </c>
      <c r="B106" s="28">
        <v>0</v>
      </c>
      <c r="C106" s="28">
        <v>84</v>
      </c>
      <c r="D106" s="28">
        <v>89</v>
      </c>
      <c r="E106" s="28">
        <v>12</v>
      </c>
      <c r="F106" s="28">
        <v>1063</v>
      </c>
      <c r="G106" s="29"/>
    </row>
    <row r="107" spans="1:7" ht="15.75">
      <c r="A107" s="51" t="s">
        <v>596</v>
      </c>
      <c r="B107" s="28">
        <v>0</v>
      </c>
      <c r="C107" s="28">
        <v>42</v>
      </c>
      <c r="D107" s="28">
        <v>47</v>
      </c>
      <c r="E107" s="28">
        <v>12</v>
      </c>
      <c r="F107" s="28">
        <v>559</v>
      </c>
      <c r="G107" s="29"/>
    </row>
    <row r="108" spans="1:7" ht="15.75">
      <c r="A108" s="51" t="s">
        <v>589</v>
      </c>
      <c r="B108" s="28">
        <v>0</v>
      </c>
      <c r="C108" s="28">
        <v>278</v>
      </c>
      <c r="D108" s="28">
        <v>280</v>
      </c>
      <c r="E108" s="28">
        <v>12</v>
      </c>
      <c r="F108" s="28">
        <v>3358</v>
      </c>
      <c r="G108" s="29"/>
    </row>
    <row r="109" spans="1:7" ht="15.75">
      <c r="A109" s="51" t="s">
        <v>613</v>
      </c>
      <c r="B109" s="28">
        <v>0</v>
      </c>
      <c r="C109" s="28">
        <v>312</v>
      </c>
      <c r="D109" s="28">
        <v>311</v>
      </c>
      <c r="E109" s="28">
        <v>12</v>
      </c>
      <c r="F109" s="28">
        <v>3733</v>
      </c>
      <c r="G109" s="29"/>
    </row>
    <row r="110" spans="1:7" ht="15.75">
      <c r="A110" s="51" t="s">
        <v>619</v>
      </c>
      <c r="B110" s="28">
        <v>0</v>
      </c>
      <c r="C110" s="28">
        <v>70</v>
      </c>
      <c r="D110" s="28">
        <v>75</v>
      </c>
      <c r="E110" s="28">
        <v>12</v>
      </c>
      <c r="F110" s="28">
        <v>895</v>
      </c>
      <c r="G110" s="29"/>
    </row>
    <row r="111" spans="1:7" ht="15.75">
      <c r="A111" s="51" t="s">
        <v>620</v>
      </c>
      <c r="B111" s="28">
        <v>0</v>
      </c>
      <c r="C111" s="28">
        <v>74</v>
      </c>
      <c r="D111" s="28">
        <v>78</v>
      </c>
      <c r="E111" s="28">
        <v>12</v>
      </c>
      <c r="F111" s="28">
        <v>932</v>
      </c>
      <c r="G111" s="29"/>
    </row>
    <row r="112" spans="1:7" ht="15.75">
      <c r="A112" s="51" t="s">
        <v>628</v>
      </c>
      <c r="B112" s="28">
        <v>0</v>
      </c>
      <c r="C112" s="28">
        <v>204</v>
      </c>
      <c r="D112" s="28">
        <v>202</v>
      </c>
      <c r="E112" s="28">
        <v>12</v>
      </c>
      <c r="F112" s="28">
        <v>2426</v>
      </c>
      <c r="G112" s="29"/>
    </row>
    <row r="113" spans="1:7" ht="15.75">
      <c r="A113" s="51" t="s">
        <v>630</v>
      </c>
      <c r="B113" s="28">
        <v>0</v>
      </c>
      <c r="C113" s="28">
        <v>372</v>
      </c>
      <c r="D113" s="28">
        <v>370</v>
      </c>
      <c r="E113" s="28">
        <v>12</v>
      </c>
      <c r="F113" s="28">
        <v>4442</v>
      </c>
      <c r="G113" s="29"/>
    </row>
    <row r="114" spans="1:7" ht="15.75">
      <c r="A114" s="51" t="s">
        <v>634</v>
      </c>
      <c r="B114" s="28">
        <v>0</v>
      </c>
      <c r="C114" s="28">
        <v>88</v>
      </c>
      <c r="D114" s="28">
        <v>87</v>
      </c>
      <c r="E114" s="28">
        <v>12</v>
      </c>
      <c r="F114" s="28">
        <v>1045</v>
      </c>
      <c r="G114" s="29"/>
    </row>
    <row r="115" spans="1:7" ht="15.75">
      <c r="A115" s="51" t="s">
        <v>635</v>
      </c>
      <c r="B115" s="28">
        <v>0</v>
      </c>
      <c r="C115" s="28">
        <v>92</v>
      </c>
      <c r="D115" s="28">
        <v>90</v>
      </c>
      <c r="E115" s="28">
        <v>12</v>
      </c>
      <c r="F115" s="28">
        <v>1082</v>
      </c>
      <c r="G115" s="29"/>
    </row>
    <row r="116" spans="1:7" ht="15.75">
      <c r="A116" s="51" t="s">
        <v>641</v>
      </c>
      <c r="B116" s="28">
        <v>0</v>
      </c>
      <c r="C116" s="28">
        <v>134</v>
      </c>
      <c r="D116" s="28">
        <v>137</v>
      </c>
      <c r="E116" s="28">
        <v>12</v>
      </c>
      <c r="F116" s="28">
        <v>1641</v>
      </c>
      <c r="G116" s="29"/>
    </row>
    <row r="117" spans="1:7" ht="15.75">
      <c r="A117" s="51" t="s">
        <v>646</v>
      </c>
      <c r="B117" s="28">
        <v>0</v>
      </c>
      <c r="C117" s="28">
        <v>78</v>
      </c>
      <c r="D117" s="28">
        <v>76</v>
      </c>
      <c r="E117" s="28">
        <v>12</v>
      </c>
      <c r="F117" s="28">
        <v>914</v>
      </c>
      <c r="G117" s="29"/>
    </row>
    <row r="118" spans="1:7" ht="15.75">
      <c r="A118" s="51" t="s">
        <v>653</v>
      </c>
      <c r="B118" s="28">
        <v>0</v>
      </c>
      <c r="C118" s="28">
        <v>78</v>
      </c>
      <c r="D118" s="28">
        <v>81</v>
      </c>
      <c r="E118" s="28">
        <v>12</v>
      </c>
      <c r="F118" s="28">
        <v>969</v>
      </c>
      <c r="G118" s="29"/>
    </row>
    <row r="119" spans="1:7" ht="15.75">
      <c r="A119" s="51" t="s">
        <v>655</v>
      </c>
      <c r="B119" s="28">
        <v>0</v>
      </c>
      <c r="C119" s="28">
        <v>670</v>
      </c>
      <c r="D119" s="28">
        <v>672</v>
      </c>
      <c r="E119" s="28">
        <v>12</v>
      </c>
      <c r="F119" s="28">
        <v>8062</v>
      </c>
      <c r="G119" s="29"/>
    </row>
    <row r="120" spans="1:7" ht="15.75">
      <c r="A120" s="51" t="s">
        <v>664</v>
      </c>
      <c r="B120" s="28">
        <v>0</v>
      </c>
      <c r="C120" s="28">
        <v>1026</v>
      </c>
      <c r="D120" s="28">
        <v>1030</v>
      </c>
      <c r="E120" s="28">
        <v>12</v>
      </c>
      <c r="F120" s="28">
        <v>12356</v>
      </c>
      <c r="G120" s="29"/>
    </row>
    <row r="121" spans="1:7" ht="15.75">
      <c r="A121" s="51" t="s">
        <v>666</v>
      </c>
      <c r="B121" s="28">
        <v>0</v>
      </c>
      <c r="C121" s="28">
        <v>124</v>
      </c>
      <c r="D121" s="28">
        <v>126</v>
      </c>
      <c r="E121" s="28">
        <v>12</v>
      </c>
      <c r="F121" s="28">
        <v>1510</v>
      </c>
      <c r="G121" s="29"/>
    </row>
    <row r="122" spans="1:7" ht="15.75">
      <c r="A122" s="51" t="s">
        <v>672</v>
      </c>
      <c r="B122" s="28">
        <v>0</v>
      </c>
      <c r="C122" s="28">
        <v>190</v>
      </c>
      <c r="D122" s="28">
        <v>188</v>
      </c>
      <c r="E122" s="28">
        <v>12</v>
      </c>
      <c r="F122" s="28">
        <v>2258</v>
      </c>
      <c r="G122" s="29"/>
    </row>
    <row r="123" spans="1:7" ht="15.75">
      <c r="A123" s="51" t="s">
        <v>674</v>
      </c>
      <c r="B123" s="28">
        <v>0</v>
      </c>
      <c r="C123" s="28">
        <v>154</v>
      </c>
      <c r="D123" s="28">
        <v>159</v>
      </c>
      <c r="E123" s="28">
        <v>12</v>
      </c>
      <c r="F123" s="28">
        <v>1903</v>
      </c>
      <c r="G123" s="29"/>
    </row>
    <row r="124" spans="1:7" ht="15.75">
      <c r="A124" s="51" t="s">
        <v>675</v>
      </c>
      <c r="B124" s="28">
        <v>0</v>
      </c>
      <c r="C124" s="28">
        <v>270</v>
      </c>
      <c r="D124" s="28">
        <v>269</v>
      </c>
      <c r="E124" s="28">
        <v>12</v>
      </c>
      <c r="F124" s="28">
        <v>3229</v>
      </c>
      <c r="G124" s="29"/>
    </row>
    <row r="125" spans="1:7" ht="15.75">
      <c r="A125" s="51" t="s">
        <v>676</v>
      </c>
      <c r="B125" s="28">
        <v>0</v>
      </c>
      <c r="C125" s="28">
        <v>284</v>
      </c>
      <c r="D125" s="28">
        <v>288</v>
      </c>
      <c r="E125" s="28">
        <v>12</v>
      </c>
      <c r="F125" s="28">
        <v>3452</v>
      </c>
      <c r="G125" s="29"/>
    </row>
    <row r="126" spans="1:7" ht="15.75">
      <c r="A126" s="51" t="s">
        <v>679</v>
      </c>
      <c r="B126" s="28">
        <v>0</v>
      </c>
      <c r="C126" s="28">
        <v>316</v>
      </c>
      <c r="D126" s="28">
        <v>314</v>
      </c>
      <c r="E126" s="28">
        <v>12</v>
      </c>
      <c r="F126" s="28">
        <v>3770</v>
      </c>
      <c r="G126" s="29"/>
    </row>
    <row r="127" spans="1:7" ht="15.75">
      <c r="A127" s="51" t="s">
        <v>686</v>
      </c>
      <c r="B127" s="28">
        <v>0</v>
      </c>
      <c r="C127" s="28">
        <v>236</v>
      </c>
      <c r="D127" s="28">
        <v>233</v>
      </c>
      <c r="E127" s="28">
        <v>12</v>
      </c>
      <c r="F127" s="28">
        <v>2799</v>
      </c>
      <c r="G127" s="29"/>
    </row>
    <row r="128" spans="1:7" ht="15.75">
      <c r="A128" s="51" t="s">
        <v>687</v>
      </c>
      <c r="B128" s="28">
        <v>0</v>
      </c>
      <c r="C128" s="28">
        <v>282</v>
      </c>
      <c r="D128" s="28">
        <v>278</v>
      </c>
      <c r="E128" s="28">
        <v>12</v>
      </c>
      <c r="F128" s="28">
        <v>3340</v>
      </c>
      <c r="G128" s="29"/>
    </row>
    <row r="129" spans="1:7" ht="15.75">
      <c r="A129" s="51" t="s">
        <v>689</v>
      </c>
      <c r="B129" s="28">
        <v>0</v>
      </c>
      <c r="C129" s="28">
        <v>256</v>
      </c>
      <c r="D129" s="28">
        <v>260</v>
      </c>
      <c r="E129" s="28">
        <v>12</v>
      </c>
      <c r="F129" s="28">
        <v>3116</v>
      </c>
      <c r="G129" s="29"/>
    </row>
    <row r="130" spans="1:7" ht="15.75">
      <c r="A130" s="51" t="s">
        <v>695</v>
      </c>
      <c r="B130" s="28">
        <v>0</v>
      </c>
      <c r="C130" s="28">
        <v>302</v>
      </c>
      <c r="D130" s="28">
        <v>305</v>
      </c>
      <c r="E130" s="28">
        <v>12</v>
      </c>
      <c r="F130" s="28">
        <v>3657</v>
      </c>
      <c r="G130" s="29"/>
    </row>
    <row r="131" spans="1:7" ht="15.75">
      <c r="A131" s="51" t="s">
        <v>696</v>
      </c>
      <c r="B131" s="28">
        <v>0</v>
      </c>
      <c r="C131" s="28">
        <v>334</v>
      </c>
      <c r="D131" s="28">
        <v>331</v>
      </c>
      <c r="E131" s="28">
        <v>12</v>
      </c>
      <c r="F131" s="28">
        <v>3975</v>
      </c>
      <c r="G131" s="29"/>
    </row>
    <row r="132" spans="1:7" ht="15.75">
      <c r="A132" s="51" t="s">
        <v>702</v>
      </c>
      <c r="B132" s="28">
        <v>0</v>
      </c>
      <c r="C132" s="28">
        <v>354</v>
      </c>
      <c r="D132" s="28">
        <v>358</v>
      </c>
      <c r="E132" s="28">
        <v>12</v>
      </c>
      <c r="F132" s="28">
        <v>4292</v>
      </c>
      <c r="G132" s="29"/>
    </row>
    <row r="133" spans="1:7" ht="15.75">
      <c r="A133" s="51" t="s">
        <v>705</v>
      </c>
      <c r="B133" s="28">
        <v>0</v>
      </c>
      <c r="C133" s="28">
        <v>382</v>
      </c>
      <c r="D133" s="28">
        <v>386</v>
      </c>
      <c r="E133" s="28">
        <v>12</v>
      </c>
      <c r="F133" s="28">
        <v>4628</v>
      </c>
      <c r="G133" s="29"/>
    </row>
    <row r="134" spans="1:7" ht="15.75">
      <c r="A134" s="51" t="s">
        <v>707</v>
      </c>
      <c r="B134" s="28">
        <v>0</v>
      </c>
      <c r="C134" s="28">
        <v>76</v>
      </c>
      <c r="D134" s="28">
        <v>71</v>
      </c>
      <c r="E134" s="28">
        <v>12</v>
      </c>
      <c r="F134" s="28">
        <v>857</v>
      </c>
      <c r="G134" s="29"/>
    </row>
    <row r="135" spans="1:7" ht="15.75">
      <c r="A135" s="51" t="s">
        <v>715</v>
      </c>
      <c r="B135" s="28">
        <v>0</v>
      </c>
      <c r="C135" s="28">
        <v>284</v>
      </c>
      <c r="D135" s="28">
        <v>288</v>
      </c>
      <c r="E135" s="28">
        <v>12</v>
      </c>
      <c r="F135" s="28">
        <v>3452</v>
      </c>
      <c r="G135" s="29"/>
    </row>
    <row r="136" spans="1:7" ht="15.75">
      <c r="A136" s="51" t="s">
        <v>717</v>
      </c>
      <c r="B136" s="28">
        <v>0</v>
      </c>
      <c r="C136" s="28">
        <v>96</v>
      </c>
      <c r="D136" s="28">
        <v>93</v>
      </c>
      <c r="E136" s="28">
        <v>12</v>
      </c>
      <c r="F136" s="28">
        <v>1119</v>
      </c>
      <c r="G136" s="29"/>
    </row>
    <row r="137" spans="1:7" ht="15.75">
      <c r="A137" s="51" t="s">
        <v>724</v>
      </c>
      <c r="B137" s="28">
        <v>0</v>
      </c>
      <c r="C137" s="28">
        <v>74</v>
      </c>
      <c r="D137" s="28">
        <v>78</v>
      </c>
      <c r="E137" s="28">
        <v>12</v>
      </c>
      <c r="F137" s="28">
        <v>932</v>
      </c>
      <c r="G137" s="29"/>
    </row>
    <row r="138" spans="1:7" ht="15.75">
      <c r="A138" s="51" t="s">
        <v>725</v>
      </c>
      <c r="B138" s="28">
        <v>0</v>
      </c>
      <c r="C138" s="28">
        <v>90</v>
      </c>
      <c r="D138" s="28">
        <v>85</v>
      </c>
      <c r="E138" s="28">
        <v>12</v>
      </c>
      <c r="F138" s="28">
        <v>1025</v>
      </c>
      <c r="G138" s="29"/>
    </row>
    <row r="139" spans="1:7" ht="15.75">
      <c r="A139" s="51" t="s">
        <v>731</v>
      </c>
      <c r="B139" s="28">
        <v>0</v>
      </c>
      <c r="C139" s="28">
        <v>106</v>
      </c>
      <c r="D139" s="28">
        <v>109</v>
      </c>
      <c r="E139" s="28">
        <v>12</v>
      </c>
      <c r="F139" s="28">
        <v>1305</v>
      </c>
      <c r="G139" s="29"/>
    </row>
    <row r="140" spans="1:7" ht="15.75">
      <c r="A140" s="51" t="s">
        <v>734</v>
      </c>
      <c r="B140" s="28">
        <v>0</v>
      </c>
      <c r="C140" s="28">
        <v>656</v>
      </c>
      <c r="D140" s="28">
        <v>658</v>
      </c>
      <c r="E140" s="28">
        <v>12</v>
      </c>
      <c r="F140" s="28">
        <v>7894</v>
      </c>
      <c r="G140" s="29"/>
    </row>
    <row r="141" spans="1:7" ht="15.75">
      <c r="A141" s="51" t="s">
        <v>738</v>
      </c>
      <c r="B141" s="28">
        <v>0</v>
      </c>
      <c r="C141" s="28">
        <v>74</v>
      </c>
      <c r="D141" s="28">
        <v>78</v>
      </c>
      <c r="E141" s="28">
        <v>12</v>
      </c>
      <c r="F141" s="28">
        <v>932</v>
      </c>
      <c r="G141" s="29"/>
    </row>
    <row r="142" spans="1:7" ht="15.75">
      <c r="A142" s="51" t="s">
        <v>740</v>
      </c>
      <c r="B142" s="28">
        <v>0</v>
      </c>
      <c r="C142" s="28">
        <v>64</v>
      </c>
      <c r="D142" s="28">
        <v>62</v>
      </c>
      <c r="E142" s="28">
        <v>12</v>
      </c>
      <c r="F142" s="28">
        <v>746</v>
      </c>
      <c r="G142" s="29"/>
    </row>
    <row r="143" spans="1:7" ht="15.75">
      <c r="A143" s="51" t="s">
        <v>745</v>
      </c>
      <c r="B143" s="28">
        <v>0</v>
      </c>
      <c r="C143" s="28">
        <v>142</v>
      </c>
      <c r="D143" s="28">
        <v>138</v>
      </c>
      <c r="E143" s="28">
        <v>12</v>
      </c>
      <c r="F143" s="28">
        <v>1660</v>
      </c>
      <c r="G143" s="29"/>
    </row>
    <row r="144" spans="1:7" ht="15.75">
      <c r="A144" s="51" t="s">
        <v>746</v>
      </c>
      <c r="B144" s="28">
        <v>0</v>
      </c>
      <c r="C144" s="28">
        <v>212</v>
      </c>
      <c r="D144" s="28">
        <v>217</v>
      </c>
      <c r="E144" s="28">
        <v>12</v>
      </c>
      <c r="F144" s="28">
        <v>2599</v>
      </c>
      <c r="G144" s="29"/>
    </row>
    <row r="145" spans="1:7" ht="15.75">
      <c r="A145" s="51" t="s">
        <v>750</v>
      </c>
      <c r="B145" s="28">
        <v>0</v>
      </c>
      <c r="C145" s="28">
        <v>344</v>
      </c>
      <c r="D145" s="28">
        <v>347</v>
      </c>
      <c r="E145" s="28">
        <v>12</v>
      </c>
      <c r="F145" s="28">
        <v>4161</v>
      </c>
      <c r="G145" s="29"/>
    </row>
    <row r="146" spans="1:7" ht="15.75">
      <c r="A146" s="51" t="s">
        <v>751</v>
      </c>
      <c r="B146" s="28">
        <v>0</v>
      </c>
      <c r="C146" s="28">
        <v>26</v>
      </c>
      <c r="D146" s="28">
        <v>28</v>
      </c>
      <c r="E146" s="28">
        <v>12</v>
      </c>
      <c r="F146" s="28">
        <v>334</v>
      </c>
      <c r="G146" s="29"/>
    </row>
    <row r="147" spans="1:7" ht="15.75">
      <c r="A147" s="51" t="s">
        <v>758</v>
      </c>
      <c r="B147" s="28">
        <v>0</v>
      </c>
      <c r="C147" s="28">
        <v>54</v>
      </c>
      <c r="D147" s="28">
        <v>51</v>
      </c>
      <c r="E147" s="28">
        <v>12</v>
      </c>
      <c r="F147" s="28">
        <v>615</v>
      </c>
      <c r="G147" s="29"/>
    </row>
    <row r="148" spans="1:7" ht="15.75">
      <c r="A148" s="51" t="s">
        <v>759</v>
      </c>
      <c r="B148" s="28">
        <v>0</v>
      </c>
      <c r="C148" s="28">
        <v>160</v>
      </c>
      <c r="D148" s="28">
        <v>155</v>
      </c>
      <c r="E148" s="28">
        <v>12</v>
      </c>
      <c r="F148" s="28">
        <v>1865</v>
      </c>
      <c r="G148" s="29"/>
    </row>
    <row r="149" spans="1:7" ht="15.75">
      <c r="A149" s="51" t="s">
        <v>763</v>
      </c>
      <c r="B149" s="28">
        <v>0</v>
      </c>
      <c r="C149" s="28">
        <v>42</v>
      </c>
      <c r="D149" s="28">
        <v>47</v>
      </c>
      <c r="E149" s="28">
        <v>12</v>
      </c>
      <c r="F149" s="28">
        <v>559</v>
      </c>
      <c r="G149" s="29"/>
    </row>
    <row r="150" spans="1:7" ht="15.75">
      <c r="A150" s="51" t="s">
        <v>765</v>
      </c>
      <c r="B150" s="28">
        <v>0</v>
      </c>
      <c r="C150" s="28">
        <v>60</v>
      </c>
      <c r="D150" s="28">
        <v>59</v>
      </c>
      <c r="E150" s="28">
        <v>12</v>
      </c>
      <c r="F150" s="28">
        <v>709</v>
      </c>
      <c r="G150" s="29"/>
    </row>
    <row r="151" spans="1:7" ht="15.75">
      <c r="A151" s="51" t="s">
        <v>769</v>
      </c>
      <c r="B151" s="28">
        <v>0</v>
      </c>
      <c r="C151" s="28">
        <v>114</v>
      </c>
      <c r="D151" s="28">
        <v>110</v>
      </c>
      <c r="E151" s="28">
        <v>12</v>
      </c>
      <c r="F151" s="28">
        <v>1324</v>
      </c>
      <c r="G151" s="29"/>
    </row>
    <row r="152" spans="1:7" ht="15.75">
      <c r="A152" s="51" t="s">
        <v>772</v>
      </c>
      <c r="B152" s="28">
        <v>0</v>
      </c>
      <c r="C152" s="28">
        <v>74</v>
      </c>
      <c r="D152" s="28">
        <v>78</v>
      </c>
      <c r="E152" s="28">
        <v>12</v>
      </c>
      <c r="F152" s="28">
        <v>932</v>
      </c>
      <c r="G152" s="29"/>
    </row>
    <row r="153" spans="1:7" ht="15.75">
      <c r="A153" s="51" t="s">
        <v>773</v>
      </c>
      <c r="B153" s="28">
        <v>0</v>
      </c>
      <c r="C153" s="28">
        <v>204</v>
      </c>
      <c r="D153" s="28">
        <v>202</v>
      </c>
      <c r="E153" s="28">
        <v>12</v>
      </c>
      <c r="F153" s="28">
        <v>2426</v>
      </c>
      <c r="G153" s="29"/>
    </row>
    <row r="154" spans="1:7" ht="15.75">
      <c r="A154" s="51" t="s">
        <v>774</v>
      </c>
      <c r="B154" s="28">
        <v>0</v>
      </c>
      <c r="C154" s="28">
        <v>86</v>
      </c>
      <c r="D154" s="28">
        <v>82</v>
      </c>
      <c r="E154" s="28">
        <v>12</v>
      </c>
      <c r="F154" s="28">
        <v>988</v>
      </c>
      <c r="G154" s="29"/>
    </row>
    <row r="155" spans="1:7" ht="15.75">
      <c r="A155" s="51" t="s">
        <v>775</v>
      </c>
      <c r="B155" s="28">
        <v>0</v>
      </c>
      <c r="C155" s="28">
        <v>44</v>
      </c>
      <c r="D155" s="28">
        <v>40</v>
      </c>
      <c r="E155" s="28">
        <v>12</v>
      </c>
      <c r="F155" s="28">
        <v>484</v>
      </c>
      <c r="G155" s="29"/>
    </row>
    <row r="156" spans="1:7" ht="15.75">
      <c r="A156" s="51" t="s">
        <v>776</v>
      </c>
      <c r="B156" s="28">
        <v>0</v>
      </c>
      <c r="C156" s="28">
        <v>54</v>
      </c>
      <c r="D156" s="28">
        <v>51</v>
      </c>
      <c r="E156" s="28">
        <v>12</v>
      </c>
      <c r="F156" s="28">
        <v>615</v>
      </c>
      <c r="G156" s="29"/>
    </row>
    <row r="157" spans="1:7" ht="15.75">
      <c r="A157" s="51" t="s">
        <v>777</v>
      </c>
      <c r="B157" s="28">
        <v>0</v>
      </c>
      <c r="C157" s="28">
        <v>222</v>
      </c>
      <c r="D157" s="28">
        <v>219</v>
      </c>
      <c r="E157" s="28">
        <v>12</v>
      </c>
      <c r="F157" s="28">
        <v>2631</v>
      </c>
      <c r="G157" s="29"/>
    </row>
    <row r="158" spans="1:7" ht="15.75">
      <c r="A158" s="51" t="s">
        <v>778</v>
      </c>
      <c r="B158" s="28">
        <v>0</v>
      </c>
      <c r="C158" s="28">
        <v>510</v>
      </c>
      <c r="D158" s="28">
        <v>505</v>
      </c>
      <c r="E158" s="28">
        <v>12</v>
      </c>
      <c r="F158" s="28">
        <v>6065</v>
      </c>
      <c r="G158" s="29"/>
    </row>
    <row r="159" spans="1:7" ht="15.75">
      <c r="A159" s="51" t="s">
        <v>779</v>
      </c>
      <c r="B159" s="28">
        <v>0</v>
      </c>
      <c r="C159" s="28">
        <v>342</v>
      </c>
      <c r="D159" s="28">
        <v>337</v>
      </c>
      <c r="E159" s="28">
        <v>12</v>
      </c>
      <c r="F159" s="28">
        <v>4049</v>
      </c>
      <c r="G159" s="29"/>
    </row>
    <row r="160" spans="1:7" ht="15.75">
      <c r="A160" s="51" t="s">
        <v>780</v>
      </c>
      <c r="B160" s="28">
        <v>0</v>
      </c>
      <c r="C160" s="28">
        <v>58</v>
      </c>
      <c r="D160" s="28">
        <v>54</v>
      </c>
      <c r="E160" s="28">
        <v>12</v>
      </c>
      <c r="F160" s="28">
        <v>652</v>
      </c>
      <c r="G160" s="29"/>
    </row>
    <row r="161" spans="1:7" ht="15.75">
      <c r="A161" s="51" t="s">
        <v>781</v>
      </c>
      <c r="B161" s="28">
        <v>0</v>
      </c>
      <c r="C161" s="28">
        <v>548</v>
      </c>
      <c r="D161" s="28">
        <v>544</v>
      </c>
      <c r="E161" s="28">
        <v>12</v>
      </c>
      <c r="F161" s="28">
        <v>6532</v>
      </c>
      <c r="G161" s="29"/>
    </row>
    <row r="162" spans="1:7" ht="15.75">
      <c r="A162" s="51" t="s">
        <v>782</v>
      </c>
      <c r="B162" s="28">
        <v>0</v>
      </c>
      <c r="C162" s="28">
        <v>462</v>
      </c>
      <c r="D162" s="28">
        <v>467</v>
      </c>
      <c r="E162" s="28">
        <v>12</v>
      </c>
      <c r="F162" s="28">
        <v>5599</v>
      </c>
      <c r="G162" s="29"/>
    </row>
    <row r="163" spans="1:7" ht="15.75">
      <c r="A163" s="51" t="s">
        <v>783</v>
      </c>
      <c r="B163" s="28">
        <v>0</v>
      </c>
      <c r="C163" s="28">
        <v>152</v>
      </c>
      <c r="D163" s="28">
        <v>149</v>
      </c>
      <c r="E163" s="28">
        <v>12</v>
      </c>
      <c r="F163" s="28">
        <v>1791</v>
      </c>
      <c r="G163" s="29"/>
    </row>
    <row r="164" spans="1:7" ht="15.75">
      <c r="A164" s="51" t="s">
        <v>784</v>
      </c>
      <c r="B164" s="28">
        <v>0</v>
      </c>
      <c r="C164" s="28">
        <v>164</v>
      </c>
      <c r="D164" s="28">
        <v>163</v>
      </c>
      <c r="E164" s="28">
        <v>12</v>
      </c>
      <c r="F164" s="28">
        <v>1957</v>
      </c>
      <c r="G164" s="29"/>
    </row>
    <row r="165" spans="1:7" ht="15.75">
      <c r="A165" s="51" t="s">
        <v>785</v>
      </c>
      <c r="B165" s="28">
        <v>0</v>
      </c>
      <c r="C165" s="28">
        <v>48</v>
      </c>
      <c r="D165" s="28">
        <v>43</v>
      </c>
      <c r="E165" s="28">
        <v>12</v>
      </c>
      <c r="F165" s="28">
        <v>521</v>
      </c>
      <c r="G165" s="29"/>
    </row>
    <row r="166" spans="1:7" ht="15.75">
      <c r="A166" s="51" t="s">
        <v>786</v>
      </c>
      <c r="B166" s="28">
        <v>0</v>
      </c>
      <c r="C166" s="28">
        <v>42</v>
      </c>
      <c r="D166" s="28">
        <v>47</v>
      </c>
      <c r="E166" s="28">
        <v>12</v>
      </c>
      <c r="F166" s="28">
        <v>559</v>
      </c>
      <c r="G166" s="29"/>
    </row>
    <row r="167" spans="1:7" ht="15.75">
      <c r="A167" s="51" t="s">
        <v>787</v>
      </c>
      <c r="B167" s="28">
        <v>0</v>
      </c>
      <c r="C167" s="28">
        <v>200</v>
      </c>
      <c r="D167" s="28">
        <v>199</v>
      </c>
      <c r="E167" s="28">
        <v>12</v>
      </c>
      <c r="F167" s="28">
        <v>2389</v>
      </c>
      <c r="G167" s="29"/>
    </row>
    <row r="168" spans="1:7" ht="15.75">
      <c r="A168" s="51" t="s">
        <v>788</v>
      </c>
      <c r="B168" s="28">
        <v>0</v>
      </c>
      <c r="C168" s="28">
        <v>74</v>
      </c>
      <c r="D168" s="28">
        <v>78</v>
      </c>
      <c r="E168" s="28">
        <v>12</v>
      </c>
      <c r="F168" s="28">
        <v>932</v>
      </c>
      <c r="G168" s="29"/>
    </row>
    <row r="169" spans="1:7" ht="15.75">
      <c r="A169" s="51" t="s">
        <v>789</v>
      </c>
      <c r="B169" s="28">
        <v>0</v>
      </c>
      <c r="C169" s="28">
        <v>128</v>
      </c>
      <c r="D169" s="28">
        <v>124</v>
      </c>
      <c r="E169" s="28">
        <v>12</v>
      </c>
      <c r="F169" s="28">
        <v>1492</v>
      </c>
      <c r="G169" s="29"/>
    </row>
    <row r="170" spans="1:7" ht="15.75">
      <c r="A170" s="51" t="s">
        <v>790</v>
      </c>
      <c r="B170" s="28">
        <v>0</v>
      </c>
      <c r="C170" s="28">
        <v>74</v>
      </c>
      <c r="D170" s="28">
        <v>78</v>
      </c>
      <c r="E170" s="28">
        <v>12</v>
      </c>
      <c r="F170" s="28">
        <v>932</v>
      </c>
      <c r="G170" s="29"/>
    </row>
    <row r="171" spans="1:7" ht="15.75">
      <c r="A171" s="51" t="s">
        <v>791</v>
      </c>
      <c r="B171" s="28">
        <v>0</v>
      </c>
      <c r="C171" s="28">
        <v>138</v>
      </c>
      <c r="D171" s="28">
        <v>140</v>
      </c>
      <c r="E171" s="28">
        <v>12</v>
      </c>
      <c r="F171" s="28">
        <v>1678</v>
      </c>
      <c r="G171" s="29"/>
    </row>
    <row r="172" spans="1:7" ht="15.75">
      <c r="A172" s="51" t="s">
        <v>792</v>
      </c>
      <c r="B172" s="28">
        <v>0</v>
      </c>
      <c r="C172" s="28">
        <v>74</v>
      </c>
      <c r="D172" s="28">
        <v>78</v>
      </c>
      <c r="E172" s="28">
        <v>12</v>
      </c>
      <c r="F172" s="28">
        <v>932</v>
      </c>
      <c r="G172" s="29"/>
    </row>
    <row r="173" spans="1:7" ht="15.75">
      <c r="A173" s="51" t="s">
        <v>793</v>
      </c>
      <c r="B173" s="28">
        <v>0</v>
      </c>
      <c r="C173" s="28">
        <v>182</v>
      </c>
      <c r="D173" s="28">
        <v>187</v>
      </c>
      <c r="E173" s="28">
        <v>12</v>
      </c>
      <c r="F173" s="28">
        <v>2239</v>
      </c>
      <c r="G173" s="29"/>
    </row>
    <row r="174" spans="1:7" ht="15.75">
      <c r="A174" s="51" t="s">
        <v>794</v>
      </c>
      <c r="B174" s="28">
        <v>0</v>
      </c>
      <c r="C174" s="28">
        <v>474</v>
      </c>
      <c r="D174" s="28">
        <v>471</v>
      </c>
      <c r="E174" s="28">
        <v>12</v>
      </c>
      <c r="F174" s="28">
        <v>5655</v>
      </c>
      <c r="G174" s="29"/>
    </row>
    <row r="175" spans="1:7" ht="15.75">
      <c r="A175" s="51" t="s">
        <v>795</v>
      </c>
      <c r="B175" s="28">
        <v>0</v>
      </c>
      <c r="C175" s="28">
        <v>154</v>
      </c>
      <c r="D175" s="28">
        <v>159</v>
      </c>
      <c r="E175" s="28">
        <v>12</v>
      </c>
      <c r="F175" s="28">
        <v>1903</v>
      </c>
      <c r="G175" s="29"/>
    </row>
    <row r="176" spans="1:7" ht="15.75">
      <c r="A176" s="51" t="s">
        <v>796</v>
      </c>
      <c r="B176" s="28">
        <v>0</v>
      </c>
      <c r="C176" s="28">
        <v>160</v>
      </c>
      <c r="D176" s="28">
        <v>155</v>
      </c>
      <c r="E176" s="28">
        <v>12</v>
      </c>
      <c r="F176" s="28">
        <v>1865</v>
      </c>
      <c r="G176" s="29"/>
    </row>
    <row r="177" spans="1:7" ht="15.75">
      <c r="A177" s="51" t="s">
        <v>800</v>
      </c>
      <c r="B177" s="28">
        <v>0</v>
      </c>
      <c r="C177" s="28">
        <v>484</v>
      </c>
      <c r="D177" s="28">
        <v>482</v>
      </c>
      <c r="E177" s="28">
        <v>12</v>
      </c>
      <c r="F177" s="28">
        <v>5786</v>
      </c>
      <c r="G177" s="29"/>
    </row>
    <row r="178" spans="1:7" ht="15.75">
      <c r="A178" s="51" t="s">
        <v>801</v>
      </c>
      <c r="B178" s="28">
        <v>0</v>
      </c>
      <c r="C178" s="28">
        <v>104</v>
      </c>
      <c r="D178" s="28">
        <v>99</v>
      </c>
      <c r="E178" s="28">
        <v>12</v>
      </c>
      <c r="F178" s="28">
        <v>1193</v>
      </c>
      <c r="G178" s="29"/>
    </row>
    <row r="179" spans="1:7" ht="15.75">
      <c r="A179" s="51" t="s">
        <v>802</v>
      </c>
      <c r="B179" s="28">
        <v>0</v>
      </c>
      <c r="C179" s="28">
        <v>50</v>
      </c>
      <c r="D179" s="28">
        <v>53</v>
      </c>
      <c r="E179" s="28">
        <v>12</v>
      </c>
      <c r="F179" s="28">
        <v>633</v>
      </c>
      <c r="G179" s="29"/>
    </row>
    <row r="180" spans="1:7" ht="15.75">
      <c r="A180" s="51" t="s">
        <v>803</v>
      </c>
      <c r="B180" s="28">
        <v>0</v>
      </c>
      <c r="C180" s="28">
        <v>78</v>
      </c>
      <c r="D180" s="28">
        <v>81</v>
      </c>
      <c r="E180" s="28">
        <v>12</v>
      </c>
      <c r="F180" s="28">
        <v>969</v>
      </c>
      <c r="G180" s="29"/>
    </row>
    <row r="181" spans="1:7" ht="15.75">
      <c r="A181" s="51" t="s">
        <v>804</v>
      </c>
      <c r="B181" s="28">
        <v>0</v>
      </c>
      <c r="C181" s="28">
        <v>40</v>
      </c>
      <c r="D181" s="28">
        <v>42</v>
      </c>
      <c r="E181" s="28">
        <v>12</v>
      </c>
      <c r="F181" s="28">
        <v>502</v>
      </c>
      <c r="G181" s="29"/>
    </row>
    <row r="182" spans="1:7" ht="15.75">
      <c r="A182" s="51" t="s">
        <v>805</v>
      </c>
      <c r="B182" s="28">
        <v>0</v>
      </c>
      <c r="C182" s="28">
        <v>96</v>
      </c>
      <c r="D182" s="28">
        <v>93</v>
      </c>
      <c r="E182" s="28">
        <v>12</v>
      </c>
      <c r="F182" s="28">
        <v>1119</v>
      </c>
      <c r="G182" s="29"/>
    </row>
    <row r="183" spans="1:7" ht="15.75">
      <c r="A183" s="51" t="s">
        <v>806</v>
      </c>
      <c r="B183" s="28">
        <v>0</v>
      </c>
      <c r="C183" s="28">
        <v>32</v>
      </c>
      <c r="D183" s="28">
        <v>36</v>
      </c>
      <c r="E183" s="28">
        <v>12</v>
      </c>
      <c r="F183" s="28">
        <v>428</v>
      </c>
      <c r="G183" s="29"/>
    </row>
    <row r="184" spans="1:7" ht="15.75">
      <c r="A184" s="51" t="s">
        <v>807</v>
      </c>
      <c r="B184" s="28">
        <v>0</v>
      </c>
      <c r="C184" s="28">
        <v>50</v>
      </c>
      <c r="D184" s="28">
        <v>53</v>
      </c>
      <c r="E184" s="28">
        <v>12</v>
      </c>
      <c r="F184" s="28">
        <v>633</v>
      </c>
      <c r="G184" s="29"/>
    </row>
    <row r="185" spans="1:7" ht="15.75">
      <c r="A185" s="51" t="s">
        <v>808</v>
      </c>
      <c r="B185" s="28">
        <v>0</v>
      </c>
      <c r="C185" s="28">
        <v>338</v>
      </c>
      <c r="D185" s="28">
        <v>334</v>
      </c>
      <c r="E185" s="28">
        <v>12</v>
      </c>
      <c r="F185" s="28">
        <v>4012</v>
      </c>
      <c r="G185" s="29"/>
    </row>
    <row r="186" spans="1:7" ht="15.75">
      <c r="A186" s="51" t="s">
        <v>809</v>
      </c>
      <c r="B186" s="28">
        <v>0</v>
      </c>
      <c r="C186" s="28">
        <v>347</v>
      </c>
      <c r="D186" s="28">
        <v>350</v>
      </c>
      <c r="E186" s="28">
        <v>12</v>
      </c>
      <c r="F186" s="28">
        <v>4197</v>
      </c>
      <c r="G186" s="29"/>
    </row>
    <row r="187" spans="1:7" ht="15.75">
      <c r="A187" s="51" t="s">
        <v>810</v>
      </c>
      <c r="B187" s="28">
        <v>0</v>
      </c>
      <c r="C187" s="28">
        <v>84</v>
      </c>
      <c r="D187" s="28">
        <v>89</v>
      </c>
      <c r="E187" s="28">
        <v>12</v>
      </c>
      <c r="F187" s="28">
        <v>1063</v>
      </c>
      <c r="G187" s="29"/>
    </row>
    <row r="188" spans="1:7" ht="15.75">
      <c r="A188" s="51" t="s">
        <v>811</v>
      </c>
      <c r="B188" s="28">
        <v>0</v>
      </c>
      <c r="C188" s="28">
        <v>58</v>
      </c>
      <c r="D188" s="28">
        <v>54</v>
      </c>
      <c r="E188" s="28">
        <v>12</v>
      </c>
      <c r="F188" s="28">
        <v>652</v>
      </c>
      <c r="G188" s="29"/>
    </row>
    <row r="189" spans="1:7" ht="15.75">
      <c r="A189" s="51" t="s">
        <v>812</v>
      </c>
      <c r="B189" s="28">
        <v>0</v>
      </c>
      <c r="C189" s="28">
        <v>92</v>
      </c>
      <c r="D189" s="28">
        <v>95</v>
      </c>
      <c r="E189" s="28">
        <v>12</v>
      </c>
      <c r="F189" s="28">
        <v>1137</v>
      </c>
      <c r="G189" s="29"/>
    </row>
    <row r="190" spans="1:7" ht="15.75">
      <c r="A190" s="51" t="s">
        <v>813</v>
      </c>
      <c r="B190" s="28">
        <v>0</v>
      </c>
      <c r="C190" s="28">
        <v>414</v>
      </c>
      <c r="D190" s="28">
        <v>412</v>
      </c>
      <c r="E190" s="28">
        <v>12</v>
      </c>
      <c r="F190" s="28">
        <v>4946</v>
      </c>
      <c r="G190" s="29"/>
    </row>
    <row r="191" spans="1:7" ht="15.75">
      <c r="A191" s="51" t="s">
        <v>814</v>
      </c>
      <c r="B191" s="28">
        <v>0</v>
      </c>
      <c r="C191" s="28">
        <v>423</v>
      </c>
      <c r="D191" s="28">
        <v>428</v>
      </c>
      <c r="E191" s="28">
        <v>12</v>
      </c>
      <c r="F191" s="28">
        <v>5131</v>
      </c>
      <c r="G191" s="29"/>
    </row>
    <row r="192" spans="1:7" ht="15.75">
      <c r="A192" s="51" t="s">
        <v>815</v>
      </c>
      <c r="B192" s="28">
        <v>0</v>
      </c>
      <c r="C192" s="28">
        <v>364</v>
      </c>
      <c r="D192" s="28">
        <v>369</v>
      </c>
      <c r="E192" s="28">
        <v>12</v>
      </c>
      <c r="F192" s="28">
        <v>4423</v>
      </c>
      <c r="G192" s="29"/>
    </row>
    <row r="193" spans="1:7" ht="15.75">
      <c r="A193" s="51" t="s">
        <v>816</v>
      </c>
      <c r="B193" s="28">
        <v>0</v>
      </c>
      <c r="C193" s="28">
        <v>384</v>
      </c>
      <c r="D193" s="28">
        <v>384</v>
      </c>
      <c r="E193" s="28">
        <v>12</v>
      </c>
      <c r="F193" s="28">
        <v>4608</v>
      </c>
      <c r="G193" s="29"/>
    </row>
    <row r="194" spans="1:7" ht="15.75">
      <c r="A194" s="51" t="s">
        <v>817</v>
      </c>
      <c r="B194" s="28">
        <v>0</v>
      </c>
      <c r="C194" s="28">
        <v>132</v>
      </c>
      <c r="D194" s="28">
        <v>127</v>
      </c>
      <c r="E194" s="28">
        <v>12</v>
      </c>
      <c r="F194" s="28">
        <v>1529</v>
      </c>
      <c r="G194" s="29"/>
    </row>
    <row r="195" spans="1:7" ht="15.75">
      <c r="A195" s="51" t="s">
        <v>818</v>
      </c>
      <c r="B195" s="28">
        <v>0</v>
      </c>
      <c r="C195" s="28">
        <v>462</v>
      </c>
      <c r="D195" s="28">
        <v>467</v>
      </c>
      <c r="E195" s="28">
        <v>12</v>
      </c>
      <c r="F195" s="28">
        <v>5599</v>
      </c>
      <c r="G195" s="29"/>
    </row>
    <row r="196" spans="1:7" ht="15.75">
      <c r="A196" s="51" t="s">
        <v>819</v>
      </c>
      <c r="B196" s="28">
        <v>0</v>
      </c>
      <c r="C196" s="28">
        <v>54</v>
      </c>
      <c r="D196" s="28">
        <v>56</v>
      </c>
      <c r="E196" s="28">
        <v>12</v>
      </c>
      <c r="F196" s="28">
        <v>670</v>
      </c>
      <c r="G196" s="29"/>
    </row>
    <row r="197" spans="1:7" ht="15.75">
      <c r="A197" s="51" t="s">
        <v>820</v>
      </c>
      <c r="B197" s="28">
        <v>0</v>
      </c>
      <c r="C197" s="28">
        <v>48</v>
      </c>
      <c r="D197" s="28">
        <v>43</v>
      </c>
      <c r="E197" s="28">
        <v>12</v>
      </c>
      <c r="F197" s="28">
        <v>521</v>
      </c>
      <c r="G197" s="29"/>
    </row>
    <row r="198" spans="1:7" ht="15.75">
      <c r="A198" s="51" t="s">
        <v>821</v>
      </c>
      <c r="B198" s="28">
        <v>0</v>
      </c>
      <c r="C198" s="28">
        <v>60</v>
      </c>
      <c r="D198" s="28">
        <v>59</v>
      </c>
      <c r="E198" s="28">
        <v>12</v>
      </c>
      <c r="F198" s="28">
        <v>709</v>
      </c>
      <c r="G198" s="29"/>
    </row>
    <row r="199" spans="1:7" ht="15.75">
      <c r="A199" s="51" t="s">
        <v>822</v>
      </c>
      <c r="B199" s="28">
        <v>0</v>
      </c>
      <c r="C199" s="28">
        <v>74</v>
      </c>
      <c r="D199" s="28">
        <v>78</v>
      </c>
      <c r="E199" s="28">
        <v>12</v>
      </c>
      <c r="F199" s="28">
        <v>932</v>
      </c>
      <c r="G199" s="29"/>
    </row>
    <row r="200" spans="1:7" ht="15.75">
      <c r="A200" s="51" t="s">
        <v>823</v>
      </c>
      <c r="B200" s="28">
        <v>0</v>
      </c>
      <c r="C200" s="28">
        <v>60</v>
      </c>
      <c r="D200" s="28">
        <v>64</v>
      </c>
      <c r="E200" s="28">
        <v>12</v>
      </c>
      <c r="F200" s="28">
        <v>764</v>
      </c>
      <c r="G200" s="29"/>
    </row>
    <row r="201" spans="1:7" ht="15.75">
      <c r="A201" s="51" t="s">
        <v>824</v>
      </c>
      <c r="B201" s="28">
        <v>0</v>
      </c>
      <c r="C201" s="28">
        <v>102</v>
      </c>
      <c r="D201" s="28">
        <v>106</v>
      </c>
      <c r="E201" s="28">
        <v>12</v>
      </c>
      <c r="F201" s="28">
        <v>1268</v>
      </c>
      <c r="G201" s="29"/>
    </row>
    <row r="202" spans="1:7" ht="15.75">
      <c r="A202" s="51" t="s">
        <v>825</v>
      </c>
      <c r="B202" s="28">
        <v>0</v>
      </c>
      <c r="C202" s="28">
        <v>64</v>
      </c>
      <c r="D202" s="28">
        <v>62</v>
      </c>
      <c r="E202" s="28">
        <v>12</v>
      </c>
      <c r="F202" s="28">
        <v>746</v>
      </c>
      <c r="G202" s="29"/>
    </row>
    <row r="203" spans="1:7" ht="15.75">
      <c r="A203" s="51" t="s">
        <v>826</v>
      </c>
      <c r="B203" s="28">
        <v>0</v>
      </c>
      <c r="C203" s="28">
        <v>367</v>
      </c>
      <c r="D203" s="28">
        <v>372</v>
      </c>
      <c r="E203" s="28">
        <v>12</v>
      </c>
      <c r="F203" s="28">
        <v>4459</v>
      </c>
      <c r="G203" s="29"/>
    </row>
    <row r="204" spans="1:7" ht="15.75">
      <c r="A204" s="51" t="s">
        <v>827</v>
      </c>
      <c r="B204" s="28">
        <v>0</v>
      </c>
      <c r="C204" s="28">
        <v>386</v>
      </c>
      <c r="D204" s="28">
        <v>389</v>
      </c>
      <c r="E204" s="28">
        <v>12</v>
      </c>
      <c r="F204" s="28">
        <v>4665</v>
      </c>
      <c r="G204" s="29"/>
    </row>
    <row r="205" spans="1:7" ht="15.75">
      <c r="A205" s="51" t="s">
        <v>828</v>
      </c>
      <c r="B205" s="28">
        <v>0</v>
      </c>
      <c r="C205" s="28">
        <v>462</v>
      </c>
      <c r="D205" s="28">
        <v>467</v>
      </c>
      <c r="E205" s="28">
        <v>12</v>
      </c>
      <c r="F205" s="28">
        <v>5599</v>
      </c>
      <c r="G205" s="29"/>
    </row>
    <row r="206" spans="1:7" ht="15.75">
      <c r="A206" s="51" t="s">
        <v>829</v>
      </c>
      <c r="B206" s="28">
        <v>0</v>
      </c>
      <c r="C206" s="28">
        <v>466</v>
      </c>
      <c r="D206" s="28">
        <v>470</v>
      </c>
      <c r="E206" s="28">
        <v>12</v>
      </c>
      <c r="F206" s="28">
        <v>5636</v>
      </c>
      <c r="G206" s="29"/>
    </row>
    <row r="207" spans="1:7" ht="15.75">
      <c r="A207" s="51" t="s">
        <v>830</v>
      </c>
      <c r="B207" s="28">
        <v>0</v>
      </c>
      <c r="C207" s="28">
        <v>470</v>
      </c>
      <c r="D207" s="28">
        <v>468</v>
      </c>
      <c r="E207" s="28">
        <v>12</v>
      </c>
      <c r="F207" s="28">
        <v>5618</v>
      </c>
      <c r="G207" s="29"/>
    </row>
    <row r="208" spans="1:7" ht="15.75">
      <c r="A208" s="51" t="s">
        <v>831</v>
      </c>
      <c r="B208" s="28">
        <v>0</v>
      </c>
      <c r="C208" s="28">
        <v>470</v>
      </c>
      <c r="D208" s="28">
        <v>473</v>
      </c>
      <c r="E208" s="28">
        <v>12</v>
      </c>
      <c r="F208" s="28">
        <v>5673</v>
      </c>
      <c r="G208" s="29"/>
    </row>
    <row r="209" spans="1:7" ht="15.75">
      <c r="A209" s="51" t="s">
        <v>832</v>
      </c>
      <c r="B209" s="28">
        <v>0</v>
      </c>
      <c r="C209" s="28">
        <v>476</v>
      </c>
      <c r="D209" s="28">
        <v>481</v>
      </c>
      <c r="E209" s="28">
        <v>12</v>
      </c>
      <c r="F209" s="28">
        <v>5767</v>
      </c>
      <c r="G209" s="29"/>
    </row>
    <row r="210" spans="1:7" ht="15.75">
      <c r="A210" s="51" t="s">
        <v>833</v>
      </c>
      <c r="B210" s="28">
        <v>0</v>
      </c>
      <c r="C210" s="28">
        <v>522</v>
      </c>
      <c r="D210" s="28">
        <v>521</v>
      </c>
      <c r="E210" s="28">
        <v>12</v>
      </c>
      <c r="F210" s="28">
        <v>6253</v>
      </c>
      <c r="G210" s="29"/>
    </row>
    <row r="211" spans="1:7" ht="15.75">
      <c r="A211" s="51" t="s">
        <v>834</v>
      </c>
      <c r="B211" s="28">
        <v>0</v>
      </c>
      <c r="C211" s="28">
        <v>886</v>
      </c>
      <c r="D211" s="28">
        <v>885</v>
      </c>
      <c r="E211" s="28">
        <v>12</v>
      </c>
      <c r="F211" s="28">
        <v>10621</v>
      </c>
      <c r="G211" s="29"/>
    </row>
    <row r="212" spans="1:7" ht="15.75">
      <c r="A212" s="51" t="s">
        <v>836</v>
      </c>
      <c r="B212" s="28">
        <v>0</v>
      </c>
      <c r="C212" s="28">
        <v>302</v>
      </c>
      <c r="D212" s="28">
        <v>300</v>
      </c>
      <c r="E212" s="28">
        <v>12</v>
      </c>
      <c r="F212" s="28">
        <v>3602</v>
      </c>
      <c r="G212" s="29"/>
    </row>
    <row r="213" spans="1:7" ht="15.75">
      <c r="A213" s="51" t="s">
        <v>837</v>
      </c>
      <c r="B213" s="28">
        <v>0</v>
      </c>
      <c r="C213" s="28">
        <v>160</v>
      </c>
      <c r="D213" s="28">
        <v>155</v>
      </c>
      <c r="E213" s="28">
        <v>12</v>
      </c>
      <c r="F213" s="28">
        <v>1865</v>
      </c>
      <c r="G213" s="29"/>
    </row>
    <row r="214" spans="1:7" ht="15.75">
      <c r="A214" s="51" t="s">
        <v>838</v>
      </c>
      <c r="B214" s="28">
        <v>0</v>
      </c>
      <c r="C214" s="28">
        <v>602</v>
      </c>
      <c r="D214" s="28">
        <v>607</v>
      </c>
      <c r="E214" s="28">
        <v>12</v>
      </c>
      <c r="F214" s="28">
        <v>7279</v>
      </c>
      <c r="G214" s="29"/>
    </row>
    <row r="215" spans="1:7" ht="15.75">
      <c r="A215" s="51" t="s">
        <v>293</v>
      </c>
      <c r="B215" s="28">
        <v>0</v>
      </c>
      <c r="C215" s="28">
        <v>168</v>
      </c>
      <c r="D215" s="28">
        <v>173</v>
      </c>
      <c r="E215" s="28">
        <v>12</v>
      </c>
      <c r="F215" s="28">
        <v>2071</v>
      </c>
      <c r="G215" s="29"/>
    </row>
    <row r="216" spans="1:7" ht="15.75">
      <c r="A216" s="51" t="s">
        <v>839</v>
      </c>
      <c r="B216" s="28">
        <v>0</v>
      </c>
      <c r="C216" s="28">
        <v>90</v>
      </c>
      <c r="D216" s="28">
        <v>85</v>
      </c>
      <c r="E216" s="28">
        <v>12</v>
      </c>
      <c r="F216" s="28">
        <v>1025</v>
      </c>
      <c r="G216" s="29"/>
    </row>
    <row r="217" spans="1:7" ht="15.75">
      <c r="A217" s="51" t="s">
        <v>840</v>
      </c>
      <c r="B217" s="28">
        <v>0</v>
      </c>
      <c r="C217" s="28">
        <v>56</v>
      </c>
      <c r="D217" s="28">
        <v>61</v>
      </c>
      <c r="E217" s="28">
        <v>12</v>
      </c>
      <c r="F217" s="28">
        <v>727</v>
      </c>
      <c r="G217" s="29"/>
    </row>
    <row r="218" spans="1:7" ht="15.75">
      <c r="A218" s="51" t="s">
        <v>841</v>
      </c>
      <c r="B218" s="28">
        <v>0</v>
      </c>
      <c r="C218" s="28">
        <v>22</v>
      </c>
      <c r="D218" s="28">
        <v>20</v>
      </c>
      <c r="E218" s="28">
        <v>12</v>
      </c>
      <c r="F218" s="28">
        <v>242</v>
      </c>
      <c r="G218" s="29"/>
    </row>
    <row r="219" spans="1:7" ht="15.75">
      <c r="A219" s="51" t="s">
        <v>842</v>
      </c>
      <c r="B219" s="28">
        <v>0</v>
      </c>
      <c r="C219" s="28">
        <v>162</v>
      </c>
      <c r="D219" s="28">
        <v>165</v>
      </c>
      <c r="E219" s="28">
        <v>12</v>
      </c>
      <c r="F219" s="28">
        <v>1977</v>
      </c>
      <c r="G219" s="29"/>
    </row>
    <row r="220" spans="1:7" ht="15.75">
      <c r="A220" s="51" t="s">
        <v>843</v>
      </c>
      <c r="B220" s="28">
        <v>0</v>
      </c>
      <c r="C220" s="28">
        <v>106</v>
      </c>
      <c r="D220" s="28">
        <v>109</v>
      </c>
      <c r="E220" s="28">
        <v>12</v>
      </c>
      <c r="F220" s="28">
        <v>1305</v>
      </c>
      <c r="G220" s="29"/>
    </row>
    <row r="221" spans="1:7" ht="15.75">
      <c r="A221" s="51" t="s">
        <v>844</v>
      </c>
      <c r="B221" s="28">
        <v>0</v>
      </c>
      <c r="C221" s="28">
        <v>106</v>
      </c>
      <c r="D221" s="28">
        <v>109</v>
      </c>
      <c r="E221" s="28">
        <v>12</v>
      </c>
      <c r="F221" s="28">
        <v>1305</v>
      </c>
      <c r="G221" s="29"/>
    </row>
    <row r="222" spans="1:7" ht="15.75">
      <c r="A222" s="51" t="s">
        <v>845</v>
      </c>
      <c r="B222" s="28">
        <v>0</v>
      </c>
      <c r="C222" s="28">
        <v>106</v>
      </c>
      <c r="D222" s="28">
        <v>109</v>
      </c>
      <c r="E222" s="28">
        <v>12</v>
      </c>
      <c r="F222" s="28">
        <v>1305</v>
      </c>
      <c r="G222" s="29"/>
    </row>
    <row r="223" spans="1:7" ht="15.75">
      <c r="A223" s="51" t="s">
        <v>846</v>
      </c>
      <c r="B223" s="28">
        <v>0</v>
      </c>
      <c r="C223" s="28">
        <v>408</v>
      </c>
      <c r="D223" s="28">
        <v>404</v>
      </c>
      <c r="E223" s="28">
        <v>12</v>
      </c>
      <c r="F223" s="28">
        <v>4852</v>
      </c>
      <c r="G223" s="29"/>
    </row>
    <row r="224" spans="1:7" ht="15.75">
      <c r="A224" s="51" t="s">
        <v>847</v>
      </c>
      <c r="B224" s="28">
        <v>0</v>
      </c>
      <c r="C224" s="28">
        <v>228</v>
      </c>
      <c r="D224" s="28">
        <v>227</v>
      </c>
      <c r="E224" s="28">
        <v>12</v>
      </c>
      <c r="F224" s="28">
        <v>2725</v>
      </c>
      <c r="G224" s="29"/>
    </row>
    <row r="225" spans="1:7" ht="15.75">
      <c r="A225" s="51" t="s">
        <v>848</v>
      </c>
      <c r="B225" s="28">
        <v>0</v>
      </c>
      <c r="C225" s="28">
        <v>76</v>
      </c>
      <c r="D225" s="28">
        <v>71</v>
      </c>
      <c r="E225" s="28">
        <v>12</v>
      </c>
      <c r="F225" s="28">
        <v>857</v>
      </c>
      <c r="G225" s="29"/>
    </row>
    <row r="226" spans="1:7" ht="15.75">
      <c r="A226" s="51" t="s">
        <v>849</v>
      </c>
      <c r="B226" s="28">
        <v>0</v>
      </c>
      <c r="C226" s="28">
        <v>54</v>
      </c>
      <c r="D226" s="28">
        <v>56</v>
      </c>
      <c r="E226" s="28">
        <v>12</v>
      </c>
      <c r="F226" s="28">
        <v>670</v>
      </c>
      <c r="G226" s="29"/>
    </row>
    <row r="227" spans="1:7" ht="15.75">
      <c r="A227" s="51" t="s">
        <v>850</v>
      </c>
      <c r="B227" s="28">
        <v>0</v>
      </c>
      <c r="C227" s="28">
        <v>90</v>
      </c>
      <c r="D227" s="28">
        <v>85</v>
      </c>
      <c r="E227" s="28">
        <v>12</v>
      </c>
      <c r="F227" s="28">
        <v>1025</v>
      </c>
      <c r="G227" s="29"/>
    </row>
    <row r="228" spans="1:7" ht="15.75">
      <c r="A228" s="51" t="s">
        <v>851</v>
      </c>
      <c r="B228" s="28">
        <v>0</v>
      </c>
      <c r="C228" s="28">
        <v>302</v>
      </c>
      <c r="D228" s="28">
        <v>305</v>
      </c>
      <c r="E228" s="28">
        <v>12</v>
      </c>
      <c r="F228" s="28">
        <v>3657</v>
      </c>
      <c r="G228" s="29"/>
    </row>
    <row r="229" spans="1:7" ht="15.75">
      <c r="A229" s="51" t="s">
        <v>852</v>
      </c>
      <c r="B229" s="28">
        <v>0</v>
      </c>
      <c r="C229" s="28">
        <v>88</v>
      </c>
      <c r="D229" s="28">
        <v>92</v>
      </c>
      <c r="E229" s="28">
        <v>12</v>
      </c>
      <c r="F229" s="28">
        <v>1100</v>
      </c>
      <c r="G229" s="29"/>
    </row>
    <row r="230" spans="1:7" ht="15.75">
      <c r="A230" s="51" t="s">
        <v>853</v>
      </c>
      <c r="B230" s="28">
        <v>0</v>
      </c>
      <c r="C230" s="28">
        <v>152</v>
      </c>
      <c r="D230" s="28">
        <v>149</v>
      </c>
      <c r="E230" s="28">
        <v>12</v>
      </c>
      <c r="F230" s="28">
        <v>1791</v>
      </c>
      <c r="G230" s="29"/>
    </row>
    <row r="231" spans="1:7" ht="15.75">
      <c r="A231" s="51" t="s">
        <v>854</v>
      </c>
      <c r="B231" s="28">
        <v>0</v>
      </c>
      <c r="C231" s="28">
        <v>312</v>
      </c>
      <c r="D231" s="28">
        <v>311</v>
      </c>
      <c r="E231" s="28">
        <v>12</v>
      </c>
      <c r="F231" s="28">
        <v>3733</v>
      </c>
      <c r="G231" s="29"/>
    </row>
    <row r="232" spans="1:7" ht="15.75">
      <c r="A232" s="51" t="s">
        <v>855</v>
      </c>
      <c r="B232" s="28">
        <v>0</v>
      </c>
      <c r="C232" s="28">
        <v>312</v>
      </c>
      <c r="D232" s="28">
        <v>316</v>
      </c>
      <c r="E232" s="28">
        <v>12</v>
      </c>
      <c r="F232" s="28">
        <v>3788</v>
      </c>
      <c r="G232" s="29"/>
    </row>
    <row r="233" spans="1:7" ht="15.75">
      <c r="A233" s="51" t="s">
        <v>856</v>
      </c>
      <c r="B233" s="28">
        <v>0</v>
      </c>
      <c r="C233" s="28">
        <v>368</v>
      </c>
      <c r="D233" s="28">
        <v>367</v>
      </c>
      <c r="E233" s="28">
        <v>12</v>
      </c>
      <c r="F233" s="28">
        <v>4405</v>
      </c>
      <c r="G233" s="29"/>
    </row>
    <row r="234" spans="1:7" ht="15.75">
      <c r="A234" s="51" t="s">
        <v>857</v>
      </c>
      <c r="B234" s="28">
        <v>0</v>
      </c>
      <c r="C234" s="28">
        <v>860</v>
      </c>
      <c r="D234" s="28">
        <v>855</v>
      </c>
      <c r="E234" s="28">
        <v>12</v>
      </c>
      <c r="F234" s="28">
        <v>10265</v>
      </c>
      <c r="G234" s="29"/>
    </row>
    <row r="235" spans="1:7" ht="15.75">
      <c r="A235" s="51" t="s">
        <v>858</v>
      </c>
      <c r="B235" s="28">
        <v>0</v>
      </c>
      <c r="C235" s="28">
        <v>1134</v>
      </c>
      <c r="D235" s="28">
        <v>1139</v>
      </c>
      <c r="E235" s="28">
        <v>12</v>
      </c>
      <c r="F235" s="28">
        <v>13663</v>
      </c>
      <c r="G235" s="29"/>
    </row>
    <row r="236" spans="1:7" ht="15.75">
      <c r="A236" s="51" t="s">
        <v>859</v>
      </c>
      <c r="B236" s="28">
        <v>0</v>
      </c>
      <c r="C236" s="28">
        <v>58</v>
      </c>
      <c r="D236" s="28">
        <v>54</v>
      </c>
      <c r="E236" s="28">
        <v>12</v>
      </c>
      <c r="F236" s="28">
        <v>652</v>
      </c>
      <c r="G236" s="29"/>
    </row>
    <row r="237" spans="1:7" ht="15.75">
      <c r="A237" s="51" t="s">
        <v>860</v>
      </c>
      <c r="B237" s="28">
        <v>0</v>
      </c>
      <c r="C237" s="28">
        <v>672</v>
      </c>
      <c r="D237" s="28">
        <v>677</v>
      </c>
      <c r="E237" s="28">
        <v>12</v>
      </c>
      <c r="F237" s="28">
        <v>8119</v>
      </c>
      <c r="G237" s="29"/>
    </row>
    <row r="238" spans="1:7" ht="15.75">
      <c r="A238" s="51" t="s">
        <v>861</v>
      </c>
      <c r="B238" s="28">
        <v>0</v>
      </c>
      <c r="C238" s="28">
        <v>914</v>
      </c>
      <c r="D238" s="28">
        <v>913</v>
      </c>
      <c r="E238" s="28">
        <v>12</v>
      </c>
      <c r="F238" s="28">
        <v>10957</v>
      </c>
      <c r="G238" s="29"/>
    </row>
    <row r="239" spans="1:7" ht="15.75">
      <c r="A239" s="51" t="s">
        <v>862</v>
      </c>
      <c r="B239" s="28">
        <v>0</v>
      </c>
      <c r="C239" s="28">
        <v>488</v>
      </c>
      <c r="D239" s="28">
        <v>490</v>
      </c>
      <c r="E239" s="28">
        <v>12</v>
      </c>
      <c r="F239" s="28">
        <v>5878</v>
      </c>
      <c r="G239" s="29"/>
    </row>
    <row r="240" spans="1:7" ht="15.75">
      <c r="A240" s="51" t="s">
        <v>863</v>
      </c>
      <c r="B240" s="28">
        <v>0</v>
      </c>
      <c r="C240" s="28">
        <v>838</v>
      </c>
      <c r="D240" s="28">
        <v>835</v>
      </c>
      <c r="E240" s="28">
        <v>12</v>
      </c>
      <c r="F240" s="28">
        <v>10023</v>
      </c>
      <c r="G240" s="29"/>
    </row>
    <row r="241" spans="1:7" ht="15.75">
      <c r="A241" s="51" t="s">
        <v>864</v>
      </c>
      <c r="B241" s="28">
        <v>0</v>
      </c>
      <c r="C241" s="28">
        <v>896</v>
      </c>
      <c r="D241" s="28">
        <v>901</v>
      </c>
      <c r="E241" s="28">
        <v>12</v>
      </c>
      <c r="F241" s="28">
        <v>10807</v>
      </c>
      <c r="G241" s="29"/>
    </row>
    <row r="242" spans="1:7" ht="15.75">
      <c r="A242" s="51" t="s">
        <v>866</v>
      </c>
      <c r="B242" s="28">
        <v>0</v>
      </c>
      <c r="C242" s="28">
        <v>972</v>
      </c>
      <c r="D242" s="28">
        <v>967</v>
      </c>
      <c r="E242" s="28">
        <v>12</v>
      </c>
      <c r="F242" s="28">
        <v>11609</v>
      </c>
      <c r="G242" s="29"/>
    </row>
    <row r="243" spans="1:7" ht="15.75">
      <c r="A243" s="51" t="s">
        <v>868</v>
      </c>
      <c r="B243" s="28">
        <v>0</v>
      </c>
      <c r="C243" s="28">
        <v>278</v>
      </c>
      <c r="D243" s="28">
        <v>280</v>
      </c>
      <c r="E243" s="28">
        <v>12</v>
      </c>
      <c r="F243" s="28">
        <v>3358</v>
      </c>
      <c r="G243" s="29"/>
    </row>
    <row r="244" spans="1:7" ht="15.75">
      <c r="A244" s="51" t="s">
        <v>865</v>
      </c>
      <c r="B244" s="28">
        <v>0</v>
      </c>
      <c r="C244" s="28">
        <v>112</v>
      </c>
      <c r="D244" s="28">
        <v>117</v>
      </c>
      <c r="E244" s="28">
        <v>12</v>
      </c>
      <c r="F244" s="28">
        <v>1399</v>
      </c>
      <c r="G244" s="29"/>
    </row>
    <row r="245" spans="1:7" ht="15.75">
      <c r="A245" s="51" t="s">
        <v>867</v>
      </c>
      <c r="B245" s="28">
        <v>0</v>
      </c>
      <c r="C245" s="28">
        <v>160</v>
      </c>
      <c r="D245" s="28">
        <v>155</v>
      </c>
      <c r="E245" s="28">
        <v>12</v>
      </c>
      <c r="F245" s="28">
        <v>1865</v>
      </c>
      <c r="G245" s="29"/>
    </row>
    <row r="246" spans="1:7" ht="15.75">
      <c r="A246" s="51" t="s">
        <v>869</v>
      </c>
      <c r="B246" s="28">
        <v>0</v>
      </c>
      <c r="C246" s="28">
        <v>180</v>
      </c>
      <c r="D246" s="28">
        <v>182</v>
      </c>
      <c r="E246" s="28">
        <v>12</v>
      </c>
      <c r="F246" s="28">
        <v>2182</v>
      </c>
      <c r="G246" s="29"/>
    </row>
    <row r="247" spans="1:7" ht="15.75">
      <c r="A247" s="51" t="s">
        <v>870</v>
      </c>
      <c r="B247" s="28">
        <v>0</v>
      </c>
      <c r="C247" s="28">
        <v>452</v>
      </c>
      <c r="D247" s="28">
        <v>456</v>
      </c>
      <c r="E247" s="28">
        <v>12</v>
      </c>
      <c r="F247" s="28">
        <v>5468</v>
      </c>
      <c r="G247" s="29"/>
    </row>
    <row r="248" spans="1:7" ht="15.75">
      <c r="A248" s="51" t="s">
        <v>871</v>
      </c>
      <c r="B248" s="28">
        <v>0</v>
      </c>
      <c r="C248" s="28">
        <v>58</v>
      </c>
      <c r="D248" s="28">
        <v>54</v>
      </c>
      <c r="E248" s="28">
        <v>12</v>
      </c>
      <c r="F248" s="28">
        <v>652</v>
      </c>
      <c r="G248" s="29"/>
    </row>
    <row r="249" spans="1:7" ht="15.75">
      <c r="A249" s="51" t="s">
        <v>872</v>
      </c>
      <c r="B249" s="28">
        <v>0</v>
      </c>
      <c r="C249" s="28">
        <v>250</v>
      </c>
      <c r="D249" s="28">
        <v>247</v>
      </c>
      <c r="E249" s="28">
        <v>12</v>
      </c>
      <c r="F249" s="28">
        <v>2967</v>
      </c>
      <c r="G249" s="29"/>
    </row>
    <row r="250" spans="1:7" ht="15.75">
      <c r="A250" s="51" t="s">
        <v>407</v>
      </c>
      <c r="B250" s="28">
        <v>0</v>
      </c>
      <c r="C250" s="28">
        <v>46</v>
      </c>
      <c r="D250" s="28">
        <v>45</v>
      </c>
      <c r="E250" s="28">
        <v>12</v>
      </c>
      <c r="F250" s="28">
        <v>541</v>
      </c>
      <c r="G250" s="29"/>
    </row>
    <row r="251" spans="1:7" ht="15.75">
      <c r="A251" s="51" t="s">
        <v>873</v>
      </c>
      <c r="B251" s="28">
        <v>0</v>
      </c>
      <c r="C251" s="28">
        <v>780</v>
      </c>
      <c r="D251" s="28">
        <v>774</v>
      </c>
      <c r="E251" s="28">
        <v>12</v>
      </c>
      <c r="F251" s="28">
        <v>9294</v>
      </c>
      <c r="G251" s="29"/>
    </row>
    <row r="252" spans="1:7" ht="15.75">
      <c r="A252" s="51" t="s">
        <v>874</v>
      </c>
      <c r="B252" s="28">
        <v>0</v>
      </c>
      <c r="C252" s="28">
        <v>278</v>
      </c>
      <c r="D252" s="28">
        <v>280</v>
      </c>
      <c r="E252" s="28">
        <v>12</v>
      </c>
      <c r="F252" s="28">
        <v>3358</v>
      </c>
      <c r="G252" s="29"/>
    </row>
    <row r="253" spans="1:7" ht="15.75">
      <c r="A253" s="51" t="s">
        <v>875</v>
      </c>
      <c r="B253" s="28">
        <v>0</v>
      </c>
      <c r="C253" s="28">
        <v>154</v>
      </c>
      <c r="D253" s="28">
        <v>159</v>
      </c>
      <c r="E253" s="28">
        <v>12</v>
      </c>
      <c r="F253" s="28">
        <v>1903</v>
      </c>
      <c r="G253" s="29"/>
    </row>
    <row r="254" spans="1:7" ht="15.75">
      <c r="A254" s="51" t="s">
        <v>876</v>
      </c>
      <c r="B254" s="28">
        <v>0</v>
      </c>
      <c r="C254" s="28">
        <v>190</v>
      </c>
      <c r="D254" s="28">
        <v>188</v>
      </c>
      <c r="E254" s="28">
        <v>12</v>
      </c>
      <c r="F254" s="28">
        <v>2258</v>
      </c>
      <c r="G254" s="29"/>
    </row>
    <row r="255" spans="1:7" ht="15.75">
      <c r="A255" s="51" t="s">
        <v>877</v>
      </c>
      <c r="B255" s="28">
        <v>0</v>
      </c>
      <c r="C255" s="28">
        <v>116</v>
      </c>
      <c r="D255" s="28">
        <v>120</v>
      </c>
      <c r="E255" s="28">
        <v>12</v>
      </c>
      <c r="F255" s="28">
        <v>1436</v>
      </c>
      <c r="G255" s="29"/>
    </row>
    <row r="256" spans="1:7" ht="15.75">
      <c r="A256" s="51" t="s">
        <v>878</v>
      </c>
      <c r="B256" s="28">
        <v>0</v>
      </c>
      <c r="C256" s="28">
        <v>116</v>
      </c>
      <c r="D256" s="28">
        <v>120</v>
      </c>
      <c r="E256" s="28">
        <v>12</v>
      </c>
      <c r="F256" s="28">
        <v>1436</v>
      </c>
      <c r="G256" s="29"/>
    </row>
    <row r="257" spans="1:7" ht="15.75">
      <c r="A257" s="51" t="s">
        <v>879</v>
      </c>
      <c r="B257" s="28">
        <v>0</v>
      </c>
      <c r="C257" s="28">
        <v>118</v>
      </c>
      <c r="D257" s="28">
        <v>113</v>
      </c>
      <c r="E257" s="28">
        <v>12</v>
      </c>
      <c r="F257" s="28">
        <v>1361</v>
      </c>
      <c r="G257" s="29"/>
    </row>
    <row r="258" spans="1:7" ht="15.75">
      <c r="A258" s="51" t="s">
        <v>880</v>
      </c>
      <c r="B258" s="28">
        <v>0</v>
      </c>
      <c r="C258" s="28">
        <v>118</v>
      </c>
      <c r="D258" s="28">
        <v>113</v>
      </c>
      <c r="E258" s="28">
        <v>12</v>
      </c>
      <c r="F258" s="28">
        <v>1361</v>
      </c>
      <c r="G258" s="29"/>
    </row>
    <row r="259" spans="1:7" ht="15.75">
      <c r="A259" s="51" t="s">
        <v>881</v>
      </c>
      <c r="B259" s="28">
        <v>0</v>
      </c>
      <c r="C259" s="28">
        <v>118</v>
      </c>
      <c r="D259" s="28">
        <v>113</v>
      </c>
      <c r="E259" s="28">
        <v>12</v>
      </c>
      <c r="F259" s="28">
        <v>1361</v>
      </c>
      <c r="G259" s="29"/>
    </row>
    <row r="260" spans="1:7" ht="15.75">
      <c r="A260" s="51" t="s">
        <v>882</v>
      </c>
      <c r="B260" s="28">
        <v>0</v>
      </c>
      <c r="C260" s="28">
        <v>98</v>
      </c>
      <c r="D260" s="28">
        <v>103</v>
      </c>
      <c r="E260" s="28">
        <v>12</v>
      </c>
      <c r="F260" s="28">
        <v>1231</v>
      </c>
      <c r="G260" s="29"/>
    </row>
    <row r="261" spans="1:7" ht="15.75">
      <c r="A261" s="51" t="s">
        <v>883</v>
      </c>
      <c r="B261" s="28">
        <v>0</v>
      </c>
      <c r="C261" s="28">
        <v>146</v>
      </c>
      <c r="D261" s="28">
        <v>141</v>
      </c>
      <c r="E261" s="28">
        <v>12</v>
      </c>
      <c r="F261" s="28">
        <v>1697</v>
      </c>
      <c r="G261" s="29"/>
    </row>
    <row r="262" spans="1:7" ht="15.75">
      <c r="A262" s="51" t="s">
        <v>884</v>
      </c>
      <c r="B262" s="28">
        <v>0</v>
      </c>
      <c r="C262" s="28">
        <v>98</v>
      </c>
      <c r="D262" s="28">
        <v>103</v>
      </c>
      <c r="E262" s="28">
        <v>12</v>
      </c>
      <c r="F262" s="28">
        <v>1231</v>
      </c>
      <c r="G262" s="29"/>
    </row>
    <row r="263" spans="1:7" ht="15.75">
      <c r="A263" s="51" t="s">
        <v>885</v>
      </c>
      <c r="B263" s="28">
        <v>0</v>
      </c>
      <c r="C263" s="28">
        <v>282</v>
      </c>
      <c r="D263" s="28">
        <v>278</v>
      </c>
      <c r="E263" s="28">
        <v>12</v>
      </c>
      <c r="F263" s="28">
        <v>3340</v>
      </c>
      <c r="G263" s="29"/>
    </row>
    <row r="264" spans="1:7" ht="15.75">
      <c r="A264" s="51" t="s">
        <v>886</v>
      </c>
      <c r="B264" s="28">
        <v>0</v>
      </c>
      <c r="C264" s="28">
        <v>628</v>
      </c>
      <c r="D264" s="28">
        <v>625</v>
      </c>
      <c r="E264" s="28">
        <v>12</v>
      </c>
      <c r="F264" s="28">
        <v>7503</v>
      </c>
      <c r="G264" s="29"/>
    </row>
    <row r="265" spans="1:7" ht="15.75">
      <c r="A265" s="51" t="s">
        <v>887</v>
      </c>
      <c r="B265" s="28">
        <v>0</v>
      </c>
      <c r="C265" s="28">
        <v>110</v>
      </c>
      <c r="D265" s="28">
        <v>112</v>
      </c>
      <c r="E265" s="28">
        <v>12</v>
      </c>
      <c r="F265" s="28">
        <v>1342</v>
      </c>
      <c r="G265" s="29"/>
    </row>
    <row r="266" spans="1:7" ht="15.75">
      <c r="A266" s="51" t="s">
        <v>888</v>
      </c>
      <c r="B266" s="28">
        <v>0</v>
      </c>
      <c r="C266" s="28">
        <v>110</v>
      </c>
      <c r="D266" s="28">
        <v>112</v>
      </c>
      <c r="E266" s="28">
        <v>12</v>
      </c>
      <c r="F266" s="28">
        <v>1342</v>
      </c>
      <c r="G266" s="29"/>
    </row>
    <row r="267" spans="1:7" ht="15.75">
      <c r="A267" s="51" t="s">
        <v>889</v>
      </c>
      <c r="B267" s="28">
        <v>0</v>
      </c>
      <c r="C267" s="28">
        <v>110</v>
      </c>
      <c r="D267" s="28">
        <v>112</v>
      </c>
      <c r="E267" s="28">
        <v>12</v>
      </c>
      <c r="F267" s="28">
        <v>1342</v>
      </c>
      <c r="G267" s="29"/>
    </row>
    <row r="268" spans="1:7" ht="15.75">
      <c r="A268" s="51" t="s">
        <v>890</v>
      </c>
      <c r="B268" s="28">
        <v>0</v>
      </c>
      <c r="C268" s="28">
        <v>154</v>
      </c>
      <c r="D268" s="28">
        <v>159</v>
      </c>
      <c r="E268" s="28">
        <v>12</v>
      </c>
      <c r="F268" s="28">
        <v>1903</v>
      </c>
      <c r="G268" s="29"/>
    </row>
    <row r="269" spans="1:7" ht="15.75">
      <c r="A269" s="51" t="s">
        <v>891</v>
      </c>
      <c r="B269" s="28">
        <v>0</v>
      </c>
      <c r="C269" s="28">
        <v>118</v>
      </c>
      <c r="D269" s="28">
        <v>113</v>
      </c>
      <c r="E269" s="28">
        <v>12</v>
      </c>
      <c r="F269" s="28">
        <v>1361</v>
      </c>
      <c r="G269" s="29"/>
    </row>
    <row r="270" spans="1:7" ht="15.75">
      <c r="A270" s="51" t="s">
        <v>892</v>
      </c>
      <c r="B270" s="28">
        <v>0</v>
      </c>
      <c r="C270" s="28">
        <v>116</v>
      </c>
      <c r="D270" s="28">
        <v>120</v>
      </c>
      <c r="E270" s="28">
        <v>12</v>
      </c>
      <c r="F270" s="28">
        <v>1436</v>
      </c>
      <c r="G270" s="29"/>
    </row>
    <row r="271" spans="1:7" ht="15.75">
      <c r="A271" s="51" t="s">
        <v>893</v>
      </c>
      <c r="B271" s="28">
        <v>0</v>
      </c>
      <c r="C271" s="28">
        <v>204</v>
      </c>
      <c r="D271" s="28">
        <v>202</v>
      </c>
      <c r="E271" s="28">
        <v>12</v>
      </c>
      <c r="F271" s="28">
        <v>2426</v>
      </c>
      <c r="G271" s="29"/>
    </row>
    <row r="272" spans="1:7" ht="15.75">
      <c r="A272" s="51" t="s">
        <v>894</v>
      </c>
      <c r="B272" s="28">
        <v>0</v>
      </c>
      <c r="C272" s="28">
        <v>140</v>
      </c>
      <c r="D272" s="28">
        <v>145</v>
      </c>
      <c r="E272" s="28">
        <v>12</v>
      </c>
      <c r="F272" s="28">
        <v>1735</v>
      </c>
      <c r="G272" s="29"/>
    </row>
    <row r="273" spans="1:7" ht="15.75">
      <c r="A273" s="51" t="s">
        <v>895</v>
      </c>
      <c r="B273" s="28">
        <v>0</v>
      </c>
      <c r="C273" s="28">
        <v>84</v>
      </c>
      <c r="D273" s="28">
        <v>89</v>
      </c>
      <c r="E273" s="28">
        <v>12</v>
      </c>
      <c r="F273" s="28">
        <v>1063</v>
      </c>
      <c r="G273" s="29"/>
    </row>
    <row r="274" spans="1:7" ht="15.75">
      <c r="A274" s="51" t="s">
        <v>896</v>
      </c>
      <c r="B274" s="28">
        <v>0</v>
      </c>
      <c r="C274" s="28">
        <v>116</v>
      </c>
      <c r="D274" s="28">
        <v>120</v>
      </c>
      <c r="E274" s="28">
        <v>12</v>
      </c>
      <c r="F274" s="28">
        <v>1436</v>
      </c>
      <c r="G274" s="29"/>
    </row>
    <row r="275" spans="1:7" ht="15.75">
      <c r="A275" s="51" t="s">
        <v>897</v>
      </c>
      <c r="B275" s="28">
        <v>0</v>
      </c>
      <c r="C275" s="28">
        <v>386</v>
      </c>
      <c r="D275" s="28">
        <v>389</v>
      </c>
      <c r="E275" s="28">
        <v>12</v>
      </c>
      <c r="F275" s="28">
        <v>4665</v>
      </c>
      <c r="G275" s="29"/>
    </row>
    <row r="276" spans="1:7" ht="15.75">
      <c r="A276" s="51" t="s">
        <v>898</v>
      </c>
      <c r="B276" s="28">
        <v>0</v>
      </c>
      <c r="C276" s="28">
        <v>46</v>
      </c>
      <c r="D276" s="28">
        <v>50</v>
      </c>
      <c r="E276" s="28">
        <v>12</v>
      </c>
      <c r="F276" s="28">
        <v>596</v>
      </c>
      <c r="G276" s="29"/>
    </row>
    <row r="277" spans="1:7" ht="15.75">
      <c r="A277" s="51" t="s">
        <v>899</v>
      </c>
      <c r="B277" s="28">
        <v>0</v>
      </c>
      <c r="C277" s="28">
        <v>742</v>
      </c>
      <c r="D277" s="28">
        <v>747</v>
      </c>
      <c r="E277" s="28">
        <v>12</v>
      </c>
      <c r="F277" s="28">
        <v>8959</v>
      </c>
      <c r="G277" s="29"/>
    </row>
    <row r="278" spans="1:7" ht="15.75">
      <c r="A278" s="51" t="s">
        <v>900</v>
      </c>
      <c r="B278" s="28">
        <v>0</v>
      </c>
      <c r="C278" s="28">
        <v>172</v>
      </c>
      <c r="D278" s="28">
        <v>171</v>
      </c>
      <c r="E278" s="28">
        <v>12</v>
      </c>
      <c r="F278" s="28">
        <v>2053</v>
      </c>
      <c r="G278" s="29"/>
    </row>
    <row r="279" spans="1:7" ht="15.75">
      <c r="A279" s="51" t="s">
        <v>901</v>
      </c>
      <c r="B279" s="28">
        <v>0</v>
      </c>
      <c r="C279" s="28">
        <v>524</v>
      </c>
      <c r="D279" s="28">
        <v>519</v>
      </c>
      <c r="E279" s="28">
        <v>12</v>
      </c>
      <c r="F279" s="28">
        <v>6233</v>
      </c>
      <c r="G279" s="29"/>
    </row>
    <row r="280" spans="1:7" ht="15.75">
      <c r="A280" s="51" t="s">
        <v>902</v>
      </c>
      <c r="B280" s="28">
        <v>0</v>
      </c>
      <c r="C280" s="28">
        <v>462</v>
      </c>
      <c r="D280" s="28">
        <v>467</v>
      </c>
      <c r="E280" s="28">
        <v>12</v>
      </c>
      <c r="F280" s="28">
        <v>5599</v>
      </c>
      <c r="G280" s="29"/>
    </row>
    <row r="281" spans="1:7" ht="15.75">
      <c r="A281" s="51" t="s">
        <v>903</v>
      </c>
      <c r="B281" s="28">
        <v>0</v>
      </c>
      <c r="C281" s="28">
        <v>418</v>
      </c>
      <c r="D281" s="28">
        <v>420</v>
      </c>
      <c r="E281" s="28">
        <v>12</v>
      </c>
      <c r="F281" s="28">
        <v>5038</v>
      </c>
      <c r="G281" s="29"/>
    </row>
    <row r="282" spans="1:7" ht="15.75">
      <c r="A282" s="51" t="s">
        <v>904</v>
      </c>
      <c r="B282" s="28">
        <v>0</v>
      </c>
      <c r="C282" s="28">
        <v>64</v>
      </c>
      <c r="D282" s="28">
        <v>62</v>
      </c>
      <c r="E282" s="28">
        <v>12</v>
      </c>
      <c r="F282" s="28">
        <v>746</v>
      </c>
      <c r="G282" s="29"/>
    </row>
    <row r="283" spans="1:7" ht="15.75">
      <c r="A283" s="51" t="s">
        <v>905</v>
      </c>
      <c r="B283" s="28">
        <v>0</v>
      </c>
      <c r="C283" s="28">
        <v>144</v>
      </c>
      <c r="D283" s="28">
        <v>148</v>
      </c>
      <c r="E283" s="28">
        <v>12</v>
      </c>
      <c r="F283" s="28">
        <v>1772</v>
      </c>
      <c r="G283" s="29"/>
    </row>
    <row r="284" spans="1:7" ht="15.75">
      <c r="A284" s="51" t="s">
        <v>906</v>
      </c>
      <c r="B284" s="28">
        <v>0</v>
      </c>
      <c r="C284" s="28">
        <v>118</v>
      </c>
      <c r="D284" s="28">
        <v>113</v>
      </c>
      <c r="E284" s="28">
        <v>12</v>
      </c>
      <c r="F284" s="28">
        <v>1361</v>
      </c>
      <c r="G284" s="29"/>
    </row>
    <row r="285" spans="1:7" ht="15.75">
      <c r="A285" s="51" t="s">
        <v>907</v>
      </c>
      <c r="B285" s="28">
        <v>0</v>
      </c>
      <c r="C285" s="28">
        <v>236</v>
      </c>
      <c r="D285" s="28">
        <v>233</v>
      </c>
      <c r="E285" s="28">
        <v>12</v>
      </c>
      <c r="F285" s="28">
        <v>2799</v>
      </c>
      <c r="G285" s="29"/>
    </row>
    <row r="286" spans="1:7" ht="15.75">
      <c r="A286" s="51" t="s">
        <v>908</v>
      </c>
      <c r="B286" s="28">
        <v>0</v>
      </c>
      <c r="C286" s="28">
        <v>666</v>
      </c>
      <c r="D286" s="28">
        <v>669</v>
      </c>
      <c r="E286" s="28">
        <v>12</v>
      </c>
      <c r="F286" s="28">
        <v>8025</v>
      </c>
      <c r="G286" s="29"/>
    </row>
    <row r="287" spans="1:7" ht="15.75">
      <c r="A287" s="51" t="s">
        <v>909</v>
      </c>
      <c r="B287" s="28">
        <v>0</v>
      </c>
      <c r="C287" s="28">
        <v>62</v>
      </c>
      <c r="D287" s="28">
        <v>57</v>
      </c>
      <c r="E287" s="28">
        <v>12</v>
      </c>
      <c r="F287" s="28">
        <v>689</v>
      </c>
      <c r="G287" s="29"/>
    </row>
    <row r="288" spans="1:7" ht="15.75">
      <c r="A288" s="51" t="s">
        <v>339</v>
      </c>
      <c r="B288" s="28">
        <v>0</v>
      </c>
      <c r="C288" s="28">
        <v>74</v>
      </c>
      <c r="D288" s="28">
        <v>78</v>
      </c>
      <c r="E288" s="28">
        <v>12</v>
      </c>
      <c r="F288" s="28">
        <v>932</v>
      </c>
      <c r="G288" s="29"/>
    </row>
    <row r="289" spans="1:7" ht="15.75">
      <c r="A289" s="51" t="s">
        <v>910</v>
      </c>
      <c r="B289" s="28">
        <v>0</v>
      </c>
      <c r="C289" s="28">
        <v>106</v>
      </c>
      <c r="D289" s="28">
        <v>109</v>
      </c>
      <c r="E289" s="28">
        <v>12</v>
      </c>
      <c r="F289" s="28">
        <v>1305</v>
      </c>
      <c r="G289" s="29"/>
    </row>
    <row r="290" spans="1:7" ht="15.75">
      <c r="A290" s="51" t="s">
        <v>911</v>
      </c>
      <c r="B290" s="28">
        <v>0</v>
      </c>
      <c r="C290" s="28">
        <v>78</v>
      </c>
      <c r="D290" s="28">
        <v>76</v>
      </c>
      <c r="E290" s="28">
        <v>12</v>
      </c>
      <c r="F290" s="28">
        <v>914</v>
      </c>
      <c r="G290" s="29"/>
    </row>
    <row r="291" spans="1:7" ht="15.75">
      <c r="A291" s="51" t="s">
        <v>912</v>
      </c>
      <c r="B291" s="28">
        <v>0</v>
      </c>
      <c r="C291" s="28">
        <v>120</v>
      </c>
      <c r="D291" s="28">
        <v>123</v>
      </c>
      <c r="E291" s="28">
        <v>12</v>
      </c>
      <c r="F291" s="28">
        <v>1473</v>
      </c>
      <c r="G291" s="29"/>
    </row>
    <row r="292" spans="1:7" ht="15.75">
      <c r="A292" s="51" t="s">
        <v>913</v>
      </c>
      <c r="B292" s="28">
        <v>0</v>
      </c>
      <c r="C292" s="28">
        <v>344</v>
      </c>
      <c r="D292" s="28">
        <v>342</v>
      </c>
      <c r="E292" s="28">
        <v>12</v>
      </c>
      <c r="F292" s="28">
        <v>4106</v>
      </c>
      <c r="G292" s="29"/>
    </row>
    <row r="293" spans="1:7" ht="15.75">
      <c r="A293" s="51" t="s">
        <v>914</v>
      </c>
      <c r="B293" s="28">
        <v>0</v>
      </c>
      <c r="C293" s="28">
        <v>400</v>
      </c>
      <c r="D293" s="28">
        <v>403</v>
      </c>
      <c r="E293" s="28">
        <v>12</v>
      </c>
      <c r="F293" s="28">
        <v>4833</v>
      </c>
      <c r="G293" s="29"/>
    </row>
    <row r="294" spans="1:7" ht="15.75">
      <c r="A294" s="51" t="s">
        <v>915</v>
      </c>
      <c r="B294" s="28">
        <v>0</v>
      </c>
      <c r="C294" s="28">
        <v>344</v>
      </c>
      <c r="D294" s="28">
        <v>347</v>
      </c>
      <c r="E294" s="28">
        <v>12</v>
      </c>
      <c r="F294" s="28">
        <v>4161</v>
      </c>
      <c r="G294" s="29"/>
    </row>
    <row r="295" spans="1:7" ht="15.75">
      <c r="A295" s="51" t="s">
        <v>916</v>
      </c>
      <c r="B295" s="28">
        <v>0</v>
      </c>
      <c r="C295" s="28">
        <v>744</v>
      </c>
      <c r="D295" s="28">
        <v>740</v>
      </c>
      <c r="E295" s="28">
        <v>12</v>
      </c>
      <c r="F295" s="28">
        <v>8884</v>
      </c>
      <c r="G295" s="29"/>
    </row>
    <row r="296" spans="1:7" ht="15.75">
      <c r="A296" s="51" t="s">
        <v>917</v>
      </c>
      <c r="B296" s="28">
        <v>0</v>
      </c>
      <c r="C296" s="28">
        <v>140</v>
      </c>
      <c r="D296" s="28">
        <v>145</v>
      </c>
      <c r="E296" s="28">
        <v>12</v>
      </c>
      <c r="F296" s="28">
        <v>1735</v>
      </c>
      <c r="G296" s="29"/>
    </row>
    <row r="297" spans="1:7" ht="15.75">
      <c r="A297" s="51" t="s">
        <v>918</v>
      </c>
      <c r="B297" s="28">
        <v>0</v>
      </c>
      <c r="C297" s="28">
        <v>128</v>
      </c>
      <c r="D297" s="28">
        <v>124</v>
      </c>
      <c r="E297" s="28">
        <v>12</v>
      </c>
      <c r="F297" s="28">
        <v>1492</v>
      </c>
      <c r="G297" s="29"/>
    </row>
    <row r="298" spans="1:7" ht="15.75">
      <c r="A298" s="51" t="s">
        <v>524</v>
      </c>
      <c r="B298" s="28">
        <v>0</v>
      </c>
      <c r="C298" s="28">
        <v>188</v>
      </c>
      <c r="D298" s="28">
        <v>183</v>
      </c>
      <c r="E298" s="28">
        <v>12</v>
      </c>
      <c r="F298" s="28">
        <v>2201</v>
      </c>
      <c r="G298" s="29"/>
    </row>
    <row r="299" spans="1:7" ht="15.75">
      <c r="A299" s="51" t="s">
        <v>919</v>
      </c>
      <c r="B299" s="28">
        <v>0</v>
      </c>
      <c r="C299" s="28">
        <v>298</v>
      </c>
      <c r="D299" s="28">
        <v>297</v>
      </c>
      <c r="E299" s="28">
        <v>12</v>
      </c>
      <c r="F299" s="28">
        <v>3565</v>
      </c>
      <c r="G299" s="29"/>
    </row>
    <row r="300" spans="1:7" ht="15.75">
      <c r="A300" s="51" t="s">
        <v>920</v>
      </c>
      <c r="B300" s="28">
        <v>0</v>
      </c>
      <c r="C300" s="28">
        <v>394</v>
      </c>
      <c r="D300" s="28">
        <v>392</v>
      </c>
      <c r="E300" s="28">
        <v>12</v>
      </c>
      <c r="F300" s="28">
        <v>4706</v>
      </c>
      <c r="G300" s="29"/>
    </row>
    <row r="301" spans="1:7" ht="15.75">
      <c r="A301" s="51" t="s">
        <v>921</v>
      </c>
      <c r="B301" s="28">
        <v>0</v>
      </c>
      <c r="C301" s="28">
        <v>379</v>
      </c>
      <c r="D301" s="28">
        <v>375</v>
      </c>
      <c r="E301" s="28">
        <v>12</v>
      </c>
      <c r="F301" s="28">
        <v>4504</v>
      </c>
      <c r="G301" s="29"/>
    </row>
    <row r="302" spans="1:7" ht="15.75">
      <c r="A302" s="51" t="s">
        <v>922</v>
      </c>
      <c r="B302" s="28">
        <v>0</v>
      </c>
      <c r="C302" s="28">
        <v>564</v>
      </c>
      <c r="D302" s="28">
        <v>561</v>
      </c>
      <c r="E302" s="28">
        <v>12</v>
      </c>
      <c r="F302" s="28">
        <v>6735</v>
      </c>
      <c r="G302" s="29"/>
    </row>
    <row r="303" spans="1:7" ht="15.75">
      <c r="A303" s="51" t="s">
        <v>923</v>
      </c>
      <c r="B303" s="28">
        <v>0</v>
      </c>
      <c r="C303" s="28">
        <v>768</v>
      </c>
      <c r="D303" s="28">
        <v>770</v>
      </c>
      <c r="E303" s="28">
        <v>12</v>
      </c>
      <c r="F303" s="28">
        <v>9238</v>
      </c>
      <c r="G303" s="29"/>
    </row>
    <row r="304" spans="1:7" ht="15.75">
      <c r="A304" s="51" t="s">
        <v>924</v>
      </c>
      <c r="B304" s="28">
        <v>0</v>
      </c>
      <c r="C304" s="28">
        <v>138</v>
      </c>
      <c r="D304" s="28">
        <v>140</v>
      </c>
      <c r="E304" s="28">
        <v>12</v>
      </c>
      <c r="F304" s="28">
        <v>1678</v>
      </c>
      <c r="G304" s="29"/>
    </row>
    <row r="305" spans="1:7" ht="15.75">
      <c r="A305" s="51" t="s">
        <v>535</v>
      </c>
      <c r="B305" s="28">
        <v>0</v>
      </c>
      <c r="C305" s="28">
        <v>348</v>
      </c>
      <c r="D305" s="28">
        <v>345</v>
      </c>
      <c r="E305" s="28">
        <v>12</v>
      </c>
      <c r="F305" s="28">
        <v>4143</v>
      </c>
      <c r="G305" s="29"/>
    </row>
    <row r="306" spans="1:7" ht="15.75">
      <c r="A306" s="51" t="s">
        <v>410</v>
      </c>
      <c r="B306" s="28">
        <v>0</v>
      </c>
      <c r="C306" s="28">
        <v>18</v>
      </c>
      <c r="D306" s="28">
        <v>22</v>
      </c>
      <c r="E306" s="28">
        <v>12</v>
      </c>
      <c r="F306" s="28">
        <v>260</v>
      </c>
      <c r="G306" s="29"/>
    </row>
    <row r="307" spans="1:7" ht="15.75">
      <c r="A307" s="51" t="s">
        <v>925</v>
      </c>
      <c r="B307" s="28">
        <v>0</v>
      </c>
      <c r="C307" s="28">
        <v>26</v>
      </c>
      <c r="D307" s="28">
        <v>28</v>
      </c>
      <c r="E307" s="28">
        <v>12</v>
      </c>
      <c r="F307" s="28">
        <v>334</v>
      </c>
      <c r="G307" s="29"/>
    </row>
    <row r="308" spans="1:7" ht="15.75">
      <c r="A308" s="51" t="s">
        <v>926</v>
      </c>
      <c r="B308" s="28">
        <v>0</v>
      </c>
      <c r="C308" s="28">
        <v>26</v>
      </c>
      <c r="D308" s="28">
        <v>23</v>
      </c>
      <c r="E308" s="28">
        <v>12</v>
      </c>
      <c r="F308" s="28">
        <v>279</v>
      </c>
      <c r="G308" s="29"/>
    </row>
    <row r="309" spans="1:7" ht="15.75">
      <c r="A309" s="51" t="s">
        <v>927</v>
      </c>
      <c r="B309" s="28">
        <v>0</v>
      </c>
      <c r="C309" s="28">
        <v>22</v>
      </c>
      <c r="D309" s="28">
        <v>20</v>
      </c>
      <c r="E309" s="28">
        <v>12</v>
      </c>
      <c r="F309" s="28">
        <v>242</v>
      </c>
      <c r="G309" s="29"/>
    </row>
    <row r="310" spans="1:7" ht="15.75">
      <c r="A310" s="51" t="s">
        <v>928</v>
      </c>
      <c r="B310" s="28">
        <v>0</v>
      </c>
      <c r="C310" s="28">
        <v>54</v>
      </c>
      <c r="D310" s="28">
        <v>56</v>
      </c>
      <c r="E310" s="28">
        <v>12</v>
      </c>
      <c r="F310" s="28">
        <v>670</v>
      </c>
      <c r="G310" s="29"/>
    </row>
    <row r="311" spans="1:7" ht="15.75">
      <c r="A311" s="51" t="s">
        <v>929</v>
      </c>
      <c r="B311" s="28">
        <v>0</v>
      </c>
      <c r="C311" s="28">
        <v>22</v>
      </c>
      <c r="D311" s="28">
        <v>20</v>
      </c>
      <c r="E311" s="28">
        <v>12</v>
      </c>
      <c r="F311" s="28">
        <v>242</v>
      </c>
      <c r="G311" s="29"/>
    </row>
    <row r="312" spans="1:7" ht="15.75">
      <c r="A312" s="51" t="s">
        <v>930</v>
      </c>
      <c r="B312" s="28">
        <v>0</v>
      </c>
      <c r="C312" s="28">
        <v>42</v>
      </c>
      <c r="D312" s="28">
        <v>47</v>
      </c>
      <c r="E312" s="28">
        <v>12</v>
      </c>
      <c r="F312" s="28">
        <v>559</v>
      </c>
      <c r="G312" s="29"/>
    </row>
    <row r="313" spans="1:7" ht="15.75">
      <c r="A313" s="51" t="s">
        <v>931</v>
      </c>
      <c r="B313" s="28">
        <v>0</v>
      </c>
      <c r="C313" s="28">
        <v>36</v>
      </c>
      <c r="D313" s="28">
        <v>34</v>
      </c>
      <c r="E313" s="28">
        <v>12</v>
      </c>
      <c r="F313" s="28">
        <v>410</v>
      </c>
      <c r="G313" s="29"/>
    </row>
    <row r="314" spans="1:7" ht="15.75">
      <c r="A314" s="51" t="s">
        <v>932</v>
      </c>
      <c r="B314" s="28">
        <v>0</v>
      </c>
      <c r="C314" s="28">
        <v>32</v>
      </c>
      <c r="D314" s="28">
        <v>31</v>
      </c>
      <c r="E314" s="28">
        <v>12</v>
      </c>
      <c r="F314" s="28">
        <v>373</v>
      </c>
      <c r="G314" s="29"/>
    </row>
    <row r="315" spans="1:7" ht="15.75">
      <c r="A315" s="51" t="s">
        <v>933</v>
      </c>
      <c r="B315" s="28">
        <v>0</v>
      </c>
      <c r="C315" s="28">
        <v>40</v>
      </c>
      <c r="D315" s="28">
        <v>37</v>
      </c>
      <c r="E315" s="28">
        <v>12</v>
      </c>
      <c r="F315" s="28">
        <v>447</v>
      </c>
      <c r="G315" s="29"/>
    </row>
    <row r="316" spans="1:7" ht="15.75">
      <c r="A316" s="51" t="s">
        <v>934</v>
      </c>
      <c r="B316" s="28">
        <v>0</v>
      </c>
      <c r="C316" s="28">
        <v>54</v>
      </c>
      <c r="D316" s="28">
        <v>51</v>
      </c>
      <c r="E316" s="28">
        <v>12</v>
      </c>
      <c r="F316" s="28">
        <v>615</v>
      </c>
      <c r="G316" s="29"/>
    </row>
    <row r="317" spans="1:7" ht="15.75">
      <c r="A317" s="51" t="s">
        <v>935</v>
      </c>
      <c r="B317" s="28">
        <v>0</v>
      </c>
      <c r="C317" s="28">
        <v>64</v>
      </c>
      <c r="D317" s="28">
        <v>62</v>
      </c>
      <c r="E317" s="28">
        <v>12</v>
      </c>
      <c r="F317" s="28">
        <v>746</v>
      </c>
      <c r="G317" s="29"/>
    </row>
    <row r="318" spans="1:7" ht="15.75">
      <c r="A318" s="51" t="s">
        <v>936</v>
      </c>
      <c r="B318" s="28">
        <v>0</v>
      </c>
      <c r="C318" s="28">
        <v>40</v>
      </c>
      <c r="D318" s="28">
        <v>37</v>
      </c>
      <c r="E318" s="28">
        <v>12</v>
      </c>
      <c r="F318" s="28">
        <v>447</v>
      </c>
      <c r="G318" s="29"/>
    </row>
    <row r="319" spans="1:7" ht="15.75">
      <c r="A319" s="51" t="s">
        <v>937</v>
      </c>
      <c r="B319" s="28">
        <v>0</v>
      </c>
      <c r="C319" s="28">
        <v>74</v>
      </c>
      <c r="D319" s="28">
        <v>73</v>
      </c>
      <c r="E319" s="28">
        <v>12</v>
      </c>
      <c r="F319" s="28">
        <v>877</v>
      </c>
      <c r="G319" s="29"/>
    </row>
    <row r="320" spans="1:7" ht="15.75">
      <c r="A320" s="51" t="s">
        <v>938</v>
      </c>
      <c r="B320" s="28">
        <v>0</v>
      </c>
      <c r="C320" s="28">
        <v>64</v>
      </c>
      <c r="D320" s="28">
        <v>62</v>
      </c>
      <c r="E320" s="28">
        <v>12</v>
      </c>
      <c r="F320" s="28">
        <v>746</v>
      </c>
      <c r="G320" s="29"/>
    </row>
    <row r="321" spans="1:7" ht="15.75">
      <c r="A321" s="51" t="s">
        <v>939</v>
      </c>
      <c r="B321" s="28">
        <v>0</v>
      </c>
      <c r="C321" s="28">
        <v>64</v>
      </c>
      <c r="D321" s="28">
        <v>62</v>
      </c>
      <c r="E321" s="28">
        <v>12</v>
      </c>
      <c r="F321" s="28">
        <v>746</v>
      </c>
      <c r="G321" s="29"/>
    </row>
    <row r="322" spans="1:7" ht="15.75">
      <c r="A322" s="51" t="s">
        <v>940</v>
      </c>
      <c r="B322" s="28">
        <v>0</v>
      </c>
      <c r="C322" s="28">
        <v>64</v>
      </c>
      <c r="D322" s="28">
        <v>62</v>
      </c>
      <c r="E322" s="28">
        <v>12</v>
      </c>
      <c r="F322" s="28">
        <v>746</v>
      </c>
      <c r="G322" s="29"/>
    </row>
    <row r="323" spans="1:7" ht="15.75">
      <c r="A323" s="51" t="s">
        <v>276</v>
      </c>
      <c r="B323" s="28">
        <v>0</v>
      </c>
      <c r="C323" s="28">
        <v>46</v>
      </c>
      <c r="D323" s="28">
        <v>45</v>
      </c>
      <c r="E323" s="28">
        <v>12</v>
      </c>
      <c r="F323" s="28">
        <v>541</v>
      </c>
      <c r="G323" s="29"/>
    </row>
    <row r="324" spans="1:7" ht="15.75">
      <c r="A324" s="51" t="s">
        <v>942</v>
      </c>
      <c r="B324" s="28">
        <v>0</v>
      </c>
      <c r="C324" s="28">
        <v>88</v>
      </c>
      <c r="D324" s="28">
        <v>87</v>
      </c>
      <c r="E324" s="28">
        <v>12</v>
      </c>
      <c r="F324" s="28">
        <v>1045</v>
      </c>
      <c r="G324" s="29"/>
    </row>
    <row r="325" spans="1:7" ht="15.75">
      <c r="A325" s="51" t="s">
        <v>943</v>
      </c>
      <c r="B325" s="28">
        <v>0</v>
      </c>
      <c r="C325" s="28">
        <v>70</v>
      </c>
      <c r="D325" s="28">
        <v>75</v>
      </c>
      <c r="E325" s="28">
        <v>12</v>
      </c>
      <c r="F325" s="28">
        <v>895</v>
      </c>
      <c r="G325" s="29"/>
    </row>
    <row r="326" spans="1:7" ht="15.75">
      <c r="A326" s="51" t="s">
        <v>944</v>
      </c>
      <c r="B326" s="28">
        <v>0</v>
      </c>
      <c r="C326" s="28">
        <v>98</v>
      </c>
      <c r="D326" s="28">
        <v>103</v>
      </c>
      <c r="E326" s="28">
        <v>12</v>
      </c>
      <c r="F326" s="28">
        <v>1231</v>
      </c>
      <c r="G326" s="29"/>
    </row>
    <row r="327" spans="1:7" ht="15.75">
      <c r="A327" s="51" t="s">
        <v>945</v>
      </c>
      <c r="B327" s="28">
        <v>0</v>
      </c>
      <c r="C327" s="28">
        <v>64</v>
      </c>
      <c r="D327" s="28">
        <v>62</v>
      </c>
      <c r="E327" s="28">
        <v>12</v>
      </c>
      <c r="F327" s="28">
        <v>746</v>
      </c>
      <c r="G327" s="29"/>
    </row>
    <row r="328" spans="1:7" ht="15.75">
      <c r="A328" s="51" t="s">
        <v>946</v>
      </c>
      <c r="B328" s="28">
        <v>0</v>
      </c>
      <c r="C328" s="28">
        <v>128</v>
      </c>
      <c r="D328" s="28">
        <v>124</v>
      </c>
      <c r="E328" s="28">
        <v>12</v>
      </c>
      <c r="F328" s="28">
        <v>1492</v>
      </c>
      <c r="G328" s="29"/>
    </row>
    <row r="329" spans="1:7" ht="15.75">
      <c r="A329" s="51" t="s">
        <v>359</v>
      </c>
      <c r="B329" s="28">
        <v>0</v>
      </c>
      <c r="C329" s="28">
        <v>64</v>
      </c>
      <c r="D329" s="28">
        <v>62</v>
      </c>
      <c r="E329" s="28">
        <v>12</v>
      </c>
      <c r="F329" s="28">
        <v>746</v>
      </c>
      <c r="G329" s="29"/>
    </row>
    <row r="330" spans="1:7" ht="15.75">
      <c r="A330" s="51" t="s">
        <v>947</v>
      </c>
      <c r="B330" s="28">
        <v>0</v>
      </c>
      <c r="C330" s="28">
        <v>106</v>
      </c>
      <c r="D330" s="28">
        <v>109</v>
      </c>
      <c r="E330" s="28">
        <v>12</v>
      </c>
      <c r="F330" s="28">
        <v>1305</v>
      </c>
      <c r="G330" s="29"/>
    </row>
    <row r="331" spans="1:7" ht="15.75">
      <c r="A331" s="51" t="s">
        <v>948</v>
      </c>
      <c r="B331" s="28">
        <v>0</v>
      </c>
      <c r="C331" s="28">
        <v>72</v>
      </c>
      <c r="D331" s="28">
        <v>68</v>
      </c>
      <c r="E331" s="28">
        <v>12</v>
      </c>
      <c r="F331" s="28">
        <v>820</v>
      </c>
      <c r="G331" s="29"/>
    </row>
    <row r="332" spans="1:7" ht="15.75">
      <c r="A332" s="51" t="s">
        <v>949</v>
      </c>
      <c r="B332" s="28">
        <v>0</v>
      </c>
      <c r="C332" s="28">
        <v>116</v>
      </c>
      <c r="D332" s="28">
        <v>115</v>
      </c>
      <c r="E332" s="28">
        <v>12</v>
      </c>
      <c r="F332" s="28">
        <v>1381</v>
      </c>
      <c r="G332" s="29"/>
    </row>
    <row r="333" spans="1:7" ht="15.75">
      <c r="A333" s="51" t="s">
        <v>950</v>
      </c>
      <c r="B333" s="28">
        <v>0</v>
      </c>
      <c r="C333" s="28">
        <v>78</v>
      </c>
      <c r="D333" s="28">
        <v>76</v>
      </c>
      <c r="E333" s="28">
        <v>12</v>
      </c>
      <c r="F333" s="28">
        <v>914</v>
      </c>
      <c r="G333" s="29"/>
    </row>
    <row r="334" spans="1:7" ht="15.75">
      <c r="A334" s="51" t="s">
        <v>951</v>
      </c>
      <c r="B334" s="28">
        <v>0</v>
      </c>
      <c r="C334" s="28">
        <v>102</v>
      </c>
      <c r="D334" s="28">
        <v>106</v>
      </c>
      <c r="E334" s="28">
        <v>12</v>
      </c>
      <c r="F334" s="28">
        <v>1268</v>
      </c>
      <c r="G334" s="29"/>
    </row>
    <row r="335" spans="1:7" ht="15.75">
      <c r="A335" s="51" t="s">
        <v>952</v>
      </c>
      <c r="B335" s="28">
        <v>0</v>
      </c>
      <c r="C335" s="28">
        <v>140</v>
      </c>
      <c r="D335" s="28">
        <v>145</v>
      </c>
      <c r="E335" s="28">
        <v>12</v>
      </c>
      <c r="F335" s="28">
        <v>1735</v>
      </c>
      <c r="G335" s="29"/>
    </row>
    <row r="336" spans="1:7" ht="15.75">
      <c r="A336" s="51" t="s">
        <v>953</v>
      </c>
      <c r="B336" s="28">
        <v>0</v>
      </c>
      <c r="C336" s="28">
        <v>160</v>
      </c>
      <c r="D336" s="28">
        <v>155</v>
      </c>
      <c r="E336" s="28">
        <v>12</v>
      </c>
      <c r="F336" s="28">
        <v>1865</v>
      </c>
      <c r="G336" s="29"/>
    </row>
    <row r="337" spans="1:7" ht="15.75">
      <c r="A337" s="51" t="s">
        <v>954</v>
      </c>
      <c r="B337" s="28">
        <v>0</v>
      </c>
      <c r="C337" s="28">
        <v>138</v>
      </c>
      <c r="D337" s="28">
        <v>140</v>
      </c>
      <c r="E337" s="28">
        <v>12</v>
      </c>
      <c r="F337" s="28">
        <v>1678</v>
      </c>
      <c r="G337" s="29"/>
    </row>
    <row r="338" spans="1:7" ht="15.75">
      <c r="A338" s="51" t="s">
        <v>955</v>
      </c>
      <c r="B338" s="28">
        <v>0</v>
      </c>
      <c r="C338" s="28">
        <v>130</v>
      </c>
      <c r="D338" s="28">
        <v>129</v>
      </c>
      <c r="E338" s="28">
        <v>12</v>
      </c>
      <c r="F338" s="28">
        <v>1549</v>
      </c>
      <c r="G338" s="29"/>
    </row>
    <row r="339" spans="1:7" ht="15.75">
      <c r="A339" s="51" t="s">
        <v>956</v>
      </c>
      <c r="B339" s="28">
        <v>0</v>
      </c>
      <c r="C339" s="28">
        <v>138</v>
      </c>
      <c r="D339" s="28">
        <v>135</v>
      </c>
      <c r="E339" s="28">
        <v>12</v>
      </c>
      <c r="F339" s="28">
        <v>1623</v>
      </c>
      <c r="G339" s="29"/>
    </row>
    <row r="340" spans="1:7" ht="15.75">
      <c r="A340" s="51" t="s">
        <v>957</v>
      </c>
      <c r="B340" s="28">
        <v>0</v>
      </c>
      <c r="C340" s="28">
        <v>156</v>
      </c>
      <c r="D340" s="28">
        <v>152</v>
      </c>
      <c r="E340" s="28">
        <v>12</v>
      </c>
      <c r="F340" s="28">
        <v>1828</v>
      </c>
      <c r="G340" s="29"/>
    </row>
    <row r="341" spans="1:7" ht="15.75">
      <c r="A341" s="51" t="s">
        <v>958</v>
      </c>
      <c r="B341" s="28">
        <v>0</v>
      </c>
      <c r="C341" s="28">
        <v>112</v>
      </c>
      <c r="D341" s="28">
        <v>117</v>
      </c>
      <c r="E341" s="28">
        <v>12</v>
      </c>
      <c r="F341" s="28">
        <v>1399</v>
      </c>
      <c r="G341" s="29"/>
    </row>
    <row r="342" spans="1:7" ht="15.75">
      <c r="A342" s="51" t="s">
        <v>959</v>
      </c>
      <c r="B342" s="28">
        <v>0</v>
      </c>
      <c r="C342" s="28">
        <v>208</v>
      </c>
      <c r="D342" s="28">
        <v>210</v>
      </c>
      <c r="E342" s="28">
        <v>12</v>
      </c>
      <c r="F342" s="28">
        <v>2518</v>
      </c>
      <c r="G342" s="29"/>
    </row>
    <row r="343" spans="1:7" ht="15.75">
      <c r="A343" s="51" t="s">
        <v>960</v>
      </c>
      <c r="B343" s="28">
        <v>0</v>
      </c>
      <c r="C343" s="28">
        <v>160</v>
      </c>
      <c r="D343" s="28">
        <v>155</v>
      </c>
      <c r="E343" s="28">
        <v>12</v>
      </c>
      <c r="F343" s="28">
        <v>1865</v>
      </c>
      <c r="G343" s="29"/>
    </row>
    <row r="344" spans="1:7" ht="15.75">
      <c r="A344" s="51" t="s">
        <v>374</v>
      </c>
      <c r="B344" s="28">
        <v>0</v>
      </c>
      <c r="C344" s="28">
        <v>162</v>
      </c>
      <c r="D344" s="28">
        <v>165</v>
      </c>
      <c r="E344" s="28">
        <v>12</v>
      </c>
      <c r="F344" s="28">
        <v>1977</v>
      </c>
      <c r="G344" s="29"/>
    </row>
    <row r="345" spans="1:7" ht="15.75">
      <c r="A345" s="51" t="s">
        <v>961</v>
      </c>
      <c r="B345" s="28">
        <v>0</v>
      </c>
      <c r="C345" s="28">
        <v>214</v>
      </c>
      <c r="D345" s="28">
        <v>218</v>
      </c>
      <c r="E345" s="28">
        <v>12</v>
      </c>
      <c r="F345" s="28">
        <v>2612</v>
      </c>
      <c r="G345" s="29"/>
    </row>
    <row r="346" spans="1:7" ht="15.75">
      <c r="A346" s="51" t="s">
        <v>310</v>
      </c>
      <c r="B346" s="28">
        <v>0</v>
      </c>
      <c r="C346" s="28">
        <v>198</v>
      </c>
      <c r="D346" s="28">
        <v>194</v>
      </c>
      <c r="E346" s="28">
        <v>12</v>
      </c>
      <c r="F346" s="28">
        <v>2332</v>
      </c>
      <c r="G346" s="29"/>
    </row>
    <row r="347" spans="1:7" ht="15.75">
      <c r="A347" s="51" t="s">
        <v>962</v>
      </c>
      <c r="B347" s="28">
        <v>0</v>
      </c>
      <c r="C347" s="28">
        <v>200</v>
      </c>
      <c r="D347" s="28">
        <v>204</v>
      </c>
      <c r="E347" s="28">
        <v>12</v>
      </c>
      <c r="F347" s="28">
        <v>2444</v>
      </c>
      <c r="G347" s="29"/>
    </row>
    <row r="348" spans="1:7" ht="15.75">
      <c r="A348" s="51" t="s">
        <v>963</v>
      </c>
      <c r="B348" s="28">
        <v>0</v>
      </c>
      <c r="C348" s="28">
        <v>202</v>
      </c>
      <c r="D348" s="28">
        <v>197</v>
      </c>
      <c r="E348" s="28">
        <v>12</v>
      </c>
      <c r="F348" s="28">
        <v>2369</v>
      </c>
      <c r="G348" s="29"/>
    </row>
    <row r="349" spans="1:7" ht="15.75">
      <c r="A349" s="51" t="s">
        <v>964</v>
      </c>
      <c r="B349" s="28">
        <v>0</v>
      </c>
      <c r="C349" s="28">
        <v>258</v>
      </c>
      <c r="D349" s="28">
        <v>253</v>
      </c>
      <c r="E349" s="28">
        <v>12</v>
      </c>
      <c r="F349" s="28">
        <v>3041</v>
      </c>
      <c r="G349" s="29"/>
    </row>
    <row r="350" spans="1:7" ht="15.75">
      <c r="A350" s="51" t="s">
        <v>965</v>
      </c>
      <c r="B350" s="28">
        <v>0</v>
      </c>
      <c r="C350" s="28">
        <v>300</v>
      </c>
      <c r="D350" s="28">
        <v>295</v>
      </c>
      <c r="E350" s="28">
        <v>12</v>
      </c>
      <c r="F350" s="28">
        <v>3545</v>
      </c>
      <c r="G350" s="29"/>
    </row>
    <row r="351" spans="1:7" ht="15.75">
      <c r="A351" s="51" t="s">
        <v>966</v>
      </c>
      <c r="B351" s="28">
        <v>0</v>
      </c>
      <c r="C351" s="28">
        <v>310</v>
      </c>
      <c r="D351" s="28">
        <v>306</v>
      </c>
      <c r="E351" s="28">
        <v>12</v>
      </c>
      <c r="F351" s="28">
        <v>3676</v>
      </c>
      <c r="G351" s="29"/>
    </row>
    <row r="352" spans="1:7" ht="15.75">
      <c r="A352" s="51" t="s">
        <v>967</v>
      </c>
      <c r="B352" s="28">
        <v>0</v>
      </c>
      <c r="C352" s="28">
        <v>298</v>
      </c>
      <c r="D352" s="28">
        <v>297</v>
      </c>
      <c r="E352" s="28">
        <v>12</v>
      </c>
      <c r="F352" s="28">
        <v>3565</v>
      </c>
      <c r="G352" s="29"/>
    </row>
    <row r="353" spans="1:7" ht="15.75">
      <c r="A353" s="51" t="s">
        <v>968</v>
      </c>
      <c r="B353" s="28">
        <v>0</v>
      </c>
      <c r="C353" s="28">
        <v>354</v>
      </c>
      <c r="D353" s="28">
        <v>353</v>
      </c>
      <c r="E353" s="28">
        <v>12</v>
      </c>
      <c r="F353" s="28">
        <v>4237</v>
      </c>
      <c r="G353" s="29"/>
    </row>
    <row r="354" spans="1:7" ht="15.75">
      <c r="A354" s="51" t="s">
        <v>969</v>
      </c>
      <c r="B354" s="28">
        <v>0</v>
      </c>
      <c r="C354" s="28">
        <v>356</v>
      </c>
      <c r="D354" s="28">
        <v>351</v>
      </c>
      <c r="E354" s="28">
        <v>12</v>
      </c>
      <c r="F354" s="28">
        <v>4217</v>
      </c>
      <c r="G354" s="29"/>
    </row>
    <row r="355" spans="1:7" ht="15.75">
      <c r="A355" s="51" t="s">
        <v>970</v>
      </c>
      <c r="B355" s="28">
        <v>0</v>
      </c>
      <c r="C355" s="28">
        <v>376</v>
      </c>
      <c r="D355" s="28">
        <v>373</v>
      </c>
      <c r="E355" s="28">
        <v>12</v>
      </c>
      <c r="F355" s="28">
        <v>4479</v>
      </c>
      <c r="G355" s="29"/>
    </row>
    <row r="356" spans="1:7" ht="15.75">
      <c r="A356" s="51" t="s">
        <v>971</v>
      </c>
      <c r="B356" s="28">
        <v>0</v>
      </c>
      <c r="C356" s="28">
        <v>424</v>
      </c>
      <c r="D356" s="28">
        <v>423</v>
      </c>
      <c r="E356" s="28">
        <v>12</v>
      </c>
      <c r="F356" s="28">
        <v>5077</v>
      </c>
      <c r="G356" s="29"/>
    </row>
    <row r="357" spans="1:7" ht="15.75">
      <c r="A357" s="51" t="s">
        <v>972</v>
      </c>
      <c r="B357" s="28">
        <v>0</v>
      </c>
      <c r="C357" s="28">
        <v>418</v>
      </c>
      <c r="D357" s="28">
        <v>420</v>
      </c>
      <c r="E357" s="28">
        <v>12</v>
      </c>
      <c r="F357" s="28">
        <v>5038</v>
      </c>
      <c r="G357" s="29"/>
    </row>
    <row r="358" spans="1:7" ht="15.75">
      <c r="A358" s="51" t="s">
        <v>973</v>
      </c>
      <c r="B358" s="28">
        <v>0</v>
      </c>
      <c r="C358" s="28">
        <v>400</v>
      </c>
      <c r="D358" s="28">
        <v>398</v>
      </c>
      <c r="E358" s="28">
        <v>12</v>
      </c>
      <c r="F358" s="28">
        <v>4778</v>
      </c>
      <c r="G358" s="29"/>
    </row>
    <row r="359" spans="1:7" ht="15.75">
      <c r="A359" s="51" t="s">
        <v>974</v>
      </c>
      <c r="B359" s="28">
        <v>0</v>
      </c>
      <c r="C359" s="28">
        <v>568</v>
      </c>
      <c r="D359" s="28">
        <v>571</v>
      </c>
      <c r="E359" s="28">
        <v>12</v>
      </c>
      <c r="F359" s="28">
        <v>6849</v>
      </c>
      <c r="G359" s="29"/>
    </row>
    <row r="360" spans="1:7" ht="15.75">
      <c r="A360" s="51" t="s">
        <v>975</v>
      </c>
      <c r="B360" s="28">
        <v>0</v>
      </c>
      <c r="C360" s="28">
        <v>450</v>
      </c>
      <c r="D360" s="28">
        <v>446</v>
      </c>
      <c r="E360" s="28">
        <v>12</v>
      </c>
      <c r="F360" s="28">
        <v>5356</v>
      </c>
      <c r="G360" s="29"/>
    </row>
    <row r="361" spans="1:7" ht="15.75">
      <c r="A361" s="51" t="s">
        <v>976</v>
      </c>
      <c r="B361" s="28">
        <v>0</v>
      </c>
      <c r="C361" s="28">
        <v>432</v>
      </c>
      <c r="D361" s="28">
        <v>429</v>
      </c>
      <c r="E361" s="28">
        <v>12</v>
      </c>
      <c r="F361" s="28">
        <v>5151</v>
      </c>
      <c r="G361" s="29"/>
    </row>
    <row r="362" spans="1:7" ht="15.75">
      <c r="A362" s="51" t="s">
        <v>977</v>
      </c>
      <c r="B362" s="28">
        <v>0</v>
      </c>
      <c r="C362" s="28">
        <v>698</v>
      </c>
      <c r="D362" s="28">
        <v>700</v>
      </c>
      <c r="E362" s="28">
        <v>12</v>
      </c>
      <c r="F362" s="28">
        <v>8398</v>
      </c>
      <c r="G362" s="29"/>
    </row>
    <row r="363" spans="1:7" ht="15.75">
      <c r="A363" s="51" t="s">
        <v>978</v>
      </c>
      <c r="B363" s="28">
        <v>0</v>
      </c>
      <c r="C363" s="28">
        <v>100</v>
      </c>
      <c r="D363" s="28">
        <v>96</v>
      </c>
      <c r="E363" s="28">
        <v>12</v>
      </c>
      <c r="F363" s="28">
        <v>1156</v>
      </c>
      <c r="G363" s="29"/>
    </row>
    <row r="364" spans="1:7" ht="15.75">
      <c r="A364" s="51" t="s">
        <v>179</v>
      </c>
      <c r="B364" s="28">
        <v>0</v>
      </c>
      <c r="C364" s="28">
        <v>70</v>
      </c>
      <c r="D364" s="28">
        <v>75</v>
      </c>
      <c r="E364" s="28">
        <v>12</v>
      </c>
      <c r="F364" s="28">
        <v>895</v>
      </c>
      <c r="G364" s="29"/>
    </row>
    <row r="365" spans="1:7" ht="15.75">
      <c r="A365" s="51" t="s">
        <v>979</v>
      </c>
      <c r="B365" s="28">
        <v>0</v>
      </c>
      <c r="C365" s="28">
        <v>204</v>
      </c>
      <c r="D365" s="28">
        <v>202</v>
      </c>
      <c r="E365" s="28">
        <v>12</v>
      </c>
      <c r="F365" s="28">
        <v>2426</v>
      </c>
      <c r="G365" s="29"/>
    </row>
    <row r="366" spans="1:7" ht="15.75">
      <c r="A366" s="51" t="s">
        <v>304</v>
      </c>
      <c r="B366" s="28">
        <v>0</v>
      </c>
      <c r="C366" s="28">
        <v>246</v>
      </c>
      <c r="D366" s="28">
        <v>244</v>
      </c>
      <c r="E366" s="28">
        <v>12</v>
      </c>
      <c r="F366" s="28">
        <v>2930</v>
      </c>
      <c r="G366" s="29"/>
    </row>
    <row r="367" spans="1:7" ht="15.75">
      <c r="A367" s="51" t="s">
        <v>315</v>
      </c>
      <c r="B367" s="28">
        <v>0</v>
      </c>
      <c r="C367" s="28">
        <v>288</v>
      </c>
      <c r="D367" s="28">
        <v>286</v>
      </c>
      <c r="E367" s="28">
        <v>12</v>
      </c>
      <c r="F367" s="28">
        <v>3434</v>
      </c>
      <c r="G367" s="29"/>
    </row>
    <row r="368" spans="1:7" ht="15.75">
      <c r="A368" s="51" t="s">
        <v>980</v>
      </c>
      <c r="B368" s="28">
        <v>0</v>
      </c>
      <c r="C368" s="28">
        <v>22</v>
      </c>
      <c r="D368" s="28">
        <v>20</v>
      </c>
      <c r="E368" s="28">
        <v>12</v>
      </c>
      <c r="F368" s="28">
        <v>242</v>
      </c>
      <c r="G368" s="29"/>
    </row>
    <row r="369" spans="1:7" ht="15.75">
      <c r="A369" s="51" t="s">
        <v>981</v>
      </c>
      <c r="B369" s="28">
        <v>0</v>
      </c>
      <c r="C369" s="28">
        <v>270</v>
      </c>
      <c r="D369" s="28">
        <v>274</v>
      </c>
      <c r="E369" s="28">
        <v>12</v>
      </c>
      <c r="F369" s="28">
        <v>3284</v>
      </c>
      <c r="G369" s="29"/>
    </row>
    <row r="370" spans="1:7" ht="15.75">
      <c r="A370" s="51" t="s">
        <v>507</v>
      </c>
      <c r="B370" s="28">
        <v>0</v>
      </c>
      <c r="C370" s="28">
        <v>106</v>
      </c>
      <c r="D370" s="28">
        <v>109</v>
      </c>
      <c r="E370" s="28">
        <v>12</v>
      </c>
      <c r="F370" s="28">
        <v>1305</v>
      </c>
      <c r="G370" s="29"/>
    </row>
    <row r="371" spans="1:7" ht="15.75">
      <c r="A371" s="51" t="s">
        <v>982</v>
      </c>
      <c r="B371" s="28">
        <v>0</v>
      </c>
      <c r="C371" s="28">
        <v>40</v>
      </c>
      <c r="D371" s="28">
        <v>37</v>
      </c>
      <c r="E371" s="28">
        <v>12</v>
      </c>
      <c r="F371" s="28">
        <v>447</v>
      </c>
      <c r="G371" s="29"/>
    </row>
    <row r="372" spans="1:7" ht="15.75">
      <c r="A372" s="51" t="s">
        <v>254</v>
      </c>
      <c r="B372" s="28">
        <v>0</v>
      </c>
      <c r="C372" s="28">
        <v>22</v>
      </c>
      <c r="D372" s="28">
        <v>25</v>
      </c>
      <c r="E372" s="28">
        <v>12</v>
      </c>
      <c r="F372" s="28">
        <v>297</v>
      </c>
      <c r="G372" s="29"/>
    </row>
    <row r="373" spans="1:7" ht="15.75">
      <c r="A373" s="51" t="s">
        <v>480</v>
      </c>
      <c r="B373" s="28">
        <v>0</v>
      </c>
      <c r="C373" s="28">
        <v>50</v>
      </c>
      <c r="D373" s="28">
        <v>48</v>
      </c>
      <c r="E373" s="28">
        <v>12</v>
      </c>
      <c r="F373" s="28">
        <v>578</v>
      </c>
      <c r="G373" s="29"/>
    </row>
    <row r="374" spans="1:7" ht="15.75">
      <c r="A374" s="51" t="s">
        <v>983</v>
      </c>
      <c r="B374" s="28">
        <v>0</v>
      </c>
      <c r="C374" s="28">
        <v>156</v>
      </c>
      <c r="D374" s="28">
        <v>152</v>
      </c>
      <c r="E374" s="28">
        <v>12</v>
      </c>
      <c r="F374" s="28">
        <v>1828</v>
      </c>
      <c r="G374" s="29"/>
    </row>
    <row r="375" spans="1:7" ht="15.75">
      <c r="A375" s="51" t="s">
        <v>984</v>
      </c>
      <c r="B375" s="28">
        <v>0</v>
      </c>
      <c r="C375" s="28">
        <v>390</v>
      </c>
      <c r="D375" s="28">
        <v>387</v>
      </c>
      <c r="E375" s="28">
        <v>12</v>
      </c>
      <c r="F375" s="28">
        <v>4647</v>
      </c>
      <c r="G375" s="29"/>
    </row>
    <row r="376" spans="1:7" ht="15.75">
      <c r="A376" s="51" t="s">
        <v>985</v>
      </c>
      <c r="B376" s="28">
        <v>0</v>
      </c>
      <c r="C376" s="28">
        <v>208</v>
      </c>
      <c r="D376" s="28">
        <v>205</v>
      </c>
      <c r="E376" s="28">
        <v>12</v>
      </c>
      <c r="F376" s="28">
        <v>2463</v>
      </c>
      <c r="G376" s="29"/>
    </row>
    <row r="377" spans="1:7" ht="15.75">
      <c r="A377" s="51" t="s">
        <v>411</v>
      </c>
      <c r="B377" s="28">
        <v>0</v>
      </c>
      <c r="C377" s="28">
        <v>60</v>
      </c>
      <c r="D377" s="28">
        <v>59</v>
      </c>
      <c r="E377" s="28">
        <v>12</v>
      </c>
      <c r="F377" s="28">
        <v>709</v>
      </c>
      <c r="G377" s="29"/>
    </row>
    <row r="378" spans="1:7" ht="15.75">
      <c r="A378" s="51" t="s">
        <v>986</v>
      </c>
      <c r="B378" s="28">
        <v>0</v>
      </c>
      <c r="C378" s="28">
        <v>70</v>
      </c>
      <c r="D378" s="28">
        <v>75</v>
      </c>
      <c r="E378" s="28">
        <v>12</v>
      </c>
      <c r="F378" s="28">
        <v>895</v>
      </c>
      <c r="G378" s="29"/>
    </row>
    <row r="379" spans="1:7" ht="15.75">
      <c r="A379" s="51" t="s">
        <v>263</v>
      </c>
      <c r="B379" s="28">
        <v>0</v>
      </c>
      <c r="C379" s="28">
        <v>96</v>
      </c>
      <c r="D379" s="28">
        <v>98</v>
      </c>
      <c r="E379" s="28">
        <v>12</v>
      </c>
      <c r="F379" s="28">
        <v>1174</v>
      </c>
      <c r="G379" s="29"/>
    </row>
    <row r="380" spans="1:7" ht="15.75">
      <c r="A380" s="51" t="s">
        <v>333</v>
      </c>
      <c r="B380" s="28">
        <v>0</v>
      </c>
      <c r="C380" s="28">
        <v>124</v>
      </c>
      <c r="D380" s="28">
        <v>121</v>
      </c>
      <c r="E380" s="28">
        <v>12</v>
      </c>
      <c r="F380" s="28">
        <v>1455</v>
      </c>
      <c r="G380" s="29"/>
    </row>
    <row r="381" spans="1:7" ht="15.75">
      <c r="A381" s="51" t="s">
        <v>278</v>
      </c>
      <c r="B381" s="28">
        <v>0</v>
      </c>
      <c r="C381" s="28">
        <v>144</v>
      </c>
      <c r="D381" s="28">
        <v>143</v>
      </c>
      <c r="E381" s="28">
        <v>12</v>
      </c>
      <c r="F381" s="28">
        <v>1717</v>
      </c>
      <c r="G381" s="29"/>
    </row>
    <row r="382" spans="1:7" ht="15.75">
      <c r="A382" s="51" t="s">
        <v>377</v>
      </c>
      <c r="B382" s="28">
        <v>0</v>
      </c>
      <c r="C382" s="28">
        <v>162</v>
      </c>
      <c r="D382" s="28">
        <v>165</v>
      </c>
      <c r="E382" s="28">
        <v>12</v>
      </c>
      <c r="F382" s="28">
        <v>1977</v>
      </c>
      <c r="G382" s="29"/>
    </row>
    <row r="383" spans="1:7" ht="15.75">
      <c r="A383" s="51" t="s">
        <v>987</v>
      </c>
      <c r="B383" s="28">
        <v>0</v>
      </c>
      <c r="C383" s="28">
        <v>186</v>
      </c>
      <c r="D383" s="28">
        <v>185</v>
      </c>
      <c r="E383" s="28">
        <v>12</v>
      </c>
      <c r="F383" s="28">
        <v>2221</v>
      </c>
      <c r="G383" s="29"/>
    </row>
    <row r="384" spans="1:7" ht="15.75">
      <c r="A384" s="51" t="s">
        <v>388</v>
      </c>
      <c r="B384" s="28">
        <v>0</v>
      </c>
      <c r="C384" s="28">
        <v>226</v>
      </c>
      <c r="D384" s="28">
        <v>222</v>
      </c>
      <c r="E384" s="28">
        <v>12</v>
      </c>
      <c r="F384" s="28">
        <v>2668</v>
      </c>
      <c r="G384" s="29"/>
    </row>
    <row r="385" spans="1:7" ht="15.75">
      <c r="A385" s="51" t="s">
        <v>988</v>
      </c>
      <c r="B385" s="28">
        <v>0</v>
      </c>
      <c r="C385" s="28">
        <v>306</v>
      </c>
      <c r="D385" s="28">
        <v>303</v>
      </c>
      <c r="E385" s="28">
        <v>12</v>
      </c>
      <c r="F385" s="28">
        <v>3639</v>
      </c>
      <c r="G385" s="29"/>
    </row>
    <row r="386" spans="1:7" ht="15.75">
      <c r="A386" s="51" t="s">
        <v>989</v>
      </c>
      <c r="B386" s="28">
        <v>0</v>
      </c>
      <c r="C386" s="28">
        <v>312</v>
      </c>
      <c r="D386" s="28">
        <v>311</v>
      </c>
      <c r="E386" s="28">
        <v>12</v>
      </c>
      <c r="F386" s="28">
        <v>3733</v>
      </c>
      <c r="G386" s="29"/>
    </row>
    <row r="387" spans="1:7" ht="15.75">
      <c r="A387" s="51" t="s">
        <v>990</v>
      </c>
      <c r="B387" s="28">
        <v>0</v>
      </c>
      <c r="C387" s="28">
        <v>620</v>
      </c>
      <c r="D387" s="28">
        <v>619</v>
      </c>
      <c r="E387" s="28">
        <v>12</v>
      </c>
      <c r="F387" s="28">
        <v>7429</v>
      </c>
      <c r="G387" s="29"/>
    </row>
    <row r="388" spans="1:7" ht="15.75">
      <c r="A388" s="51" t="s">
        <v>991</v>
      </c>
      <c r="B388" s="28">
        <v>0</v>
      </c>
      <c r="C388" s="28">
        <v>706</v>
      </c>
      <c r="D388" s="28">
        <v>701</v>
      </c>
      <c r="E388" s="28">
        <v>12</v>
      </c>
      <c r="F388" s="28">
        <v>8417</v>
      </c>
      <c r="G388" s="29"/>
    </row>
    <row r="389" spans="1:7" ht="15.75">
      <c r="A389" s="51" t="s">
        <v>486</v>
      </c>
      <c r="B389" s="28">
        <v>0</v>
      </c>
      <c r="C389" s="28">
        <v>172</v>
      </c>
      <c r="D389" s="28">
        <v>171</v>
      </c>
      <c r="E389" s="28">
        <v>12</v>
      </c>
      <c r="F389" s="28">
        <v>2053</v>
      </c>
      <c r="G389" s="29"/>
    </row>
    <row r="390" spans="1:7" ht="15.75">
      <c r="A390" s="51" t="s">
        <v>496</v>
      </c>
      <c r="B390" s="28">
        <v>0</v>
      </c>
      <c r="C390" s="28">
        <v>278</v>
      </c>
      <c r="D390" s="28">
        <v>280</v>
      </c>
      <c r="E390" s="28">
        <v>12</v>
      </c>
      <c r="F390" s="28">
        <v>3358</v>
      </c>
      <c r="G390" s="29"/>
    </row>
    <row r="391" spans="1:7" ht="15.75">
      <c r="A391" s="51" t="s">
        <v>510</v>
      </c>
      <c r="B391" s="28">
        <v>0</v>
      </c>
      <c r="C391" s="28">
        <v>292</v>
      </c>
      <c r="D391" s="28">
        <v>289</v>
      </c>
      <c r="E391" s="28">
        <v>12</v>
      </c>
      <c r="F391" s="28">
        <v>3471</v>
      </c>
      <c r="G391" s="29"/>
    </row>
    <row r="392" spans="1:7" ht="15.75">
      <c r="A392" s="51" t="s">
        <v>992</v>
      </c>
      <c r="B392" s="28">
        <v>0</v>
      </c>
      <c r="C392" s="28">
        <v>106</v>
      </c>
      <c r="D392" s="28">
        <v>109</v>
      </c>
      <c r="E392" s="28">
        <v>12</v>
      </c>
      <c r="F392" s="28">
        <v>1305</v>
      </c>
      <c r="G392" s="29"/>
    </row>
    <row r="393" spans="1:7" ht="15.75">
      <c r="A393" s="51" t="s">
        <v>404</v>
      </c>
      <c r="B393" s="28">
        <v>0</v>
      </c>
      <c r="C393" s="28">
        <v>16</v>
      </c>
      <c r="D393" s="28">
        <v>12</v>
      </c>
      <c r="E393" s="28">
        <v>12</v>
      </c>
      <c r="F393" s="28">
        <v>148</v>
      </c>
      <c r="G393" s="29"/>
    </row>
    <row r="394" spans="1:7" ht="15.75">
      <c r="A394" s="51" t="s">
        <v>993</v>
      </c>
      <c r="B394" s="28">
        <v>0</v>
      </c>
      <c r="C394" s="28">
        <v>14</v>
      </c>
      <c r="D394" s="28">
        <v>19</v>
      </c>
      <c r="E394" s="28">
        <v>12</v>
      </c>
      <c r="F394" s="28">
        <v>223</v>
      </c>
      <c r="G394" s="29"/>
    </row>
    <row r="395" spans="1:7" ht="15.75">
      <c r="A395" s="51" t="s">
        <v>260</v>
      </c>
      <c r="B395" s="28">
        <v>0</v>
      </c>
      <c r="C395" s="28">
        <v>68</v>
      </c>
      <c r="D395" s="28">
        <v>65</v>
      </c>
      <c r="E395" s="28">
        <v>12</v>
      </c>
      <c r="F395" s="28">
        <v>783</v>
      </c>
      <c r="G395" s="29"/>
    </row>
    <row r="396" spans="1:7" ht="15.75">
      <c r="A396" s="51" t="s">
        <v>994</v>
      </c>
      <c r="B396" s="28">
        <v>0</v>
      </c>
      <c r="C396" s="28">
        <v>28</v>
      </c>
      <c r="D396" s="28">
        <v>33</v>
      </c>
      <c r="E396" s="28">
        <v>12</v>
      </c>
      <c r="F396" s="28">
        <v>391</v>
      </c>
      <c r="G396" s="29"/>
    </row>
    <row r="397" spans="1:7" ht="15.75">
      <c r="A397" s="51" t="s">
        <v>995</v>
      </c>
      <c r="B397" s="28">
        <v>0</v>
      </c>
      <c r="C397" s="28">
        <v>92</v>
      </c>
      <c r="D397" s="28">
        <v>95</v>
      </c>
      <c r="E397" s="28">
        <v>12</v>
      </c>
      <c r="F397" s="28">
        <v>1137</v>
      </c>
      <c r="G397" s="29"/>
    </row>
    <row r="398" spans="1:7" ht="15.75">
      <c r="A398" s="51" t="s">
        <v>996</v>
      </c>
      <c r="B398" s="28">
        <v>0</v>
      </c>
      <c r="C398" s="28">
        <v>110</v>
      </c>
      <c r="D398" s="28">
        <v>112</v>
      </c>
      <c r="E398" s="28">
        <v>12</v>
      </c>
      <c r="F398" s="28">
        <v>1342</v>
      </c>
      <c r="G398" s="29"/>
    </row>
    <row r="399" spans="1:7" ht="15.75">
      <c r="A399" s="51" t="s">
        <v>365</v>
      </c>
      <c r="B399" s="28">
        <v>0</v>
      </c>
      <c r="C399" s="28">
        <v>130</v>
      </c>
      <c r="D399" s="28">
        <v>134</v>
      </c>
      <c r="E399" s="28">
        <v>12</v>
      </c>
      <c r="F399" s="28">
        <v>1604</v>
      </c>
      <c r="G399" s="29"/>
    </row>
    <row r="400" spans="1:7" ht="15.75">
      <c r="A400" s="51" t="s">
        <v>997</v>
      </c>
      <c r="B400" s="28">
        <v>0</v>
      </c>
      <c r="C400" s="28">
        <v>72</v>
      </c>
      <c r="D400" s="28">
        <v>68</v>
      </c>
      <c r="E400" s="28">
        <v>12</v>
      </c>
      <c r="F400" s="28">
        <v>820</v>
      </c>
      <c r="G400" s="29"/>
    </row>
    <row r="401" spans="1:7" ht="15.75">
      <c r="A401" s="51" t="s">
        <v>400</v>
      </c>
      <c r="B401" s="28">
        <v>0</v>
      </c>
      <c r="C401" s="28">
        <v>278</v>
      </c>
      <c r="D401" s="28">
        <v>275</v>
      </c>
      <c r="E401" s="28">
        <v>12</v>
      </c>
      <c r="F401" s="28">
        <v>3303</v>
      </c>
      <c r="G401" s="29"/>
    </row>
    <row r="402" spans="1:7" ht="15.75">
      <c r="A402" s="51" t="s">
        <v>998</v>
      </c>
      <c r="B402" s="28">
        <v>0</v>
      </c>
      <c r="C402" s="28">
        <v>270</v>
      </c>
      <c r="D402" s="28">
        <v>269</v>
      </c>
      <c r="E402" s="28">
        <v>12</v>
      </c>
      <c r="F402" s="28">
        <v>3229</v>
      </c>
      <c r="G402" s="29"/>
    </row>
    <row r="403" spans="1:7" ht="15.75">
      <c r="A403" s="51" t="s">
        <v>999</v>
      </c>
      <c r="B403" s="28">
        <v>0</v>
      </c>
      <c r="C403" s="28">
        <v>408</v>
      </c>
      <c r="D403" s="28">
        <v>404</v>
      </c>
      <c r="E403" s="28">
        <v>12</v>
      </c>
      <c r="F403" s="28">
        <v>4852</v>
      </c>
      <c r="G403" s="29"/>
    </row>
    <row r="404" spans="1:7" ht="15.75">
      <c r="A404" s="51" t="s">
        <v>1000</v>
      </c>
      <c r="B404" s="28">
        <v>0</v>
      </c>
      <c r="C404" s="28">
        <v>376</v>
      </c>
      <c r="D404" s="28">
        <v>373</v>
      </c>
      <c r="E404" s="28">
        <v>12</v>
      </c>
      <c r="F404" s="28">
        <v>4479</v>
      </c>
      <c r="G404" s="29"/>
    </row>
    <row r="405" spans="1:7" ht="15.75">
      <c r="A405" s="51" t="s">
        <v>1001</v>
      </c>
      <c r="B405" s="28">
        <v>0</v>
      </c>
      <c r="C405" s="28">
        <v>532</v>
      </c>
      <c r="D405" s="28">
        <v>537</v>
      </c>
      <c r="E405" s="28">
        <v>12</v>
      </c>
      <c r="F405" s="28">
        <v>6439</v>
      </c>
      <c r="G405" s="29"/>
    </row>
    <row r="406" spans="1:7" ht="15.75">
      <c r="A406" s="51" t="s">
        <v>1002</v>
      </c>
      <c r="B406" s="28">
        <v>0</v>
      </c>
      <c r="C406" s="28">
        <v>558</v>
      </c>
      <c r="D406" s="28">
        <v>560</v>
      </c>
      <c r="E406" s="28">
        <v>12</v>
      </c>
      <c r="F406" s="28">
        <v>6718</v>
      </c>
      <c r="G406" s="29"/>
    </row>
    <row r="407" spans="1:7" ht="15.75">
      <c r="A407" s="51" t="s">
        <v>1003</v>
      </c>
      <c r="B407" s="28">
        <v>0</v>
      </c>
      <c r="C407" s="28">
        <v>558</v>
      </c>
      <c r="D407" s="28">
        <v>560</v>
      </c>
      <c r="E407" s="28">
        <v>12</v>
      </c>
      <c r="F407" s="28">
        <v>6718</v>
      </c>
      <c r="G407" s="29"/>
    </row>
    <row r="408" spans="1:7" ht="15.75">
      <c r="A408" s="51" t="s">
        <v>518</v>
      </c>
      <c r="B408" s="28">
        <v>0</v>
      </c>
      <c r="C408" s="28">
        <v>88</v>
      </c>
      <c r="D408" s="28">
        <v>87</v>
      </c>
      <c r="E408" s="28">
        <v>12</v>
      </c>
      <c r="F408" s="28">
        <v>1045</v>
      </c>
      <c r="G408" s="29"/>
    </row>
    <row r="409" spans="1:7" ht="15.75">
      <c r="A409" s="51" t="s">
        <v>193</v>
      </c>
      <c r="B409" s="28">
        <v>0</v>
      </c>
      <c r="C409" s="28">
        <v>558</v>
      </c>
      <c r="D409" s="28">
        <v>560</v>
      </c>
      <c r="E409" s="28">
        <v>12</v>
      </c>
      <c r="F409" s="28">
        <v>6718</v>
      </c>
      <c r="G409" s="29"/>
    </row>
    <row r="410" spans="1:7" ht="15.75">
      <c r="A410" s="51" t="s">
        <v>196</v>
      </c>
      <c r="B410" s="28">
        <v>0</v>
      </c>
      <c r="C410" s="28">
        <v>680</v>
      </c>
      <c r="D410" s="28">
        <v>678</v>
      </c>
      <c r="E410" s="28">
        <v>12</v>
      </c>
      <c r="F410" s="28">
        <v>8138</v>
      </c>
      <c r="G410" s="29"/>
    </row>
    <row r="411" spans="1:7" ht="15.75">
      <c r="A411" s="51" t="s">
        <v>209</v>
      </c>
      <c r="B411" s="28">
        <v>0</v>
      </c>
      <c r="C411" s="28">
        <v>756</v>
      </c>
      <c r="D411" s="28">
        <v>761</v>
      </c>
      <c r="E411" s="28">
        <v>12</v>
      </c>
      <c r="F411" s="28">
        <v>9127</v>
      </c>
      <c r="G411" s="29"/>
    </row>
    <row r="412" spans="1:7" ht="15.75">
      <c r="A412" s="51" t="s">
        <v>1004</v>
      </c>
      <c r="B412" s="28">
        <v>0</v>
      </c>
      <c r="C412" s="28">
        <v>130</v>
      </c>
      <c r="D412" s="28">
        <v>129</v>
      </c>
      <c r="E412" s="28">
        <v>12</v>
      </c>
      <c r="F412" s="28">
        <v>1549</v>
      </c>
      <c r="G412" s="29"/>
    </row>
    <row r="413" spans="1:7" ht="15.75">
      <c r="A413" s="51" t="s">
        <v>447</v>
      </c>
      <c r="B413" s="28">
        <v>0</v>
      </c>
      <c r="C413" s="28">
        <v>58</v>
      </c>
      <c r="D413" s="28">
        <v>54</v>
      </c>
      <c r="E413" s="28">
        <v>12</v>
      </c>
      <c r="F413" s="28">
        <v>652</v>
      </c>
      <c r="G413" s="29"/>
    </row>
    <row r="414" spans="1:7" ht="15.75">
      <c r="A414" s="51" t="s">
        <v>1005</v>
      </c>
      <c r="B414" s="28">
        <v>0</v>
      </c>
      <c r="C414" s="28">
        <v>36</v>
      </c>
      <c r="D414" s="28">
        <v>39</v>
      </c>
      <c r="E414" s="28">
        <v>12</v>
      </c>
      <c r="F414" s="28">
        <v>465</v>
      </c>
      <c r="G414" s="29"/>
    </row>
    <row r="415" spans="1:7" ht="15.75">
      <c r="A415" s="51" t="s">
        <v>183</v>
      </c>
      <c r="B415" s="28">
        <v>0</v>
      </c>
      <c r="C415" s="28">
        <v>34</v>
      </c>
      <c r="D415" s="28">
        <v>29</v>
      </c>
      <c r="E415" s="28">
        <v>12</v>
      </c>
      <c r="F415" s="28">
        <v>353</v>
      </c>
      <c r="G415" s="29"/>
    </row>
    <row r="416" spans="1:7" ht="15.75">
      <c r="A416" s="51" t="s">
        <v>328</v>
      </c>
      <c r="B416" s="28">
        <v>0</v>
      </c>
      <c r="C416" s="28">
        <v>90</v>
      </c>
      <c r="D416" s="28">
        <v>85</v>
      </c>
      <c r="E416" s="28">
        <v>12</v>
      </c>
      <c r="F416" s="28">
        <v>1025</v>
      </c>
      <c r="G416" s="29"/>
    </row>
    <row r="417" spans="1:7" ht="15.75">
      <c r="A417" s="51" t="s">
        <v>1006</v>
      </c>
      <c r="B417" s="28">
        <v>0</v>
      </c>
      <c r="C417" s="28">
        <v>210</v>
      </c>
      <c r="D417" s="28">
        <v>215</v>
      </c>
      <c r="E417" s="28">
        <v>12</v>
      </c>
      <c r="F417" s="28">
        <v>2575</v>
      </c>
      <c r="G417" s="29"/>
    </row>
    <row r="418" spans="1:7" ht="15.75">
      <c r="A418" s="51" t="s">
        <v>1007</v>
      </c>
      <c r="B418" s="28">
        <v>0</v>
      </c>
      <c r="C418" s="28">
        <v>274</v>
      </c>
      <c r="D418" s="28">
        <v>272</v>
      </c>
      <c r="E418" s="28">
        <v>12</v>
      </c>
      <c r="F418" s="28">
        <v>3266</v>
      </c>
      <c r="G418" s="29"/>
    </row>
    <row r="419" spans="1:7" ht="15.75">
      <c r="A419" s="51" t="s">
        <v>1008</v>
      </c>
      <c r="B419" s="28">
        <v>0</v>
      </c>
      <c r="C419" s="28">
        <v>464</v>
      </c>
      <c r="D419" s="28">
        <v>460</v>
      </c>
      <c r="E419" s="28">
        <v>12</v>
      </c>
      <c r="F419" s="28">
        <v>5524</v>
      </c>
      <c r="G419" s="29"/>
    </row>
    <row r="420" spans="1:7" ht="15.75">
      <c r="A420" s="51" t="s">
        <v>1009</v>
      </c>
      <c r="B420" s="28">
        <v>0</v>
      </c>
      <c r="C420" s="28">
        <v>314</v>
      </c>
      <c r="D420" s="28">
        <v>309</v>
      </c>
      <c r="E420" s="28">
        <v>12</v>
      </c>
      <c r="F420" s="28">
        <v>3713</v>
      </c>
      <c r="G420" s="29"/>
    </row>
    <row r="421" spans="1:7" ht="15.75">
      <c r="A421" s="51" t="s">
        <v>1010</v>
      </c>
      <c r="B421" s="28">
        <v>0</v>
      </c>
      <c r="C421" s="28">
        <v>440</v>
      </c>
      <c r="D421" s="28">
        <v>435</v>
      </c>
      <c r="E421" s="28">
        <v>12</v>
      </c>
      <c r="F421" s="28">
        <v>5225</v>
      </c>
      <c r="G421" s="29"/>
    </row>
    <row r="422" spans="1:7" ht="15.75">
      <c r="A422" s="51" t="s">
        <v>1011</v>
      </c>
      <c r="B422" s="28">
        <v>0</v>
      </c>
      <c r="C422" s="28">
        <v>424</v>
      </c>
      <c r="D422" s="28">
        <v>428</v>
      </c>
      <c r="E422" s="28">
        <v>12</v>
      </c>
      <c r="F422" s="28">
        <v>5132</v>
      </c>
      <c r="G422" s="29"/>
    </row>
    <row r="423" spans="1:7" ht="15.75">
      <c r="A423" s="51" t="s">
        <v>1012</v>
      </c>
      <c r="B423" s="28">
        <v>0</v>
      </c>
      <c r="C423" s="28">
        <v>260</v>
      </c>
      <c r="D423" s="28">
        <v>263</v>
      </c>
      <c r="E423" s="28">
        <v>12</v>
      </c>
      <c r="F423" s="28">
        <v>3153</v>
      </c>
      <c r="G423" s="2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/>
  </sheetViews>
  <sheetFormatPr baseColWidth="10" defaultColWidth="14.42578125" defaultRowHeight="15" customHeight="1"/>
  <cols>
    <col min="1" max="1" width="42.42578125" customWidth="1"/>
    <col min="2" max="2" width="23.85546875" customWidth="1"/>
    <col min="3" max="3" width="15" customWidth="1"/>
    <col min="4" max="4" width="21.42578125" customWidth="1"/>
    <col min="5" max="26" width="10.7109375" customWidth="1"/>
  </cols>
  <sheetData>
    <row r="1" spans="1:5">
      <c r="A1" s="1" t="s">
        <v>2</v>
      </c>
    </row>
    <row r="2" spans="1:5">
      <c r="A2" s="1" t="s">
        <v>46</v>
      </c>
      <c r="B2" s="1" t="s">
        <v>1015</v>
      </c>
      <c r="C2" s="1" t="s">
        <v>1016</v>
      </c>
      <c r="D2" s="1" t="s">
        <v>1017</v>
      </c>
      <c r="E2" s="1" t="s">
        <v>1018</v>
      </c>
    </row>
    <row r="3" spans="1:5">
      <c r="A3" s="1" t="s">
        <v>1019</v>
      </c>
      <c r="B3" s="1" t="s">
        <v>1015</v>
      </c>
      <c r="C3" s="1" t="s">
        <v>1020</v>
      </c>
      <c r="D3" s="1" t="s">
        <v>1017</v>
      </c>
      <c r="E3" s="1" t="s">
        <v>1021</v>
      </c>
    </row>
    <row r="4" spans="1:5">
      <c r="A4" s="1" t="s">
        <v>1022</v>
      </c>
      <c r="B4" s="1" t="s">
        <v>1015</v>
      </c>
      <c r="C4" s="1" t="s">
        <v>1023</v>
      </c>
      <c r="D4" s="1" t="s">
        <v>1017</v>
      </c>
      <c r="E4" s="1" t="s">
        <v>1024</v>
      </c>
    </row>
    <row r="5" spans="1:5">
      <c r="A5" s="1" t="s">
        <v>1025</v>
      </c>
      <c r="B5" s="1" t="s">
        <v>1015</v>
      </c>
      <c r="C5" s="1" t="s">
        <v>1026</v>
      </c>
      <c r="D5" s="1" t="s">
        <v>1017</v>
      </c>
      <c r="E5" s="1" t="s">
        <v>1027</v>
      </c>
    </row>
    <row r="6" spans="1:5">
      <c r="A6" s="1" t="s">
        <v>123</v>
      </c>
      <c r="B6" s="1" t="s">
        <v>1015</v>
      </c>
      <c r="C6" s="1" t="s">
        <v>1028</v>
      </c>
      <c r="D6" s="1" t="s">
        <v>1017</v>
      </c>
      <c r="E6" s="1" t="s">
        <v>1029</v>
      </c>
    </row>
    <row r="7" spans="1:5">
      <c r="A7" s="1" t="s">
        <v>131</v>
      </c>
      <c r="B7" s="1" t="s">
        <v>1015</v>
      </c>
      <c r="C7" s="1" t="s">
        <v>1030</v>
      </c>
      <c r="D7" s="1" t="s">
        <v>1017</v>
      </c>
      <c r="E7" s="1" t="s">
        <v>1031</v>
      </c>
    </row>
    <row r="8" spans="1:5">
      <c r="A8" s="1" t="s">
        <v>52</v>
      </c>
      <c r="B8" s="1" t="s">
        <v>1015</v>
      </c>
      <c r="C8" s="1" t="s">
        <v>1032</v>
      </c>
      <c r="D8" s="1" t="s">
        <v>1017</v>
      </c>
      <c r="E8" s="1" t="s">
        <v>1033</v>
      </c>
    </row>
    <row r="9" spans="1:5">
      <c r="A9" s="1" t="s">
        <v>1034</v>
      </c>
      <c r="B9" s="1" t="s">
        <v>1015</v>
      </c>
      <c r="C9" s="1" t="s">
        <v>1035</v>
      </c>
      <c r="D9" s="1" t="s">
        <v>1017</v>
      </c>
      <c r="E9" s="1" t="s">
        <v>1036</v>
      </c>
    </row>
    <row r="10" spans="1:5">
      <c r="A10" s="1" t="s">
        <v>337</v>
      </c>
      <c r="B10" s="1" t="s">
        <v>1015</v>
      </c>
      <c r="C10" s="1" t="s">
        <v>1037</v>
      </c>
      <c r="D10" s="1" t="s">
        <v>1017</v>
      </c>
      <c r="E10" s="1" t="s">
        <v>1038</v>
      </c>
    </row>
    <row r="11" spans="1:5">
      <c r="A11" s="1" t="s">
        <v>151</v>
      </c>
      <c r="B11" s="1" t="s">
        <v>1015</v>
      </c>
      <c r="C11" s="4" t="s">
        <v>1039</v>
      </c>
      <c r="D11" s="1" t="s">
        <v>1017</v>
      </c>
      <c r="E11" s="4" t="s">
        <v>1040</v>
      </c>
    </row>
    <row r="12" spans="1:5">
      <c r="A12" s="1" t="s">
        <v>213</v>
      </c>
      <c r="B12" s="1" t="s">
        <v>1015</v>
      </c>
      <c r="C12" s="1" t="s">
        <v>1041</v>
      </c>
      <c r="D12" s="1" t="s">
        <v>1017</v>
      </c>
      <c r="E12" s="1" t="s">
        <v>1042</v>
      </c>
    </row>
    <row r="13" spans="1:5">
      <c r="A13" s="1" t="s">
        <v>224</v>
      </c>
      <c r="B13" s="1" t="s">
        <v>1015</v>
      </c>
      <c r="C13" s="1" t="s">
        <v>1043</v>
      </c>
      <c r="D13" s="1" t="s">
        <v>1017</v>
      </c>
      <c r="E13" s="1" t="s">
        <v>1044</v>
      </c>
    </row>
    <row r="14" spans="1:5">
      <c r="A14" s="1" t="s">
        <v>218</v>
      </c>
      <c r="B14" s="1" t="s">
        <v>1015</v>
      </c>
      <c r="C14" s="1" t="s">
        <v>1045</v>
      </c>
      <c r="D14" s="1" t="s">
        <v>1017</v>
      </c>
      <c r="E14" s="1" t="s">
        <v>1046</v>
      </c>
    </row>
    <row r="15" spans="1:5">
      <c r="A15" s="1" t="s">
        <v>248</v>
      </c>
      <c r="B15" s="1" t="s">
        <v>1015</v>
      </c>
      <c r="C15" s="1" t="s">
        <v>1047</v>
      </c>
      <c r="D15" s="1" t="s">
        <v>1017</v>
      </c>
      <c r="E15" s="1" t="s">
        <v>1048</v>
      </c>
    </row>
    <row r="16" spans="1:5">
      <c r="A16" s="1" t="s">
        <v>59</v>
      </c>
      <c r="B16" s="1" t="s">
        <v>1015</v>
      </c>
      <c r="C16" s="1" t="s">
        <v>1049</v>
      </c>
      <c r="D16" s="1" t="s">
        <v>1017</v>
      </c>
      <c r="E16" s="1" t="s">
        <v>1050</v>
      </c>
    </row>
    <row r="17" spans="1:5">
      <c r="A17" s="1" t="s">
        <v>1051</v>
      </c>
      <c r="B17" s="1" t="s">
        <v>1015</v>
      </c>
      <c r="C17" s="1" t="s">
        <v>1052</v>
      </c>
      <c r="D17" s="1" t="s">
        <v>1017</v>
      </c>
      <c r="E17" s="1" t="s">
        <v>1053</v>
      </c>
    </row>
    <row r="18" spans="1:5">
      <c r="A18" s="1" t="s">
        <v>1054</v>
      </c>
      <c r="B18" s="1" t="s">
        <v>1015</v>
      </c>
      <c r="C18" s="1" t="s">
        <v>1055</v>
      </c>
      <c r="D18" s="1" t="s">
        <v>1017</v>
      </c>
      <c r="E18" s="1" t="s">
        <v>1056</v>
      </c>
    </row>
    <row r="19" spans="1:5">
      <c r="A19" s="1" t="s">
        <v>1057</v>
      </c>
      <c r="B19" s="1" t="s">
        <v>1015</v>
      </c>
      <c r="C19" s="1" t="s">
        <v>1058</v>
      </c>
      <c r="D19" s="1" t="s">
        <v>1017</v>
      </c>
      <c r="E19" s="1" t="s">
        <v>1059</v>
      </c>
    </row>
    <row r="20" spans="1:5">
      <c r="A20" s="1" t="s">
        <v>1060</v>
      </c>
      <c r="B20" s="1" t="s">
        <v>1015</v>
      </c>
      <c r="C20" s="1" t="s">
        <v>1061</v>
      </c>
      <c r="D20" s="1" t="s">
        <v>1017</v>
      </c>
      <c r="E20" s="1" t="s">
        <v>1062</v>
      </c>
    </row>
    <row r="21" spans="1:5" ht="15.75" customHeight="1">
      <c r="A21" s="1" t="s">
        <v>1063</v>
      </c>
      <c r="B21" s="1" t="s">
        <v>1015</v>
      </c>
      <c r="C21" s="1" t="s">
        <v>1064</v>
      </c>
      <c r="D21" s="1" t="s">
        <v>1017</v>
      </c>
      <c r="E21" s="1" t="s">
        <v>1065</v>
      </c>
    </row>
    <row r="22" spans="1:5" ht="15.75" customHeight="1">
      <c r="A22" s="1" t="s">
        <v>1066</v>
      </c>
      <c r="B22" s="1" t="s">
        <v>1015</v>
      </c>
      <c r="C22" s="1" t="s">
        <v>1067</v>
      </c>
      <c r="D22" s="1" t="s">
        <v>1017</v>
      </c>
      <c r="E22" s="1" t="s">
        <v>1068</v>
      </c>
    </row>
    <row r="23" spans="1:5" ht="15.75" customHeight="1">
      <c r="A23" s="1" t="s">
        <v>1069</v>
      </c>
      <c r="B23" s="1" t="s">
        <v>1015</v>
      </c>
      <c r="C23" s="1" t="s">
        <v>1070</v>
      </c>
      <c r="D23" s="1" t="s">
        <v>1017</v>
      </c>
      <c r="E23" s="1" t="s">
        <v>1071</v>
      </c>
    </row>
    <row r="24" spans="1:5" ht="15.75" customHeight="1">
      <c r="A24" s="1" t="s">
        <v>1072</v>
      </c>
      <c r="B24" s="1" t="s">
        <v>1015</v>
      </c>
      <c r="C24" s="1" t="s">
        <v>1073</v>
      </c>
      <c r="D24" s="1" t="s">
        <v>1017</v>
      </c>
      <c r="E24" s="1" t="s">
        <v>1074</v>
      </c>
    </row>
    <row r="25" spans="1:5" ht="15.75" customHeight="1">
      <c r="A25" s="1" t="s">
        <v>1075</v>
      </c>
      <c r="B25" s="1" t="s">
        <v>1015</v>
      </c>
      <c r="C25" s="1" t="s">
        <v>1076</v>
      </c>
      <c r="D25" s="1" t="s">
        <v>1017</v>
      </c>
      <c r="E25" s="1" t="s">
        <v>1077</v>
      </c>
    </row>
    <row r="26" spans="1:5" ht="15.75" customHeight="1">
      <c r="A26" s="1" t="s">
        <v>415</v>
      </c>
      <c r="B26" s="1" t="s">
        <v>1015</v>
      </c>
      <c r="C26" s="1" t="s">
        <v>1078</v>
      </c>
      <c r="D26" s="1" t="s">
        <v>1017</v>
      </c>
      <c r="E26" s="1" t="s">
        <v>1079</v>
      </c>
    </row>
    <row r="27" spans="1:5" ht="15.75" customHeight="1">
      <c r="A27" s="1" t="s">
        <v>421</v>
      </c>
      <c r="B27" s="1" t="s">
        <v>1015</v>
      </c>
      <c r="C27" s="1" t="s">
        <v>1080</v>
      </c>
      <c r="D27" s="1" t="s">
        <v>1017</v>
      </c>
      <c r="E27" s="1" t="s">
        <v>1081</v>
      </c>
    </row>
    <row r="28" spans="1:5" ht="15.75" customHeight="1">
      <c r="A28" s="1" t="s">
        <v>4</v>
      </c>
      <c r="B28" s="1" t="s">
        <v>1015</v>
      </c>
      <c r="C28" s="1" t="s">
        <v>1082</v>
      </c>
      <c r="D28" s="1" t="s">
        <v>1017</v>
      </c>
      <c r="E28" s="4" t="s">
        <v>1083</v>
      </c>
    </row>
    <row r="29" spans="1:5" ht="15.75" customHeight="1">
      <c r="A29" s="1" t="s">
        <v>1084</v>
      </c>
      <c r="B29" s="1" t="s">
        <v>1015</v>
      </c>
      <c r="C29" s="4" t="s">
        <v>1085</v>
      </c>
      <c r="D29" s="1" t="s">
        <v>1017</v>
      </c>
      <c r="E29" s="1" t="s">
        <v>1086</v>
      </c>
    </row>
    <row r="30" spans="1:5" ht="15.75" customHeight="1">
      <c r="A30" s="1" t="s">
        <v>1087</v>
      </c>
      <c r="B30" s="1" t="s">
        <v>1015</v>
      </c>
      <c r="C30" s="1" t="s">
        <v>1088</v>
      </c>
      <c r="D30" s="1" t="s">
        <v>1017</v>
      </c>
      <c r="E30" s="1" t="s">
        <v>1089</v>
      </c>
    </row>
    <row r="31" spans="1:5" ht="15.75" customHeight="1">
      <c r="A31" s="1" t="s">
        <v>352</v>
      </c>
      <c r="B31" s="1" t="s">
        <v>1015</v>
      </c>
      <c r="C31" s="4" t="s">
        <v>1090</v>
      </c>
      <c r="D31" s="1" t="s">
        <v>1017</v>
      </c>
      <c r="E31" s="4" t="s">
        <v>1091</v>
      </c>
    </row>
    <row r="32" spans="1:5" ht="15.75" customHeight="1">
      <c r="A32" s="1" t="s">
        <v>1092</v>
      </c>
      <c r="B32" s="1" t="s">
        <v>1015</v>
      </c>
      <c r="C32" s="4" t="s">
        <v>1093</v>
      </c>
      <c r="D32" s="1" t="s">
        <v>1017</v>
      </c>
      <c r="E32" s="4" t="s">
        <v>1094</v>
      </c>
    </row>
    <row r="33" spans="1:5" ht="15.75" customHeight="1">
      <c r="A33" s="1" t="s">
        <v>318</v>
      </c>
      <c r="B33" s="1" t="s">
        <v>1015</v>
      </c>
      <c r="C33" s="4" t="s">
        <v>1095</v>
      </c>
      <c r="D33" s="1" t="s">
        <v>1017</v>
      </c>
      <c r="E33" s="4" t="s">
        <v>1096</v>
      </c>
    </row>
    <row r="34" spans="1:5" ht="15.75" customHeight="1">
      <c r="A34" s="1" t="s">
        <v>329</v>
      </c>
      <c r="B34" s="1" t="s">
        <v>1015</v>
      </c>
      <c r="C34" s="4" t="s">
        <v>1095</v>
      </c>
      <c r="D34" s="1" t="s">
        <v>1017</v>
      </c>
      <c r="E34" s="4" t="s">
        <v>1097</v>
      </c>
    </row>
    <row r="35" spans="1:5" ht="15.75" customHeight="1">
      <c r="A35" s="1" t="s">
        <v>36</v>
      </c>
      <c r="B35" s="1" t="s">
        <v>1015</v>
      </c>
      <c r="C35" s="4" t="s">
        <v>1098</v>
      </c>
      <c r="D35" s="1" t="s">
        <v>1017</v>
      </c>
      <c r="E35" s="4" t="s">
        <v>1099</v>
      </c>
    </row>
    <row r="36" spans="1:5" ht="15.75" customHeight="1">
      <c r="A36" s="1" t="s">
        <v>1100</v>
      </c>
      <c r="B36" s="1" t="s">
        <v>1015</v>
      </c>
      <c r="C36" s="4" t="s">
        <v>1101</v>
      </c>
      <c r="D36" s="1" t="s">
        <v>1017</v>
      </c>
      <c r="E36" s="4" t="s">
        <v>1102</v>
      </c>
    </row>
    <row r="37" spans="1:5" ht="15.75" customHeight="1">
      <c r="A37" s="1" t="s">
        <v>136</v>
      </c>
      <c r="B37" s="1" t="s">
        <v>1015</v>
      </c>
      <c r="C37" s="4" t="s">
        <v>1104</v>
      </c>
      <c r="D37" s="1" t="s">
        <v>1017</v>
      </c>
      <c r="E37" s="4" t="s">
        <v>1108</v>
      </c>
    </row>
    <row r="38" spans="1:5" ht="15.75" customHeight="1">
      <c r="A38" s="1" t="s">
        <v>142</v>
      </c>
      <c r="B38" s="1" t="s">
        <v>1015</v>
      </c>
      <c r="C38" s="4" t="s">
        <v>1109</v>
      </c>
      <c r="D38" s="1" t="s">
        <v>1017</v>
      </c>
      <c r="E38" s="4" t="s">
        <v>1110</v>
      </c>
    </row>
    <row r="39" spans="1:5" ht="15.75" customHeight="1">
      <c r="A39" s="1" t="s">
        <v>149</v>
      </c>
      <c r="B39" s="1" t="s">
        <v>1015</v>
      </c>
      <c r="C39" s="4" t="s">
        <v>1113</v>
      </c>
      <c r="D39" s="1" t="s">
        <v>1017</v>
      </c>
      <c r="E39" s="4" t="s">
        <v>1114</v>
      </c>
    </row>
    <row r="40" spans="1:5" ht="15.75" customHeight="1">
      <c r="A40" s="1" t="s">
        <v>234</v>
      </c>
      <c r="B40" s="1" t="s">
        <v>1015</v>
      </c>
      <c r="C40" s="4" t="s">
        <v>1115</v>
      </c>
      <c r="D40" s="1" t="s">
        <v>1017</v>
      </c>
      <c r="E40" s="4" t="s">
        <v>1116</v>
      </c>
    </row>
    <row r="41" spans="1:5" ht="15.75" customHeight="1">
      <c r="A41" s="1" t="s">
        <v>1117</v>
      </c>
      <c r="B41" s="1" t="s">
        <v>1015</v>
      </c>
      <c r="C41" s="4" t="s">
        <v>1118</v>
      </c>
      <c r="D41" s="1" t="s">
        <v>1017</v>
      </c>
      <c r="E41" s="4" t="s">
        <v>1119</v>
      </c>
    </row>
    <row r="42" spans="1:5" ht="15.75" customHeight="1">
      <c r="A42" s="1" t="s">
        <v>1120</v>
      </c>
      <c r="B42" s="1" t="s">
        <v>1015</v>
      </c>
      <c r="C42" s="4" t="s">
        <v>1121</v>
      </c>
      <c r="D42" s="1" t="s">
        <v>1017</v>
      </c>
      <c r="E42" s="4" t="s">
        <v>1122</v>
      </c>
    </row>
    <row r="43" spans="1:5" ht="15.75" customHeight="1">
      <c r="A43" s="1" t="s">
        <v>1123</v>
      </c>
      <c r="B43" s="1" t="s">
        <v>1015</v>
      </c>
      <c r="C43" s="4" t="s">
        <v>1124</v>
      </c>
      <c r="D43" s="1" t="s">
        <v>1017</v>
      </c>
      <c r="E43" s="4" t="s">
        <v>1125</v>
      </c>
    </row>
    <row r="44" spans="1:5" ht="15.75" customHeight="1">
      <c r="A44" s="1" t="s">
        <v>55</v>
      </c>
      <c r="B44" s="1" t="s">
        <v>1015</v>
      </c>
      <c r="C44" s="4" t="s">
        <v>1126</v>
      </c>
      <c r="D44" s="1" t="s">
        <v>1017</v>
      </c>
      <c r="E44" s="4" t="s">
        <v>1128</v>
      </c>
    </row>
    <row r="45" spans="1:5" ht="15.75" customHeight="1">
      <c r="A45" s="1" t="s">
        <v>1133</v>
      </c>
      <c r="B45" s="1" t="s">
        <v>1015</v>
      </c>
      <c r="C45" s="4" t="s">
        <v>1134</v>
      </c>
      <c r="D45" s="1" t="s">
        <v>1017</v>
      </c>
      <c r="E45" s="4" t="s">
        <v>1139</v>
      </c>
    </row>
    <row r="46" spans="1:5" ht="15.75" customHeight="1">
      <c r="A46" s="1" t="s">
        <v>110</v>
      </c>
      <c r="B46" s="1" t="s">
        <v>1015</v>
      </c>
      <c r="C46" s="4" t="s">
        <v>1148</v>
      </c>
      <c r="D46" s="1" t="s">
        <v>1017</v>
      </c>
      <c r="E46" s="4" t="s">
        <v>1157</v>
      </c>
    </row>
    <row r="47" spans="1:5" ht="15.75" customHeight="1">
      <c r="A47" s="1" t="s">
        <v>1163</v>
      </c>
      <c r="B47" s="1" t="s">
        <v>1015</v>
      </c>
      <c r="C47" s="4" t="s">
        <v>1165</v>
      </c>
      <c r="D47" s="1" t="s">
        <v>1017</v>
      </c>
      <c r="E47" s="4" t="s">
        <v>1169</v>
      </c>
    </row>
    <row r="48" spans="1:5" ht="15.75" customHeight="1">
      <c r="A48" s="1" t="s">
        <v>1175</v>
      </c>
      <c r="B48" s="1" t="s">
        <v>1015</v>
      </c>
      <c r="C48" s="4" t="s">
        <v>1176</v>
      </c>
      <c r="D48" s="1" t="s">
        <v>1017</v>
      </c>
      <c r="E48" s="4" t="s">
        <v>1182</v>
      </c>
    </row>
    <row r="49" spans="1:5" ht="15.75" customHeight="1">
      <c r="A49" s="1" t="s">
        <v>242</v>
      </c>
      <c r="B49" s="1" t="s">
        <v>1015</v>
      </c>
      <c r="C49" s="4" t="s">
        <v>1190</v>
      </c>
      <c r="D49" s="1" t="s">
        <v>1017</v>
      </c>
      <c r="E49" s="4" t="s">
        <v>1192</v>
      </c>
    </row>
    <row r="50" spans="1:5" ht="15.75" customHeight="1">
      <c r="A50" s="1" t="s">
        <v>425</v>
      </c>
      <c r="B50" s="1" t="s">
        <v>1015</v>
      </c>
      <c r="C50" s="4" t="s">
        <v>1193</v>
      </c>
      <c r="D50" s="1" t="s">
        <v>1017</v>
      </c>
      <c r="E50" s="4" t="s">
        <v>1194</v>
      </c>
    </row>
    <row r="51" spans="1:5" ht="15.75" customHeight="1">
      <c r="A51" s="1" t="s">
        <v>1195</v>
      </c>
      <c r="B51" s="1" t="s">
        <v>1015</v>
      </c>
      <c r="C51" s="4" t="s">
        <v>1196</v>
      </c>
      <c r="D51" s="1" t="s">
        <v>1017</v>
      </c>
      <c r="E51" s="4" t="s">
        <v>1197</v>
      </c>
    </row>
    <row r="52" spans="1:5" ht="15.75" customHeight="1">
      <c r="A52" s="1" t="s">
        <v>1198</v>
      </c>
      <c r="B52" s="1" t="s">
        <v>1015</v>
      </c>
      <c r="C52" s="4" t="s">
        <v>1199</v>
      </c>
      <c r="D52" s="1" t="s">
        <v>1017</v>
      </c>
      <c r="E52" s="4" t="s">
        <v>1200</v>
      </c>
    </row>
    <row r="53" spans="1:5" ht="15.75" customHeight="1">
      <c r="A53" s="1" t="s">
        <v>1201</v>
      </c>
      <c r="B53" s="1" t="s">
        <v>1015</v>
      </c>
      <c r="C53" s="4" t="s">
        <v>1202</v>
      </c>
      <c r="D53" s="1" t="s">
        <v>1017</v>
      </c>
      <c r="E53" s="4" t="s">
        <v>1203</v>
      </c>
    </row>
    <row r="54" spans="1:5" ht="15.75" customHeight="1">
      <c r="A54" s="1" t="s">
        <v>1205</v>
      </c>
      <c r="B54" s="1" t="s">
        <v>1015</v>
      </c>
      <c r="C54" s="4" t="s">
        <v>1206</v>
      </c>
      <c r="D54" s="1" t="s">
        <v>1017</v>
      </c>
      <c r="E54" s="4" t="s">
        <v>1207</v>
      </c>
    </row>
    <row r="55" spans="1:5" ht="15.75" customHeight="1">
      <c r="A55" s="1" t="s">
        <v>1208</v>
      </c>
      <c r="B55" s="1" t="s">
        <v>1015</v>
      </c>
      <c r="C55" s="4" t="s">
        <v>1209</v>
      </c>
      <c r="D55" s="1" t="s">
        <v>1017</v>
      </c>
      <c r="E55" s="4" t="s">
        <v>1210</v>
      </c>
    </row>
    <row r="56" spans="1:5" ht="15.75" customHeight="1">
      <c r="A56" s="1" t="s">
        <v>166</v>
      </c>
      <c r="B56" s="1" t="s">
        <v>1015</v>
      </c>
      <c r="C56" s="4" t="s">
        <v>1211</v>
      </c>
      <c r="D56" s="1" t="s">
        <v>1017</v>
      </c>
      <c r="E56" s="4" t="s">
        <v>1212</v>
      </c>
    </row>
    <row r="57" spans="1:5" ht="15.75" customHeight="1">
      <c r="A57" s="1" t="s">
        <v>437</v>
      </c>
      <c r="B57" s="1" t="s">
        <v>1015</v>
      </c>
      <c r="C57" s="4" t="s">
        <v>1213</v>
      </c>
      <c r="D57" s="1" t="s">
        <v>1017</v>
      </c>
      <c r="E57" s="4" t="s">
        <v>1214</v>
      </c>
    </row>
    <row r="58" spans="1:5" ht="15.75" customHeight="1">
      <c r="A58" s="1" t="s">
        <v>428</v>
      </c>
      <c r="B58" s="1" t="s">
        <v>1015</v>
      </c>
      <c r="C58" s="4" t="s">
        <v>1215</v>
      </c>
      <c r="D58" s="1" t="s">
        <v>1017</v>
      </c>
      <c r="E58" s="4" t="s">
        <v>1216</v>
      </c>
    </row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11" r:id="rId1" xr:uid="{00000000-0004-0000-0900-000000000000}"/>
    <hyperlink ref="E11" r:id="rId2" xr:uid="{00000000-0004-0000-0900-000001000000}"/>
    <hyperlink ref="E28" r:id="rId3" xr:uid="{00000000-0004-0000-0900-000002000000}"/>
    <hyperlink ref="C31" r:id="rId4" xr:uid="{00000000-0004-0000-0900-000003000000}"/>
    <hyperlink ref="E31" r:id="rId5" xr:uid="{00000000-0004-0000-0900-000004000000}"/>
    <hyperlink ref="C32" r:id="rId6" xr:uid="{00000000-0004-0000-0900-000005000000}"/>
    <hyperlink ref="E32" r:id="rId7" xr:uid="{00000000-0004-0000-0900-000006000000}"/>
    <hyperlink ref="C33" r:id="rId8" xr:uid="{00000000-0004-0000-0900-000007000000}"/>
    <hyperlink ref="E33" r:id="rId9" xr:uid="{00000000-0004-0000-0900-000008000000}"/>
    <hyperlink ref="C34" r:id="rId10" xr:uid="{00000000-0004-0000-0900-000009000000}"/>
    <hyperlink ref="E34" r:id="rId11" xr:uid="{00000000-0004-0000-0900-00000A000000}"/>
    <hyperlink ref="C35" r:id="rId12" xr:uid="{00000000-0004-0000-0900-00000B000000}"/>
    <hyperlink ref="E35" r:id="rId13" xr:uid="{00000000-0004-0000-0900-00000C000000}"/>
    <hyperlink ref="C36" r:id="rId14" xr:uid="{00000000-0004-0000-0900-00000D000000}"/>
    <hyperlink ref="E36" r:id="rId15" xr:uid="{00000000-0004-0000-0900-00000E000000}"/>
    <hyperlink ref="C37" r:id="rId16" xr:uid="{00000000-0004-0000-0900-00000F000000}"/>
    <hyperlink ref="E37" r:id="rId17" xr:uid="{00000000-0004-0000-0900-000010000000}"/>
    <hyperlink ref="C38" r:id="rId18" xr:uid="{00000000-0004-0000-0900-000011000000}"/>
    <hyperlink ref="E38" r:id="rId19" xr:uid="{00000000-0004-0000-0900-000012000000}"/>
    <hyperlink ref="C39" r:id="rId20" xr:uid="{00000000-0004-0000-0900-000013000000}"/>
    <hyperlink ref="E39" r:id="rId21" xr:uid="{00000000-0004-0000-0900-000014000000}"/>
    <hyperlink ref="C40" r:id="rId22" xr:uid="{00000000-0004-0000-0900-000015000000}"/>
    <hyperlink ref="E40" r:id="rId23" xr:uid="{00000000-0004-0000-0900-000016000000}"/>
    <hyperlink ref="C41" r:id="rId24" xr:uid="{00000000-0004-0000-0900-000017000000}"/>
    <hyperlink ref="E41" r:id="rId25" xr:uid="{00000000-0004-0000-0900-000018000000}"/>
    <hyperlink ref="C42" r:id="rId26" xr:uid="{00000000-0004-0000-0900-000019000000}"/>
    <hyperlink ref="E42" r:id="rId27" xr:uid="{00000000-0004-0000-0900-00001A000000}"/>
    <hyperlink ref="C43" r:id="rId28" xr:uid="{00000000-0004-0000-0900-00001B000000}"/>
    <hyperlink ref="E43" r:id="rId29" xr:uid="{00000000-0004-0000-0900-00001C000000}"/>
    <hyperlink ref="C44" r:id="rId30" xr:uid="{00000000-0004-0000-0900-00001D000000}"/>
    <hyperlink ref="E44" r:id="rId31" xr:uid="{00000000-0004-0000-0900-00001E000000}"/>
    <hyperlink ref="C45" r:id="rId32" xr:uid="{00000000-0004-0000-0900-00001F000000}"/>
    <hyperlink ref="E45" r:id="rId33" xr:uid="{00000000-0004-0000-0900-000020000000}"/>
    <hyperlink ref="C46" r:id="rId34" xr:uid="{00000000-0004-0000-0900-000021000000}"/>
    <hyperlink ref="E46" r:id="rId35" xr:uid="{00000000-0004-0000-0900-000022000000}"/>
    <hyperlink ref="C47" r:id="rId36" xr:uid="{00000000-0004-0000-0900-000023000000}"/>
    <hyperlink ref="E47" r:id="rId37" xr:uid="{00000000-0004-0000-0900-000024000000}"/>
    <hyperlink ref="C48" r:id="rId38" xr:uid="{00000000-0004-0000-0900-000025000000}"/>
    <hyperlink ref="E48" r:id="rId39" xr:uid="{00000000-0004-0000-0900-000026000000}"/>
    <hyperlink ref="C49" r:id="rId40" xr:uid="{00000000-0004-0000-0900-000027000000}"/>
    <hyperlink ref="E49" r:id="rId41" xr:uid="{00000000-0004-0000-0900-000028000000}"/>
    <hyperlink ref="C50" r:id="rId42" xr:uid="{00000000-0004-0000-0900-000029000000}"/>
    <hyperlink ref="E50" r:id="rId43" xr:uid="{00000000-0004-0000-0900-00002A000000}"/>
    <hyperlink ref="C51" r:id="rId44" xr:uid="{00000000-0004-0000-0900-00002B000000}"/>
    <hyperlink ref="E51" r:id="rId45" xr:uid="{00000000-0004-0000-0900-00002C000000}"/>
    <hyperlink ref="C52" r:id="rId46" xr:uid="{00000000-0004-0000-0900-00002D000000}"/>
    <hyperlink ref="E52" r:id="rId47" xr:uid="{00000000-0004-0000-0900-00002E000000}"/>
    <hyperlink ref="C53" r:id="rId48" xr:uid="{00000000-0004-0000-0900-00002F000000}"/>
    <hyperlink ref="E53" r:id="rId49" xr:uid="{00000000-0004-0000-0900-000030000000}"/>
    <hyperlink ref="C54" r:id="rId50" xr:uid="{00000000-0004-0000-0900-000031000000}"/>
    <hyperlink ref="E54" r:id="rId51" xr:uid="{00000000-0004-0000-0900-000032000000}"/>
    <hyperlink ref="C55" r:id="rId52" xr:uid="{00000000-0004-0000-0900-000033000000}"/>
    <hyperlink ref="E55" r:id="rId53" xr:uid="{00000000-0004-0000-0900-000034000000}"/>
    <hyperlink ref="C56" r:id="rId54" xr:uid="{00000000-0004-0000-0900-000035000000}"/>
    <hyperlink ref="E56" r:id="rId55" xr:uid="{00000000-0004-0000-0900-000036000000}"/>
    <hyperlink ref="C57" r:id="rId56" xr:uid="{00000000-0004-0000-0900-000037000000}"/>
    <hyperlink ref="E57" r:id="rId57" xr:uid="{00000000-0004-0000-0900-000038000000}"/>
    <hyperlink ref="C58" r:id="rId58" xr:uid="{00000000-0004-0000-0900-000039000000}"/>
    <hyperlink ref="E58" r:id="rId59" xr:uid="{00000000-0004-0000-0900-00003A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00"/>
  <sheetViews>
    <sheetView workbookViewId="0"/>
  </sheetViews>
  <sheetFormatPr baseColWidth="10" defaultColWidth="14.42578125" defaultRowHeight="15" customHeight="1"/>
  <cols>
    <col min="1" max="1" width="33.7109375" customWidth="1"/>
    <col min="2" max="2" width="18.5703125" customWidth="1"/>
    <col min="3" max="3" width="10.7109375" customWidth="1"/>
    <col min="4" max="4" width="16.7109375" customWidth="1"/>
    <col min="5" max="26" width="10.7109375" customWidth="1"/>
  </cols>
  <sheetData>
    <row r="1" spans="1:4">
      <c r="A1" s="1" t="s">
        <v>1103</v>
      </c>
    </row>
    <row r="2" spans="1:4">
      <c r="A2" s="1" t="s">
        <v>1</v>
      </c>
      <c r="B2" s="1" t="s">
        <v>1105</v>
      </c>
      <c r="C2" s="1" t="s">
        <v>1106</v>
      </c>
      <c r="D2" s="31" t="s">
        <v>1107</v>
      </c>
    </row>
    <row r="3" spans="1:4">
      <c r="A3" s="1" t="s">
        <v>46</v>
      </c>
      <c r="B3" s="1">
        <v>1399</v>
      </c>
      <c r="C3" s="1">
        <v>2448</v>
      </c>
      <c r="D3" s="1">
        <f t="shared" ref="D3:D27" si="0">C3/12</f>
        <v>204</v>
      </c>
    </row>
    <row r="4" spans="1:4">
      <c r="A4" s="1" t="s">
        <v>1019</v>
      </c>
      <c r="B4" s="1">
        <v>399</v>
      </c>
      <c r="C4" s="1">
        <v>732</v>
      </c>
      <c r="D4" s="1">
        <f t="shared" si="0"/>
        <v>61</v>
      </c>
    </row>
    <row r="5" spans="1:4">
      <c r="A5" s="1" t="s">
        <v>1022</v>
      </c>
      <c r="B5" s="1">
        <v>579</v>
      </c>
      <c r="C5" s="1">
        <v>1080</v>
      </c>
      <c r="D5" s="1">
        <f t="shared" si="0"/>
        <v>90</v>
      </c>
    </row>
    <row r="6" spans="1:4">
      <c r="A6" s="1" t="s">
        <v>1025</v>
      </c>
      <c r="B6" s="1">
        <v>749</v>
      </c>
      <c r="C6" s="1">
        <v>1404</v>
      </c>
      <c r="D6" s="1">
        <f t="shared" si="0"/>
        <v>117</v>
      </c>
    </row>
    <row r="7" spans="1:4">
      <c r="A7" s="1" t="s">
        <v>123</v>
      </c>
      <c r="B7" s="1">
        <v>899</v>
      </c>
      <c r="C7" s="1">
        <v>1644</v>
      </c>
      <c r="D7" s="1">
        <f t="shared" si="0"/>
        <v>137</v>
      </c>
    </row>
    <row r="8" spans="1:4">
      <c r="A8" s="1" t="s">
        <v>131</v>
      </c>
      <c r="B8" s="1">
        <v>2009</v>
      </c>
      <c r="C8" s="1">
        <v>3516</v>
      </c>
      <c r="D8" s="1">
        <f t="shared" si="0"/>
        <v>293</v>
      </c>
    </row>
    <row r="9" spans="1:4">
      <c r="A9" s="1" t="s">
        <v>52</v>
      </c>
      <c r="B9" s="1">
        <v>349</v>
      </c>
      <c r="C9" s="1">
        <v>648</v>
      </c>
      <c r="D9" s="1">
        <f t="shared" si="0"/>
        <v>54</v>
      </c>
    </row>
    <row r="10" spans="1:4">
      <c r="A10" s="1" t="s">
        <v>1034</v>
      </c>
      <c r="B10" s="1">
        <v>469</v>
      </c>
      <c r="C10" s="1">
        <v>876</v>
      </c>
      <c r="D10" s="1">
        <f t="shared" si="0"/>
        <v>73</v>
      </c>
    </row>
    <row r="11" spans="1:4">
      <c r="A11" s="1" t="s">
        <v>337</v>
      </c>
      <c r="B11" s="1">
        <v>849</v>
      </c>
      <c r="C11" s="1">
        <v>1584</v>
      </c>
      <c r="D11" s="1">
        <f t="shared" si="0"/>
        <v>132</v>
      </c>
    </row>
    <row r="12" spans="1:4">
      <c r="A12" s="1" t="s">
        <v>1111</v>
      </c>
      <c r="B12" s="1">
        <v>999</v>
      </c>
      <c r="C12" s="1">
        <v>1824</v>
      </c>
      <c r="D12" s="1">
        <f t="shared" si="0"/>
        <v>152</v>
      </c>
    </row>
    <row r="13" spans="1:4">
      <c r="A13" s="1" t="s">
        <v>224</v>
      </c>
      <c r="B13" s="1">
        <v>1299</v>
      </c>
      <c r="C13" s="1">
        <v>2268</v>
      </c>
      <c r="D13" s="1">
        <f t="shared" si="0"/>
        <v>189</v>
      </c>
    </row>
    <row r="14" spans="1:4">
      <c r="A14" s="1" t="s">
        <v>1112</v>
      </c>
      <c r="B14" s="1">
        <v>699</v>
      </c>
      <c r="C14" s="1">
        <v>1284</v>
      </c>
      <c r="D14" s="1">
        <f t="shared" si="0"/>
        <v>107</v>
      </c>
    </row>
    <row r="15" spans="1:4">
      <c r="A15" s="1" t="s">
        <v>248</v>
      </c>
      <c r="B15" s="1">
        <v>1799</v>
      </c>
      <c r="C15" s="1">
        <v>3144</v>
      </c>
      <c r="D15" s="1">
        <f t="shared" si="0"/>
        <v>262</v>
      </c>
    </row>
    <row r="16" spans="1:4">
      <c r="A16" s="1" t="s">
        <v>59</v>
      </c>
      <c r="B16" s="1">
        <v>299</v>
      </c>
      <c r="C16" s="1">
        <v>552</v>
      </c>
      <c r="D16" s="1">
        <f t="shared" si="0"/>
        <v>46</v>
      </c>
    </row>
    <row r="17" spans="1:4">
      <c r="A17" s="1" t="s">
        <v>1051</v>
      </c>
      <c r="B17" s="1">
        <v>499</v>
      </c>
      <c r="C17" s="1">
        <v>936</v>
      </c>
      <c r="D17" s="1">
        <f t="shared" si="0"/>
        <v>78</v>
      </c>
    </row>
    <row r="18" spans="1:4">
      <c r="A18" s="1" t="s">
        <v>1054</v>
      </c>
      <c r="B18" s="1">
        <v>719</v>
      </c>
      <c r="C18" s="1">
        <v>1260</v>
      </c>
      <c r="D18" s="1">
        <f t="shared" si="0"/>
        <v>105</v>
      </c>
    </row>
    <row r="19" spans="1:4">
      <c r="A19" s="1" t="s">
        <v>1057</v>
      </c>
      <c r="B19" s="1">
        <v>1029</v>
      </c>
      <c r="C19" s="1">
        <v>1800</v>
      </c>
      <c r="D19" s="1">
        <f t="shared" si="0"/>
        <v>150</v>
      </c>
    </row>
    <row r="20" spans="1:4">
      <c r="A20" s="1" t="s">
        <v>1060</v>
      </c>
      <c r="B20" s="1">
        <v>1489</v>
      </c>
      <c r="C20" s="1">
        <v>2604</v>
      </c>
      <c r="D20" s="1">
        <f t="shared" si="0"/>
        <v>217</v>
      </c>
    </row>
    <row r="21" spans="1:4" ht="15.75" customHeight="1">
      <c r="A21" s="1" t="s">
        <v>1063</v>
      </c>
      <c r="B21" s="1">
        <v>799</v>
      </c>
      <c r="C21" s="1">
        <v>1500</v>
      </c>
      <c r="D21" s="1">
        <f t="shared" si="0"/>
        <v>125</v>
      </c>
    </row>
    <row r="22" spans="1:4" ht="15.75" customHeight="1">
      <c r="A22" s="1" t="s">
        <v>1066</v>
      </c>
      <c r="B22" s="1">
        <v>1049</v>
      </c>
      <c r="C22" s="1">
        <v>1836</v>
      </c>
      <c r="D22" s="1">
        <f t="shared" si="0"/>
        <v>153</v>
      </c>
    </row>
    <row r="23" spans="1:4" ht="15.75" customHeight="1">
      <c r="A23" s="1" t="s">
        <v>1069</v>
      </c>
      <c r="B23" s="1">
        <v>249</v>
      </c>
      <c r="C23" s="1">
        <v>456</v>
      </c>
      <c r="D23" s="1">
        <f t="shared" si="0"/>
        <v>38</v>
      </c>
    </row>
    <row r="24" spans="1:4" ht="15.75" customHeight="1">
      <c r="A24" s="1" t="s">
        <v>1072</v>
      </c>
      <c r="B24" s="1">
        <v>299</v>
      </c>
      <c r="C24" s="1">
        <v>552</v>
      </c>
      <c r="D24" s="1">
        <f t="shared" si="0"/>
        <v>46</v>
      </c>
    </row>
    <row r="25" spans="1:4" ht="15.75" customHeight="1">
      <c r="A25" s="1" t="s">
        <v>1075</v>
      </c>
      <c r="B25" s="1">
        <v>349</v>
      </c>
      <c r="C25" s="1">
        <v>648</v>
      </c>
      <c r="D25" s="1">
        <f t="shared" si="0"/>
        <v>54</v>
      </c>
    </row>
    <row r="26" spans="1:4" ht="15.75" customHeight="1">
      <c r="A26" s="1" t="s">
        <v>415</v>
      </c>
      <c r="B26" s="1">
        <v>599</v>
      </c>
      <c r="C26" s="1">
        <v>1116</v>
      </c>
      <c r="D26" s="1">
        <f t="shared" si="0"/>
        <v>93</v>
      </c>
    </row>
    <row r="27" spans="1:4" ht="15.75" customHeight="1">
      <c r="A27" s="1" t="s">
        <v>421</v>
      </c>
      <c r="B27" s="1">
        <v>449</v>
      </c>
      <c r="C27" s="1">
        <v>840</v>
      </c>
      <c r="D27" s="1">
        <f t="shared" si="0"/>
        <v>70</v>
      </c>
    </row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00"/>
  <sheetViews>
    <sheetView workbookViewId="0"/>
  </sheetViews>
  <sheetFormatPr baseColWidth="10" defaultColWidth="14.42578125" defaultRowHeight="15" customHeight="1"/>
  <cols>
    <col min="1" max="1" width="38.85546875" customWidth="1"/>
    <col min="2" max="26" width="10.7109375" customWidth="1"/>
  </cols>
  <sheetData>
    <row r="1" spans="1:4" ht="54">
      <c r="A1" s="54" t="s">
        <v>1127</v>
      </c>
      <c r="B1" s="55" t="s">
        <v>1129</v>
      </c>
      <c r="C1" s="55" t="s">
        <v>1130</v>
      </c>
      <c r="D1" s="55" t="s">
        <v>1130</v>
      </c>
    </row>
    <row r="2" spans="1:4" ht="18">
      <c r="A2" s="54" t="s">
        <v>1131</v>
      </c>
      <c r="B2" s="55" t="s">
        <v>98</v>
      </c>
      <c r="C2" s="55" t="s">
        <v>1132</v>
      </c>
      <c r="D2" s="55" t="s">
        <v>1132</v>
      </c>
    </row>
    <row r="3" spans="1:4" ht="18">
      <c r="A3" s="54" t="s">
        <v>1135</v>
      </c>
      <c r="B3" s="55" t="s">
        <v>99</v>
      </c>
      <c r="C3" s="55" t="s">
        <v>1136</v>
      </c>
      <c r="D3" s="55" t="s">
        <v>1136</v>
      </c>
    </row>
    <row r="4" spans="1:4" ht="54">
      <c r="A4" s="54" t="s">
        <v>1137</v>
      </c>
      <c r="B4" s="55" t="s">
        <v>1138</v>
      </c>
      <c r="C4" s="55" t="s">
        <v>1140</v>
      </c>
      <c r="D4" s="55" t="s">
        <v>1140</v>
      </c>
    </row>
    <row r="5" spans="1:4" ht="18">
      <c r="A5" s="54" t="s">
        <v>1141</v>
      </c>
      <c r="B5" s="55" t="s">
        <v>1142</v>
      </c>
      <c r="C5" s="55" t="s">
        <v>1143</v>
      </c>
      <c r="D5" s="55" t="s">
        <v>1143</v>
      </c>
    </row>
    <row r="6" spans="1:4" ht="18">
      <c r="A6" s="54" t="s">
        <v>1144</v>
      </c>
      <c r="B6" s="55" t="s">
        <v>1145</v>
      </c>
      <c r="C6" s="55" t="s">
        <v>1146</v>
      </c>
      <c r="D6" s="55" t="s">
        <v>1147</v>
      </c>
    </row>
    <row r="7" spans="1:4" ht="90">
      <c r="A7" s="54" t="s">
        <v>1149</v>
      </c>
      <c r="B7" s="55" t="s">
        <v>1150</v>
      </c>
      <c r="C7" s="55" t="s">
        <v>1151</v>
      </c>
      <c r="D7" s="55" t="s">
        <v>1152</v>
      </c>
    </row>
    <row r="8" spans="1:4" ht="54">
      <c r="A8" s="54" t="s">
        <v>1153</v>
      </c>
      <c r="B8" s="55" t="s">
        <v>1154</v>
      </c>
      <c r="C8" s="55" t="s">
        <v>1155</v>
      </c>
      <c r="D8" s="55" t="s">
        <v>1155</v>
      </c>
    </row>
    <row r="9" spans="1:4" ht="72">
      <c r="A9" s="54" t="s">
        <v>1156</v>
      </c>
      <c r="B9" s="55" t="s">
        <v>1158</v>
      </c>
      <c r="C9" s="55" t="s">
        <v>1132</v>
      </c>
      <c r="D9" s="55" t="s">
        <v>1159</v>
      </c>
    </row>
    <row r="10" spans="1:4" ht="36">
      <c r="A10" s="54" t="s">
        <v>1160</v>
      </c>
      <c r="B10" s="55" t="s">
        <v>1161</v>
      </c>
      <c r="C10" s="55" t="s">
        <v>1132</v>
      </c>
      <c r="D10" s="55" t="s">
        <v>1132</v>
      </c>
    </row>
    <row r="11" spans="1:4" ht="18">
      <c r="A11" s="54" t="s">
        <v>1162</v>
      </c>
      <c r="B11" s="55" t="s">
        <v>1164</v>
      </c>
      <c r="C11" s="55" t="s">
        <v>1132</v>
      </c>
      <c r="D11" s="55" t="s">
        <v>1132</v>
      </c>
    </row>
    <row r="12" spans="1:4" ht="18">
      <c r="A12" s="54" t="s">
        <v>1166</v>
      </c>
      <c r="B12" s="55" t="s">
        <v>1132</v>
      </c>
      <c r="C12" s="55" t="s">
        <v>1132</v>
      </c>
      <c r="D12" s="55" t="s">
        <v>1132</v>
      </c>
    </row>
    <row r="13" spans="1:4" ht="36">
      <c r="A13" s="54" t="s">
        <v>1167</v>
      </c>
      <c r="B13" s="55" t="s">
        <v>1168</v>
      </c>
      <c r="C13" s="55" t="s">
        <v>1170</v>
      </c>
      <c r="D13" s="55" t="s">
        <v>1170</v>
      </c>
    </row>
    <row r="14" spans="1:4" ht="18">
      <c r="A14" s="54" t="s">
        <v>1171</v>
      </c>
      <c r="B14" s="55" t="s">
        <v>1172</v>
      </c>
      <c r="C14" s="55" t="s">
        <v>1173</v>
      </c>
      <c r="D14" s="55" t="s">
        <v>1173</v>
      </c>
    </row>
    <row r="15" spans="1:4" ht="36">
      <c r="A15" s="54" t="s">
        <v>1174</v>
      </c>
      <c r="B15" s="55" t="s">
        <v>163</v>
      </c>
      <c r="C15" s="55" t="s">
        <v>68</v>
      </c>
      <c r="D15" s="55" t="s">
        <v>68</v>
      </c>
    </row>
    <row r="16" spans="1:4" ht="54">
      <c r="A16" s="54" t="s">
        <v>1177</v>
      </c>
      <c r="B16" s="55" t="s">
        <v>1178</v>
      </c>
      <c r="C16" s="55" t="s">
        <v>1179</v>
      </c>
      <c r="D16" s="55" t="s">
        <v>1179</v>
      </c>
    </row>
    <row r="17" spans="1:4" ht="18">
      <c r="A17" s="54" t="s">
        <v>1180</v>
      </c>
      <c r="B17" s="55" t="s">
        <v>1132</v>
      </c>
      <c r="C17" s="55" t="s">
        <v>1132</v>
      </c>
      <c r="D17" s="55" t="s">
        <v>1132</v>
      </c>
    </row>
    <row r="18" spans="1:4" ht="36">
      <c r="A18" s="54" t="s">
        <v>1181</v>
      </c>
      <c r="B18" s="55" t="s">
        <v>1183</v>
      </c>
      <c r="C18" s="55" t="s">
        <v>1184</v>
      </c>
      <c r="D18" s="55" t="s">
        <v>1184</v>
      </c>
    </row>
    <row r="19" spans="1:4" ht="72">
      <c r="A19" s="54" t="s">
        <v>1185</v>
      </c>
      <c r="B19" s="55" t="s">
        <v>1186</v>
      </c>
      <c r="C19" s="55" t="s">
        <v>1186</v>
      </c>
      <c r="D19" s="55" t="s">
        <v>1186</v>
      </c>
    </row>
    <row r="20" spans="1:4" ht="18">
      <c r="A20" s="54" t="s">
        <v>1187</v>
      </c>
      <c r="B20" s="55" t="s">
        <v>1188</v>
      </c>
      <c r="C20" s="55" t="s">
        <v>1189</v>
      </c>
      <c r="D20" s="55" t="s">
        <v>1191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000"/>
  <sheetViews>
    <sheetView workbookViewId="0"/>
  </sheetViews>
  <sheetFormatPr baseColWidth="10" defaultColWidth="14.42578125" defaultRowHeight="15" customHeight="1"/>
  <cols>
    <col min="1" max="1" width="150.140625" customWidth="1"/>
    <col min="2" max="26" width="10.7109375" customWidth="1"/>
  </cols>
  <sheetData>
    <row r="1" spans="1:1" ht="409.5">
      <c r="A1" s="56" t="s">
        <v>1204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COMPARADOR</vt:lpstr>
      <vt:lpstr>Caracteristicas</vt:lpstr>
      <vt:lpstr>Imagen</vt:lpstr>
      <vt:lpstr>RENO CONT</vt:lpstr>
      <vt:lpstr>RENO FINAN</vt:lpstr>
      <vt:lpstr>PORT CONT</vt:lpstr>
      <vt:lpstr>PORTA FINAN</vt:lpstr>
      <vt:lpstr>VR CONT</vt:lpstr>
      <vt:lpstr>VR FINAN</vt:lpstr>
      <vt:lpstr>Imagen (2)</vt:lpstr>
      <vt:lpstr>Precio</vt:lpstr>
      <vt:lpstr>Hoja3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2026-08-24T06:37:00Z</dcterms:modified>
</cp:coreProperties>
</file>